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slpromise-my.sharepoint.com/personal/yanyan_li_cslbehring_com/Documents/Personal/Jerry/Science Fair 2026/Analysis 4 model datasets/2026 Locked/"/>
    </mc:Choice>
  </mc:AlternateContent>
  <xr:revisionPtr revIDLastSave="1" documentId="8_{A6D820D9-467A-482A-8CB6-C146179A06BE}" xr6:coauthVersionLast="47" xr6:coauthVersionMax="47" xr10:uidLastSave="{85D0F29D-3E2B-4A36-A813-44CFDEA37E3B}"/>
  <bookViews>
    <workbookView xWindow="-110" yWindow="-110" windowWidth="34620" windowHeight="13900" xr2:uid="{A9139496-5F26-44CC-813C-739296A899E7}"/>
  </bookViews>
  <sheets>
    <sheet name="2026 History" sheetId="2" r:id="rId1"/>
    <sheet name="114 (2026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R2" i="2" s="1"/>
  <c r="Q2" i="2"/>
  <c r="G3" i="2"/>
  <c r="P3" i="2"/>
  <c r="Q3" i="2"/>
  <c r="R3" i="2"/>
  <c r="G4" i="2"/>
  <c r="P4" i="2"/>
  <c r="Q4" i="2"/>
  <c r="R4" i="2"/>
  <c r="G5" i="2"/>
  <c r="R5" i="2"/>
  <c r="G6" i="2"/>
  <c r="P6" i="2"/>
  <c r="R6" i="2" s="1"/>
  <c r="Q6" i="2"/>
  <c r="G7" i="2"/>
  <c r="P7" i="2"/>
  <c r="R7" i="2" s="1"/>
  <c r="Q7" i="2"/>
  <c r="G8" i="2"/>
  <c r="P8" i="2"/>
  <c r="Q8" i="2"/>
  <c r="R8" i="2"/>
  <c r="G9" i="2"/>
  <c r="P9" i="2"/>
  <c r="Q9" i="2"/>
  <c r="R9" i="2"/>
  <c r="G10" i="2"/>
  <c r="P10" i="2"/>
  <c r="Q10" i="2"/>
  <c r="R10" i="2"/>
  <c r="G11" i="2"/>
  <c r="P11" i="2"/>
  <c r="Q11" i="2"/>
  <c r="R11" i="2"/>
  <c r="G12" i="2"/>
  <c r="P12" i="2"/>
  <c r="Q12" i="2"/>
  <c r="R12" i="2"/>
  <c r="G13" i="2"/>
  <c r="P13" i="2"/>
  <c r="Q13" i="2"/>
  <c r="R13" i="2"/>
  <c r="G14" i="2"/>
  <c r="P14" i="2"/>
  <c r="Q14" i="2"/>
  <c r="R14" i="2"/>
  <c r="G15" i="2"/>
  <c r="P15" i="2"/>
  <c r="Q15" i="2"/>
  <c r="R15" i="2"/>
  <c r="G16" i="2"/>
  <c r="P16" i="2"/>
  <c r="Q16" i="2"/>
  <c r="R16" i="2"/>
  <c r="G17" i="2"/>
  <c r="P17" i="2"/>
  <c r="Q17" i="2"/>
  <c r="R17" i="2"/>
  <c r="G18" i="2"/>
  <c r="P18" i="2"/>
  <c r="Q18" i="2"/>
  <c r="R18" i="2"/>
  <c r="G19" i="2"/>
  <c r="P19" i="2"/>
  <c r="Q19" i="2"/>
  <c r="R19" i="2"/>
  <c r="G20" i="2"/>
  <c r="P20" i="2"/>
  <c r="Q20" i="2"/>
  <c r="R20" i="2"/>
  <c r="G21" i="2"/>
  <c r="P21" i="2"/>
  <c r="Q21" i="2"/>
  <c r="R21" i="2"/>
  <c r="G22" i="2"/>
  <c r="P22" i="2"/>
  <c r="Q22" i="2"/>
  <c r="R22" i="2"/>
  <c r="G23" i="2"/>
  <c r="P23" i="2"/>
  <c r="Q23" i="2"/>
  <c r="R23" i="2"/>
  <c r="G24" i="2"/>
  <c r="P24" i="2"/>
  <c r="Q24" i="2"/>
  <c r="R24" i="2"/>
  <c r="G25" i="2"/>
  <c r="P25" i="2"/>
  <c r="Q25" i="2"/>
  <c r="R25" i="2"/>
  <c r="G26" i="2"/>
  <c r="P26" i="2"/>
  <c r="Q26" i="2"/>
  <c r="R26" i="2"/>
  <c r="G27" i="2"/>
  <c r="P27" i="2"/>
  <c r="Q27" i="2"/>
  <c r="R27" i="2"/>
  <c r="G28" i="2"/>
  <c r="P28" i="2"/>
  <c r="Q28" i="2"/>
  <c r="R28" i="2"/>
  <c r="G29" i="2"/>
  <c r="P29" i="2"/>
  <c r="Q29" i="2"/>
  <c r="R29" i="2"/>
  <c r="G30" i="2"/>
  <c r="P30" i="2"/>
  <c r="Q30" i="2"/>
  <c r="R30" i="2"/>
  <c r="G31" i="2"/>
  <c r="P31" i="2"/>
  <c r="Q31" i="2"/>
  <c r="R31" i="2"/>
  <c r="G32" i="2"/>
  <c r="P32" i="2"/>
  <c r="Q32" i="2"/>
  <c r="R32" i="2"/>
  <c r="G33" i="2"/>
  <c r="P33" i="2"/>
  <c r="Q33" i="2"/>
  <c r="R33" i="2"/>
  <c r="G34" i="2"/>
  <c r="P34" i="2"/>
  <c r="Q34" i="2"/>
  <c r="R34" i="2"/>
  <c r="G35" i="2"/>
  <c r="P35" i="2"/>
  <c r="Q35" i="2"/>
  <c r="R35" i="2"/>
  <c r="G36" i="2"/>
  <c r="P36" i="2"/>
  <c r="Q36" i="2"/>
  <c r="R36" i="2"/>
  <c r="G37" i="2"/>
  <c r="P37" i="2"/>
  <c r="Q37" i="2"/>
  <c r="R37" i="2"/>
  <c r="G38" i="2"/>
  <c r="P38" i="2"/>
  <c r="Q38" i="2"/>
  <c r="R38" i="2"/>
  <c r="G39" i="2"/>
  <c r="P39" i="2"/>
  <c r="Q39" i="2"/>
  <c r="R39" i="2"/>
  <c r="G40" i="2"/>
  <c r="P40" i="2"/>
  <c r="Q40" i="2"/>
  <c r="R40" i="2"/>
  <c r="G41" i="2"/>
  <c r="P41" i="2"/>
  <c r="Q41" i="2"/>
  <c r="R41" i="2"/>
  <c r="G42" i="2"/>
  <c r="P42" i="2"/>
  <c r="Q42" i="2"/>
  <c r="R42" i="2"/>
  <c r="G43" i="2"/>
  <c r="P43" i="2"/>
  <c r="Q43" i="2"/>
  <c r="R43" i="2"/>
  <c r="G44" i="2"/>
  <c r="P44" i="2"/>
  <c r="Q44" i="2"/>
  <c r="R44" i="2"/>
  <c r="G45" i="2"/>
  <c r="P45" i="2"/>
  <c r="Q45" i="2"/>
  <c r="R45" i="2"/>
  <c r="G46" i="2"/>
  <c r="P46" i="2"/>
  <c r="Q46" i="2"/>
  <c r="R46" i="2"/>
  <c r="G47" i="2"/>
  <c r="P47" i="2"/>
  <c r="Q47" i="2"/>
  <c r="R47" i="2"/>
  <c r="G48" i="2"/>
  <c r="P48" i="2"/>
  <c r="Q48" i="2"/>
  <c r="R48" i="2"/>
  <c r="G49" i="2"/>
  <c r="P49" i="2"/>
  <c r="Q49" i="2"/>
  <c r="R49" i="2"/>
  <c r="G50" i="2"/>
  <c r="P50" i="2"/>
  <c r="Q50" i="2"/>
  <c r="R50" i="2"/>
  <c r="G51" i="2"/>
  <c r="P51" i="2"/>
  <c r="Q51" i="2"/>
  <c r="R51" i="2"/>
  <c r="G52" i="2"/>
  <c r="P52" i="2"/>
  <c r="Q52" i="2"/>
  <c r="R52" i="2"/>
  <c r="G53" i="2"/>
  <c r="P53" i="2"/>
  <c r="Q53" i="2"/>
  <c r="R53" i="2"/>
  <c r="G54" i="2"/>
  <c r="P54" i="2"/>
  <c r="Q54" i="2"/>
  <c r="R54" i="2"/>
  <c r="G55" i="2"/>
  <c r="P55" i="2"/>
  <c r="Q55" i="2"/>
  <c r="R55" i="2"/>
  <c r="G56" i="2"/>
  <c r="P56" i="2"/>
  <c r="Q56" i="2"/>
  <c r="R56" i="2"/>
  <c r="G57" i="2"/>
  <c r="P57" i="2"/>
  <c r="Q57" i="2"/>
  <c r="R57" i="2"/>
  <c r="G58" i="2"/>
  <c r="P58" i="2"/>
  <c r="Q58" i="2"/>
  <c r="R58" i="2"/>
  <c r="G59" i="2"/>
  <c r="P59" i="2"/>
  <c r="Q59" i="2"/>
  <c r="R59" i="2"/>
  <c r="G60" i="2"/>
  <c r="P60" i="2"/>
  <c r="Q60" i="2"/>
  <c r="R60" i="2"/>
  <c r="G61" i="2"/>
  <c r="P61" i="2"/>
  <c r="Q61" i="2"/>
  <c r="R61" i="2"/>
  <c r="G62" i="2"/>
  <c r="P62" i="2"/>
  <c r="Q62" i="2"/>
  <c r="R62" i="2"/>
  <c r="G63" i="2"/>
  <c r="P63" i="2"/>
  <c r="Q63" i="2"/>
  <c r="R63" i="2"/>
  <c r="G64" i="2"/>
  <c r="P64" i="2"/>
  <c r="Q64" i="2"/>
  <c r="R64" i="2"/>
  <c r="G65" i="2"/>
  <c r="P65" i="2"/>
  <c r="Q65" i="2"/>
  <c r="R65" i="2"/>
  <c r="G66" i="2"/>
  <c r="P66" i="2"/>
  <c r="Q66" i="2"/>
  <c r="R66" i="2"/>
  <c r="G67" i="2"/>
  <c r="P67" i="2"/>
  <c r="Q67" i="2"/>
  <c r="R67" i="2"/>
  <c r="G68" i="2"/>
  <c r="P68" i="2"/>
  <c r="Q68" i="2"/>
  <c r="R68" i="2"/>
  <c r="G69" i="2"/>
  <c r="P69" i="2"/>
  <c r="Q69" i="2"/>
  <c r="R69" i="2"/>
  <c r="G70" i="2"/>
  <c r="P70" i="2"/>
  <c r="Q70" i="2"/>
  <c r="R70" i="2"/>
  <c r="G71" i="2"/>
  <c r="P71" i="2"/>
  <c r="Q71" i="2"/>
  <c r="R71" i="2"/>
  <c r="G72" i="2"/>
  <c r="P72" i="2"/>
  <c r="Q72" i="2"/>
  <c r="R72" i="2"/>
  <c r="G73" i="2"/>
  <c r="P73" i="2"/>
  <c r="Q73" i="2"/>
  <c r="R73" i="2"/>
  <c r="G74" i="2"/>
  <c r="P74" i="2"/>
  <c r="Q74" i="2"/>
  <c r="R74" i="2"/>
  <c r="G75" i="2"/>
  <c r="P75" i="2"/>
  <c r="Q75" i="2"/>
  <c r="R75" i="2"/>
  <c r="G76" i="2"/>
  <c r="P76" i="2"/>
  <c r="Q76" i="2"/>
  <c r="R76" i="2"/>
  <c r="G77" i="2"/>
  <c r="P77" i="2"/>
  <c r="Q77" i="2"/>
  <c r="R77" i="2"/>
  <c r="G78" i="2"/>
  <c r="P78" i="2"/>
  <c r="Q78" i="2"/>
  <c r="R78" i="2"/>
  <c r="G79" i="2"/>
  <c r="P79" i="2"/>
  <c r="Q79" i="2"/>
  <c r="R79" i="2"/>
  <c r="G80" i="2"/>
  <c r="P80" i="2"/>
  <c r="Q80" i="2"/>
  <c r="R80" i="2"/>
  <c r="G81" i="2"/>
  <c r="P81" i="2"/>
  <c r="Q81" i="2"/>
  <c r="R81" i="2"/>
  <c r="G82" i="2"/>
  <c r="P82" i="2"/>
  <c r="Q82" i="2"/>
  <c r="R82" i="2"/>
  <c r="G83" i="2"/>
  <c r="P83" i="2"/>
  <c r="Q83" i="2"/>
  <c r="R83" i="2"/>
  <c r="G84" i="2"/>
  <c r="P84" i="2"/>
  <c r="Q84" i="2"/>
  <c r="R84" i="2"/>
  <c r="G85" i="2"/>
  <c r="P85" i="2"/>
  <c r="Q85" i="2"/>
  <c r="R85" i="2"/>
  <c r="G86" i="2"/>
  <c r="P86" i="2"/>
  <c r="Q86" i="2"/>
  <c r="R86" i="2"/>
  <c r="G87" i="2"/>
  <c r="P87" i="2"/>
  <c r="Q87" i="2"/>
  <c r="R87" i="2"/>
  <c r="G88" i="2"/>
  <c r="P88" i="2"/>
  <c r="Q88" i="2"/>
  <c r="R88" i="2"/>
  <c r="G89" i="2"/>
  <c r="P89" i="2"/>
  <c r="Q89" i="2"/>
  <c r="R89" i="2"/>
  <c r="G90" i="2"/>
  <c r="P90" i="2"/>
  <c r="Q90" i="2"/>
  <c r="R90" i="2"/>
  <c r="G91" i="2"/>
  <c r="P91" i="2"/>
  <c r="Q91" i="2"/>
  <c r="R91" i="2"/>
  <c r="G92" i="2"/>
  <c r="P92" i="2"/>
  <c r="Q92" i="2"/>
  <c r="R92" i="2"/>
  <c r="G93" i="2"/>
  <c r="P93" i="2"/>
  <c r="Q93" i="2"/>
  <c r="R93" i="2"/>
  <c r="G94" i="2"/>
  <c r="P94" i="2"/>
  <c r="Q94" i="2"/>
  <c r="R94" i="2"/>
  <c r="G95" i="2"/>
  <c r="P95" i="2"/>
  <c r="Q95" i="2"/>
  <c r="R95" i="2"/>
  <c r="G96" i="2"/>
  <c r="P96" i="2"/>
  <c r="Q96" i="2"/>
  <c r="R96" i="2"/>
  <c r="G97" i="2"/>
  <c r="P97" i="2"/>
  <c r="Q97" i="2"/>
  <c r="R97" i="2"/>
  <c r="G98" i="2"/>
  <c r="P98" i="2"/>
  <c r="Q98" i="2"/>
  <c r="R98" i="2"/>
  <c r="G99" i="2"/>
  <c r="P99" i="2"/>
  <c r="Q99" i="2"/>
  <c r="R99" i="2"/>
  <c r="G100" i="2"/>
  <c r="P100" i="2"/>
  <c r="Q100" i="2"/>
  <c r="R100" i="2"/>
  <c r="G101" i="2"/>
  <c r="P101" i="2"/>
  <c r="Q101" i="2"/>
  <c r="R101" i="2"/>
  <c r="G102" i="2"/>
  <c r="P102" i="2"/>
  <c r="Q102" i="2"/>
  <c r="R102" i="2"/>
  <c r="G103" i="2"/>
  <c r="P103" i="2"/>
  <c r="Q103" i="2"/>
  <c r="R103" i="2"/>
  <c r="G104" i="2"/>
  <c r="P104" i="2"/>
  <c r="Q104" i="2"/>
  <c r="R104" i="2"/>
  <c r="G105" i="2"/>
  <c r="P105" i="2"/>
  <c r="Q105" i="2"/>
  <c r="R105" i="2"/>
  <c r="G106" i="2"/>
  <c r="P106" i="2"/>
  <c r="Q106" i="2"/>
  <c r="R106" i="2"/>
  <c r="G107" i="2"/>
  <c r="P107" i="2"/>
  <c r="Q107" i="2"/>
  <c r="R107" i="2"/>
  <c r="G108" i="2"/>
  <c r="P108" i="2"/>
  <c r="Q108" i="2"/>
  <c r="G109" i="2"/>
  <c r="P109" i="2"/>
  <c r="Q109" i="2"/>
  <c r="G110" i="2"/>
  <c r="P110" i="2"/>
  <c r="Q110" i="2"/>
  <c r="G111" i="2"/>
  <c r="P111" i="2"/>
  <c r="Q111" i="2"/>
  <c r="G112" i="2"/>
  <c r="P112" i="2"/>
  <c r="Q112" i="2"/>
  <c r="G113" i="2"/>
  <c r="P113" i="2"/>
  <c r="Q113" i="2"/>
  <c r="G114" i="2"/>
  <c r="P114" i="2"/>
  <c r="Q114" i="2"/>
  <c r="G115" i="2"/>
  <c r="P115" i="2"/>
  <c r="Q115" i="2"/>
  <c r="G116" i="2"/>
  <c r="P116" i="2"/>
  <c r="Q116" i="2"/>
  <c r="G117" i="2"/>
  <c r="P117" i="2"/>
  <c r="Q117" i="2"/>
  <c r="G118" i="2"/>
  <c r="P118" i="2"/>
  <c r="Q118" i="2"/>
  <c r="G119" i="2"/>
  <c r="P119" i="2"/>
  <c r="Q119" i="2"/>
  <c r="G120" i="2"/>
  <c r="P120" i="2"/>
  <c r="Q120" i="2"/>
  <c r="G121" i="2"/>
  <c r="P121" i="2"/>
  <c r="Q121" i="2"/>
  <c r="G122" i="2"/>
  <c r="P122" i="2"/>
  <c r="Q122" i="2"/>
  <c r="G123" i="2"/>
  <c r="P123" i="2"/>
  <c r="Q123" i="2"/>
  <c r="G124" i="2"/>
  <c r="P124" i="2"/>
  <c r="Q124" i="2"/>
  <c r="G125" i="2"/>
  <c r="P125" i="2"/>
  <c r="Q125" i="2"/>
  <c r="G126" i="2"/>
  <c r="P126" i="2"/>
  <c r="Q126" i="2"/>
  <c r="G127" i="2"/>
  <c r="P127" i="2"/>
  <c r="Q127" i="2"/>
  <c r="G128" i="2"/>
  <c r="P128" i="2"/>
  <c r="Q128" i="2"/>
  <c r="G129" i="2"/>
  <c r="P129" i="2"/>
  <c r="Q129" i="2"/>
  <c r="G130" i="2"/>
  <c r="P130" i="2"/>
  <c r="Q130" i="2"/>
  <c r="G131" i="2"/>
  <c r="P131" i="2"/>
  <c r="Q131" i="2"/>
  <c r="G132" i="2"/>
  <c r="P132" i="2"/>
  <c r="Q132" i="2"/>
  <c r="G133" i="2"/>
  <c r="P133" i="2"/>
  <c r="Q133" i="2"/>
  <c r="G134" i="2"/>
  <c r="P134" i="2"/>
  <c r="Q134" i="2"/>
  <c r="G135" i="2"/>
  <c r="P135" i="2"/>
  <c r="Q135" i="2"/>
  <c r="G136" i="2"/>
  <c r="P136" i="2"/>
  <c r="Q136" i="2"/>
  <c r="G137" i="2"/>
  <c r="P137" i="2"/>
  <c r="Q137" i="2"/>
  <c r="G138" i="2"/>
  <c r="P138" i="2"/>
  <c r="Q138" i="2"/>
  <c r="G139" i="2"/>
  <c r="P139" i="2"/>
  <c r="Q139" i="2"/>
  <c r="G140" i="2"/>
  <c r="P140" i="2"/>
  <c r="Q140" i="2"/>
  <c r="G141" i="2"/>
  <c r="P141" i="2"/>
  <c r="Q141" i="2"/>
  <c r="G142" i="2"/>
  <c r="P142" i="2"/>
  <c r="Q142" i="2"/>
  <c r="G143" i="2"/>
  <c r="P143" i="2"/>
  <c r="Q143" i="2"/>
  <c r="G144" i="2"/>
  <c r="P144" i="2"/>
  <c r="Q144" i="2"/>
  <c r="G145" i="2"/>
  <c r="P145" i="2"/>
  <c r="Q145" i="2"/>
  <c r="G146" i="2"/>
  <c r="P146" i="2"/>
  <c r="Q146" i="2"/>
  <c r="G147" i="2"/>
  <c r="P147" i="2"/>
  <c r="Q147" i="2"/>
  <c r="G148" i="2"/>
  <c r="P148" i="2"/>
  <c r="Q148" i="2"/>
  <c r="G149" i="2"/>
  <c r="P149" i="2"/>
  <c r="Q149" i="2"/>
  <c r="G150" i="2"/>
  <c r="P150" i="2"/>
  <c r="Q150" i="2"/>
  <c r="G151" i="2"/>
  <c r="P151" i="2"/>
  <c r="Q151" i="2"/>
  <c r="G152" i="2"/>
  <c r="P152" i="2"/>
  <c r="Q152" i="2"/>
  <c r="G153" i="2"/>
  <c r="P153" i="2"/>
  <c r="Q153" i="2"/>
  <c r="G154" i="2"/>
  <c r="P154" i="2"/>
  <c r="Q154" i="2"/>
  <c r="G155" i="2"/>
  <c r="P155" i="2"/>
  <c r="Q155" i="2"/>
  <c r="G156" i="2"/>
  <c r="P156" i="2"/>
  <c r="Q156" i="2"/>
  <c r="G157" i="2"/>
  <c r="P157" i="2"/>
  <c r="Q157" i="2"/>
  <c r="G158" i="2"/>
  <c r="P158" i="2"/>
  <c r="Q158" i="2"/>
  <c r="G159" i="2"/>
  <c r="P159" i="2"/>
  <c r="Q159" i="2"/>
  <c r="G160" i="2"/>
  <c r="P160" i="2"/>
  <c r="Q160" i="2"/>
  <c r="G161" i="2"/>
  <c r="P161" i="2"/>
  <c r="Q161" i="2"/>
  <c r="G162" i="2"/>
  <c r="P162" i="2"/>
  <c r="Q162" i="2"/>
  <c r="G163" i="2"/>
  <c r="P163" i="2"/>
  <c r="Q163" i="2"/>
  <c r="G164" i="2"/>
  <c r="P164" i="2"/>
  <c r="Q164" i="2"/>
  <c r="G165" i="2"/>
  <c r="P165" i="2"/>
  <c r="Q165" i="2"/>
  <c r="G166" i="2"/>
  <c r="P166" i="2"/>
  <c r="Q166" i="2"/>
  <c r="G167" i="2"/>
  <c r="P167" i="2"/>
  <c r="Q167" i="2"/>
  <c r="G168" i="2"/>
  <c r="P168" i="2"/>
  <c r="Q168" i="2"/>
  <c r="G169" i="2"/>
  <c r="P169" i="2"/>
  <c r="Q169" i="2"/>
  <c r="G170" i="2"/>
  <c r="P170" i="2"/>
  <c r="Q170" i="2"/>
  <c r="G171" i="2"/>
  <c r="P171" i="2"/>
  <c r="Q171" i="2"/>
  <c r="G172" i="2"/>
  <c r="P172" i="2"/>
  <c r="Q172" i="2"/>
  <c r="G173" i="2"/>
  <c r="P173" i="2"/>
  <c r="Q173" i="2"/>
  <c r="G174" i="2"/>
  <c r="P174" i="2"/>
  <c r="Q174" i="2"/>
  <c r="G175" i="2"/>
  <c r="P175" i="2"/>
  <c r="Q175" i="2"/>
  <c r="G176" i="2"/>
  <c r="P176" i="2"/>
  <c r="Q176" i="2"/>
  <c r="G177" i="2"/>
  <c r="P177" i="2"/>
  <c r="Q177" i="2"/>
  <c r="G178" i="2"/>
  <c r="P178" i="2"/>
  <c r="Q178" i="2"/>
  <c r="G179" i="2"/>
  <c r="P179" i="2"/>
  <c r="Q179" i="2"/>
  <c r="G180" i="2"/>
  <c r="P180" i="2"/>
  <c r="Q180" i="2"/>
  <c r="G181" i="2"/>
  <c r="P181" i="2"/>
  <c r="Q181" i="2"/>
  <c r="G182" i="2"/>
  <c r="P182" i="2"/>
  <c r="Q182" i="2"/>
  <c r="G183" i="2"/>
  <c r="P183" i="2"/>
  <c r="Q183" i="2"/>
  <c r="G184" i="2"/>
  <c r="P184" i="2"/>
  <c r="Q184" i="2"/>
  <c r="G185" i="2"/>
  <c r="P185" i="2"/>
  <c r="Q185" i="2"/>
  <c r="G186" i="2"/>
  <c r="P186" i="2"/>
  <c r="Q186" i="2"/>
  <c r="G187" i="2"/>
  <c r="P187" i="2"/>
  <c r="Q187" i="2"/>
  <c r="G188" i="2"/>
  <c r="P188" i="2"/>
  <c r="Q188" i="2"/>
  <c r="G189" i="2"/>
  <c r="P189" i="2"/>
  <c r="Q189" i="2"/>
  <c r="G190" i="2"/>
  <c r="P190" i="2"/>
  <c r="Q190" i="2"/>
  <c r="G191" i="2"/>
  <c r="P191" i="2"/>
  <c r="Q191" i="2"/>
  <c r="G192" i="2"/>
  <c r="P192" i="2"/>
  <c r="Q192" i="2"/>
  <c r="G193" i="2"/>
  <c r="P193" i="2"/>
  <c r="Q193" i="2"/>
  <c r="G194" i="2"/>
  <c r="P194" i="2"/>
  <c r="Q194" i="2"/>
  <c r="G195" i="2"/>
  <c r="P195" i="2"/>
  <c r="Q195" i="2"/>
  <c r="G196" i="2"/>
  <c r="P196" i="2"/>
  <c r="Q196" i="2"/>
  <c r="G197" i="2"/>
  <c r="P197" i="2"/>
  <c r="Q197" i="2"/>
  <c r="G198" i="2"/>
  <c r="P198" i="2"/>
  <c r="Q198" i="2"/>
  <c r="G199" i="2"/>
  <c r="P199" i="2"/>
  <c r="Q199" i="2"/>
  <c r="G200" i="2"/>
  <c r="P200" i="2"/>
  <c r="Q200" i="2"/>
  <c r="G201" i="2"/>
  <c r="P201" i="2"/>
  <c r="Q201" i="2"/>
  <c r="G202" i="2"/>
  <c r="P202" i="2"/>
  <c r="Q202" i="2"/>
  <c r="G203" i="2"/>
  <c r="P203" i="2"/>
  <c r="Q203" i="2"/>
  <c r="G204" i="2"/>
  <c r="P204" i="2"/>
  <c r="Q204" i="2"/>
  <c r="G205" i="2"/>
  <c r="P205" i="2"/>
  <c r="Q205" i="2"/>
  <c r="G206" i="2"/>
  <c r="P206" i="2"/>
  <c r="Q206" i="2"/>
  <c r="G207" i="2"/>
  <c r="P207" i="2"/>
  <c r="Q207" i="2"/>
  <c r="G208" i="2"/>
  <c r="P208" i="2"/>
  <c r="Q208" i="2"/>
  <c r="G209" i="2"/>
  <c r="P209" i="2"/>
  <c r="Q209" i="2"/>
  <c r="G210" i="2"/>
  <c r="P210" i="2"/>
  <c r="Q210" i="2"/>
  <c r="G211" i="2"/>
  <c r="P211" i="2"/>
  <c r="Q211" i="2"/>
  <c r="G212" i="2"/>
  <c r="P212" i="2"/>
  <c r="Q212" i="2"/>
  <c r="G213" i="2"/>
  <c r="P213" i="2"/>
  <c r="Q213" i="2"/>
  <c r="G214" i="2"/>
  <c r="P214" i="2"/>
  <c r="Q214" i="2"/>
  <c r="G215" i="2"/>
  <c r="P215" i="2"/>
  <c r="Q215" i="2"/>
  <c r="G216" i="2"/>
  <c r="P216" i="2"/>
  <c r="Q216" i="2"/>
  <c r="G217" i="2"/>
  <c r="P217" i="2"/>
  <c r="Q217" i="2"/>
  <c r="G218" i="2"/>
  <c r="P218" i="2"/>
  <c r="Q218" i="2"/>
  <c r="G219" i="2"/>
  <c r="P219" i="2"/>
  <c r="Q219" i="2"/>
  <c r="G220" i="2"/>
  <c r="P220" i="2"/>
  <c r="Q220" i="2"/>
  <c r="G221" i="2"/>
  <c r="P221" i="2"/>
  <c r="Q221" i="2"/>
  <c r="G222" i="2"/>
  <c r="P222" i="2"/>
  <c r="Q222" i="2"/>
  <c r="G223" i="2"/>
  <c r="P223" i="2"/>
  <c r="Q223" i="2"/>
  <c r="G224" i="2"/>
  <c r="P224" i="2"/>
  <c r="Q224" i="2"/>
  <c r="G225" i="2"/>
  <c r="P225" i="2"/>
  <c r="Q225" i="2"/>
  <c r="G226" i="2"/>
  <c r="P226" i="2"/>
  <c r="Q226" i="2"/>
  <c r="G227" i="2"/>
  <c r="P227" i="2"/>
  <c r="Q227" i="2"/>
  <c r="G228" i="2"/>
  <c r="P228" i="2"/>
  <c r="Q228" i="2"/>
  <c r="G229" i="2"/>
  <c r="P229" i="2"/>
  <c r="Q229" i="2"/>
  <c r="R229" i="2" s="1"/>
  <c r="G230" i="2"/>
  <c r="P230" i="2"/>
  <c r="Q230" i="2"/>
  <c r="R230" i="2" s="1"/>
  <c r="G231" i="2"/>
  <c r="P231" i="2"/>
  <c r="Q231" i="2"/>
  <c r="G232" i="2"/>
  <c r="P232" i="2"/>
  <c r="Q232" i="2"/>
  <c r="G233" i="2"/>
  <c r="P233" i="2"/>
  <c r="Q233" i="2"/>
  <c r="G234" i="2"/>
  <c r="P234" i="2"/>
  <c r="Q234" i="2"/>
  <c r="G235" i="2"/>
  <c r="P235" i="2"/>
  <c r="Q235" i="2"/>
  <c r="G236" i="2"/>
  <c r="P236" i="2"/>
  <c r="Q236" i="2"/>
  <c r="G237" i="2"/>
  <c r="P237" i="2"/>
  <c r="Q237" i="2"/>
  <c r="G238" i="2"/>
  <c r="P238" i="2"/>
  <c r="Q238" i="2"/>
  <c r="G239" i="2"/>
  <c r="P239" i="2"/>
  <c r="Q239" i="2"/>
  <c r="G240" i="2"/>
  <c r="P240" i="2"/>
  <c r="Q240" i="2"/>
  <c r="G241" i="2"/>
  <c r="P241" i="2"/>
  <c r="Q241" i="2"/>
  <c r="G242" i="2"/>
  <c r="P242" i="2"/>
  <c r="Q242" i="2"/>
  <c r="G243" i="2"/>
  <c r="P243" i="2"/>
  <c r="Q243" i="2"/>
  <c r="G244" i="2"/>
  <c r="P244" i="2"/>
  <c r="Q244" i="2"/>
  <c r="G245" i="2"/>
  <c r="P245" i="2"/>
  <c r="Q245" i="2"/>
  <c r="G246" i="2"/>
  <c r="P246" i="2"/>
  <c r="Q246" i="2"/>
  <c r="G247" i="2"/>
  <c r="P247" i="2"/>
  <c r="Q247" i="2"/>
  <c r="G248" i="2"/>
  <c r="P248" i="2"/>
  <c r="Q248" i="2"/>
  <c r="G249" i="2"/>
  <c r="P249" i="2"/>
  <c r="Q249" i="2"/>
  <c r="G250" i="2"/>
  <c r="P250" i="2"/>
  <c r="Q250" i="2"/>
  <c r="G251" i="2"/>
  <c r="P251" i="2"/>
  <c r="Q251" i="2"/>
  <c r="G252" i="2"/>
  <c r="P252" i="2"/>
  <c r="Q252" i="2"/>
  <c r="G253" i="2"/>
  <c r="P253" i="2"/>
  <c r="Q253" i="2"/>
  <c r="G254" i="2"/>
  <c r="P254" i="2"/>
  <c r="Q254" i="2"/>
  <c r="G255" i="2"/>
  <c r="P255" i="2"/>
  <c r="Q255" i="2"/>
  <c r="G256" i="2"/>
  <c r="P256" i="2"/>
  <c r="Q256" i="2"/>
  <c r="G257" i="2"/>
  <c r="P257" i="2"/>
  <c r="Q257" i="2"/>
  <c r="G258" i="2"/>
  <c r="P258" i="2"/>
  <c r="Q258" i="2"/>
  <c r="G259" i="2"/>
  <c r="P259" i="2"/>
  <c r="Q259" i="2"/>
  <c r="G260" i="2"/>
  <c r="P260" i="2"/>
  <c r="Q260" i="2"/>
  <c r="G261" i="2"/>
  <c r="P261" i="2"/>
  <c r="Q261" i="2"/>
  <c r="G262" i="2"/>
  <c r="P262" i="2"/>
  <c r="Q262" i="2"/>
  <c r="G263" i="2"/>
  <c r="P263" i="2"/>
  <c r="Q263" i="2"/>
  <c r="G264" i="2"/>
  <c r="P264" i="2"/>
  <c r="Q264" i="2"/>
  <c r="G265" i="2"/>
  <c r="P265" i="2"/>
  <c r="Q265" i="2"/>
  <c r="G266" i="2"/>
  <c r="P266" i="2"/>
  <c r="Q266" i="2"/>
  <c r="G267" i="2"/>
  <c r="P267" i="2"/>
  <c r="Q267" i="2"/>
  <c r="G268" i="2"/>
  <c r="P268" i="2"/>
  <c r="Q268" i="2"/>
  <c r="G269" i="2"/>
  <c r="P269" i="2"/>
  <c r="Q269" i="2"/>
  <c r="G270" i="2"/>
  <c r="P270" i="2"/>
  <c r="Q270" i="2"/>
  <c r="G271" i="2"/>
  <c r="P271" i="2"/>
  <c r="Q271" i="2"/>
  <c r="G272" i="2"/>
  <c r="P272" i="2"/>
  <c r="Q272" i="2"/>
  <c r="G273" i="2"/>
  <c r="P273" i="2"/>
  <c r="Q273" i="2"/>
  <c r="G274" i="2"/>
  <c r="P274" i="2"/>
  <c r="Q274" i="2"/>
  <c r="G275" i="2"/>
  <c r="P275" i="2"/>
  <c r="Q275" i="2"/>
  <c r="G276" i="2"/>
  <c r="P276" i="2"/>
  <c r="Q276" i="2"/>
  <c r="G277" i="2"/>
  <c r="P277" i="2"/>
  <c r="Q277" i="2"/>
  <c r="G278" i="2"/>
  <c r="P278" i="2"/>
  <c r="Q278" i="2"/>
  <c r="G279" i="2"/>
  <c r="P279" i="2"/>
  <c r="Q279" i="2"/>
  <c r="G280" i="2"/>
  <c r="P280" i="2"/>
  <c r="Q280" i="2"/>
  <c r="G281" i="2"/>
  <c r="P281" i="2"/>
  <c r="Q281" i="2"/>
  <c r="G282" i="2"/>
  <c r="P282" i="2"/>
  <c r="Q282" i="2"/>
  <c r="G283" i="2"/>
  <c r="P283" i="2"/>
  <c r="Q283" i="2"/>
  <c r="G284" i="2"/>
  <c r="P284" i="2"/>
  <c r="Q284" i="2"/>
  <c r="G285" i="2"/>
  <c r="P285" i="2"/>
  <c r="Q285" i="2"/>
  <c r="G286" i="2"/>
  <c r="P286" i="2"/>
  <c r="Q286" i="2"/>
  <c r="G287" i="2"/>
  <c r="P287" i="2"/>
  <c r="Q287" i="2"/>
  <c r="G288" i="2"/>
  <c r="P288" i="2"/>
  <c r="Q288" i="2"/>
  <c r="G289" i="2"/>
  <c r="P289" i="2"/>
  <c r="Q289" i="2"/>
  <c r="G290" i="2"/>
  <c r="P290" i="2"/>
  <c r="Q290" i="2"/>
  <c r="R290" i="2"/>
  <c r="G291" i="2"/>
  <c r="P291" i="2"/>
  <c r="Q291" i="2"/>
  <c r="R291" i="2"/>
  <c r="G292" i="2"/>
  <c r="P292" i="2"/>
  <c r="Q292" i="2"/>
  <c r="G293" i="2"/>
  <c r="P293" i="2"/>
  <c r="Q293" i="2"/>
  <c r="G294" i="2"/>
  <c r="P294" i="2"/>
  <c r="Q294" i="2"/>
  <c r="G295" i="2"/>
  <c r="P295" i="2"/>
  <c r="Q295" i="2"/>
  <c r="G296" i="2"/>
  <c r="P296" i="2"/>
  <c r="Q296" i="2"/>
  <c r="G297" i="2"/>
  <c r="P297" i="2"/>
  <c r="Q297" i="2"/>
  <c r="G298" i="2"/>
  <c r="P298" i="2"/>
  <c r="Q298" i="2"/>
  <c r="G299" i="2"/>
  <c r="P299" i="2"/>
  <c r="Q299" i="2"/>
  <c r="G300" i="2"/>
  <c r="P300" i="2"/>
  <c r="Q300" i="2"/>
  <c r="G301" i="2"/>
  <c r="P301" i="2"/>
  <c r="Q301" i="2"/>
  <c r="G302" i="2"/>
  <c r="P302" i="2"/>
  <c r="Q302" i="2"/>
  <c r="G303" i="2"/>
  <c r="P303" i="2"/>
  <c r="Q303" i="2"/>
  <c r="G304" i="2"/>
  <c r="P304" i="2"/>
  <c r="Q304" i="2"/>
  <c r="G305" i="2"/>
  <c r="P305" i="2"/>
  <c r="Q305" i="2"/>
  <c r="G306" i="2"/>
  <c r="P306" i="2"/>
  <c r="Q306" i="2"/>
  <c r="G307" i="2"/>
  <c r="P307" i="2"/>
  <c r="Q307" i="2"/>
  <c r="G308" i="2"/>
  <c r="P308" i="2"/>
  <c r="Q308" i="2"/>
  <c r="G309" i="2"/>
  <c r="P309" i="2"/>
  <c r="Q309" i="2"/>
  <c r="G310" i="2"/>
  <c r="P310" i="2"/>
  <c r="Q310" i="2"/>
  <c r="G311" i="2"/>
  <c r="P311" i="2"/>
  <c r="Q311" i="2"/>
  <c r="G312" i="2"/>
  <c r="P312" i="2"/>
  <c r="Q312" i="2"/>
  <c r="G313" i="2"/>
  <c r="P313" i="2"/>
  <c r="Q313" i="2"/>
  <c r="G314" i="2"/>
  <c r="P314" i="2"/>
  <c r="Q314" i="2"/>
  <c r="G315" i="2"/>
  <c r="P315" i="2"/>
  <c r="Q315" i="2"/>
  <c r="G316" i="2"/>
  <c r="P316" i="2"/>
  <c r="Q316" i="2"/>
  <c r="G317" i="2"/>
  <c r="P317" i="2"/>
  <c r="Q317" i="2"/>
  <c r="G318" i="2"/>
  <c r="P318" i="2"/>
  <c r="Q318" i="2"/>
  <c r="G319" i="2"/>
  <c r="P319" i="2"/>
  <c r="Q319" i="2"/>
  <c r="G320" i="2"/>
  <c r="P320" i="2"/>
  <c r="Q320" i="2"/>
  <c r="G321" i="2"/>
  <c r="P321" i="2"/>
  <c r="Q321" i="2"/>
  <c r="R321" i="2" s="1"/>
  <c r="G322" i="2"/>
  <c r="P322" i="2"/>
  <c r="Q322" i="2"/>
  <c r="R322" i="2"/>
  <c r="G323" i="2"/>
  <c r="P323" i="2"/>
  <c r="Q323" i="2"/>
  <c r="G324" i="2"/>
  <c r="P324" i="2"/>
  <c r="Q324" i="2"/>
  <c r="G325" i="2"/>
  <c r="P325" i="2"/>
  <c r="Q325" i="2"/>
  <c r="G326" i="2"/>
  <c r="P326" i="2"/>
  <c r="Q326" i="2"/>
  <c r="G327" i="2"/>
  <c r="P327" i="2"/>
  <c r="Q327" i="2"/>
  <c r="G328" i="2"/>
  <c r="P328" i="2"/>
  <c r="R328" i="2" s="1"/>
  <c r="Q328" i="2"/>
  <c r="G329" i="2"/>
  <c r="P329" i="2"/>
  <c r="R329" i="2" s="1"/>
  <c r="Q329" i="2"/>
  <c r="G330" i="2"/>
  <c r="P330" i="2"/>
  <c r="Q330" i="2"/>
  <c r="G331" i="2"/>
  <c r="P331" i="2"/>
  <c r="Q331" i="2"/>
  <c r="G332" i="2"/>
  <c r="P332" i="2"/>
  <c r="Q332" i="2"/>
  <c r="G333" i="2"/>
  <c r="P333" i="2"/>
  <c r="Q333" i="2"/>
  <c r="G334" i="2"/>
  <c r="P334" i="2"/>
  <c r="Q334" i="2"/>
  <c r="G335" i="2"/>
  <c r="P335" i="2"/>
  <c r="Q335" i="2"/>
  <c r="G336" i="2"/>
  <c r="P336" i="2"/>
  <c r="Q336" i="2"/>
  <c r="G337" i="2"/>
  <c r="P337" i="2"/>
  <c r="Q337" i="2"/>
  <c r="G338" i="2"/>
  <c r="P338" i="2"/>
  <c r="Q338" i="2"/>
  <c r="G339" i="2"/>
  <c r="P339" i="2"/>
  <c r="Q339" i="2"/>
  <c r="G340" i="2"/>
  <c r="P340" i="2"/>
  <c r="Q340" i="2"/>
  <c r="G341" i="2"/>
  <c r="P341" i="2"/>
  <c r="Q341" i="2"/>
  <c r="G342" i="2"/>
  <c r="P342" i="2"/>
  <c r="Q342" i="2"/>
  <c r="G343" i="2"/>
  <c r="P343" i="2"/>
  <c r="Q343" i="2"/>
  <c r="G344" i="2"/>
  <c r="P344" i="2"/>
  <c r="Q344" i="2"/>
  <c r="G345" i="2"/>
  <c r="P345" i="2"/>
  <c r="Q345" i="2"/>
  <c r="G346" i="2"/>
  <c r="P346" i="2"/>
  <c r="Q346" i="2"/>
  <c r="G347" i="2"/>
  <c r="P347" i="2"/>
  <c r="Q347" i="2"/>
  <c r="G348" i="2"/>
  <c r="P348" i="2"/>
  <c r="Q348" i="2"/>
  <c r="G349" i="2"/>
  <c r="P349" i="2"/>
  <c r="Q349" i="2"/>
  <c r="G350" i="2"/>
  <c r="P350" i="2"/>
  <c r="Q350" i="2"/>
  <c r="G351" i="2"/>
  <c r="P351" i="2"/>
  <c r="Q351" i="2"/>
  <c r="G352" i="2"/>
  <c r="P352" i="2"/>
  <c r="Q352" i="2"/>
  <c r="G353" i="2"/>
  <c r="P353" i="2"/>
  <c r="Q353" i="2"/>
  <c r="G354" i="2"/>
  <c r="P354" i="2"/>
  <c r="Q354" i="2"/>
  <c r="G355" i="2"/>
  <c r="P355" i="2"/>
  <c r="Q355" i="2"/>
  <c r="G356" i="2"/>
  <c r="P356" i="2"/>
  <c r="Q356" i="2"/>
  <c r="G357" i="2"/>
  <c r="P357" i="2"/>
  <c r="Q357" i="2"/>
  <c r="G358" i="2"/>
  <c r="P358" i="2"/>
  <c r="Q358" i="2"/>
  <c r="G359" i="2"/>
  <c r="P359" i="2"/>
  <c r="Q359" i="2"/>
  <c r="G360" i="2"/>
  <c r="P360" i="2"/>
  <c r="Q360" i="2"/>
  <c r="G361" i="2"/>
  <c r="P361" i="2"/>
  <c r="Q361" i="2"/>
  <c r="G362" i="2"/>
  <c r="P362" i="2"/>
  <c r="Q362" i="2"/>
  <c r="G363" i="2"/>
  <c r="P363" i="2"/>
  <c r="Q363" i="2"/>
  <c r="G364" i="2"/>
  <c r="P364" i="2"/>
  <c r="Q364" i="2"/>
  <c r="G365" i="2"/>
  <c r="P365" i="2"/>
  <c r="Q365" i="2"/>
  <c r="G366" i="2"/>
  <c r="P366" i="2"/>
  <c r="Q366" i="2"/>
  <c r="G367" i="2"/>
  <c r="P367" i="2"/>
  <c r="Q367" i="2"/>
  <c r="G368" i="2"/>
  <c r="P368" i="2"/>
  <c r="Q368" i="2"/>
  <c r="G369" i="2"/>
  <c r="P369" i="2"/>
  <c r="Q369" i="2"/>
  <c r="G370" i="2"/>
  <c r="P370" i="2"/>
  <c r="Q370" i="2"/>
  <c r="G371" i="2"/>
  <c r="P371" i="2"/>
  <c r="Q371" i="2"/>
  <c r="G372" i="2"/>
  <c r="P372" i="2"/>
  <c r="Q372" i="2"/>
  <c r="G373" i="2"/>
  <c r="P373" i="2"/>
  <c r="Q373" i="2"/>
  <c r="G374" i="2"/>
  <c r="P374" i="2"/>
  <c r="Q374" i="2"/>
  <c r="G375" i="2"/>
  <c r="P375" i="2"/>
  <c r="Q375" i="2"/>
  <c r="G376" i="2"/>
  <c r="P376" i="2"/>
  <c r="Q376" i="2"/>
  <c r="G377" i="2"/>
  <c r="P377" i="2"/>
  <c r="Q377" i="2"/>
  <c r="G378" i="2"/>
  <c r="P378" i="2"/>
  <c r="Q378" i="2"/>
  <c r="G379" i="2"/>
  <c r="P379" i="2"/>
  <c r="Q379" i="2"/>
  <c r="G380" i="2"/>
  <c r="P380" i="2"/>
  <c r="Q380" i="2"/>
  <c r="G381" i="2"/>
  <c r="P381" i="2"/>
  <c r="Q381" i="2"/>
  <c r="G382" i="2"/>
  <c r="P382" i="2"/>
  <c r="Q382" i="2"/>
  <c r="G383" i="2"/>
  <c r="P383" i="2"/>
  <c r="Q383" i="2"/>
  <c r="G384" i="2"/>
  <c r="P384" i="2"/>
  <c r="Q384" i="2"/>
  <c r="G385" i="2"/>
  <c r="P385" i="2"/>
  <c r="Q385" i="2"/>
  <c r="G386" i="2"/>
  <c r="P386" i="2"/>
  <c r="Q386" i="2"/>
  <c r="G387" i="2"/>
  <c r="P387" i="2"/>
  <c r="Q387" i="2"/>
  <c r="G388" i="2"/>
  <c r="P388" i="2"/>
  <c r="Q388" i="2"/>
  <c r="G389" i="2"/>
  <c r="P389" i="2"/>
  <c r="Q389" i="2"/>
  <c r="G390" i="2"/>
  <c r="P390" i="2"/>
  <c r="Q390" i="2"/>
  <c r="G391" i="2"/>
  <c r="P391" i="2"/>
  <c r="Q391" i="2"/>
  <c r="G392" i="2"/>
  <c r="P392" i="2"/>
  <c r="Q392" i="2"/>
  <c r="G393" i="2"/>
  <c r="P393" i="2"/>
  <c r="Q393" i="2"/>
  <c r="G394" i="2"/>
  <c r="P394" i="2"/>
  <c r="Q394" i="2"/>
  <c r="G395" i="2"/>
  <c r="P395" i="2"/>
  <c r="Q395" i="2"/>
  <c r="G396" i="2"/>
  <c r="P396" i="2"/>
  <c r="Q396" i="2"/>
  <c r="G397" i="2"/>
  <c r="P397" i="2"/>
  <c r="Q397" i="2"/>
  <c r="G398" i="2"/>
  <c r="P398" i="2"/>
  <c r="Q398" i="2"/>
  <c r="G399" i="2"/>
  <c r="P399" i="2"/>
  <c r="Q399" i="2"/>
  <c r="G400" i="2"/>
  <c r="P400" i="2"/>
  <c r="Q400" i="2"/>
  <c r="G401" i="2"/>
  <c r="P401" i="2"/>
  <c r="Q401" i="2"/>
  <c r="G402" i="2"/>
  <c r="P402" i="2"/>
  <c r="Q402" i="2"/>
  <c r="G403" i="2"/>
  <c r="P403" i="2"/>
  <c r="R403" i="2" s="1"/>
  <c r="Q403" i="2"/>
  <c r="G404" i="2"/>
  <c r="P404" i="2"/>
  <c r="R404" i="2" s="1"/>
  <c r="Q404" i="2"/>
  <c r="G405" i="2"/>
  <c r="P405" i="2"/>
  <c r="R405" i="2" s="1"/>
  <c r="Q405" i="2"/>
  <c r="G406" i="2"/>
  <c r="P406" i="2"/>
  <c r="Q406" i="2"/>
  <c r="G407" i="2"/>
  <c r="P407" i="2"/>
  <c r="Q407" i="2"/>
  <c r="G408" i="2"/>
  <c r="P408" i="2"/>
  <c r="Q408" i="2"/>
  <c r="G409" i="2"/>
  <c r="P409" i="2"/>
  <c r="Q409" i="2"/>
  <c r="G410" i="2"/>
  <c r="P410" i="2"/>
  <c r="Q410" i="2"/>
  <c r="G411" i="2"/>
  <c r="P411" i="2"/>
  <c r="Q411" i="2"/>
  <c r="G412" i="2"/>
  <c r="P412" i="2"/>
  <c r="Q412" i="2"/>
  <c r="G413" i="2"/>
  <c r="P413" i="2"/>
  <c r="Q413" i="2"/>
  <c r="G414" i="2"/>
  <c r="P414" i="2"/>
  <c r="Q414" i="2"/>
  <c r="G415" i="2"/>
  <c r="P415" i="2"/>
  <c r="Q415" i="2"/>
  <c r="G416" i="2"/>
  <c r="P416" i="2"/>
  <c r="Q416" i="2"/>
  <c r="G417" i="2"/>
  <c r="P417" i="2"/>
  <c r="Q417" i="2"/>
  <c r="G418" i="2"/>
  <c r="P418" i="2"/>
  <c r="Q418" i="2"/>
  <c r="G419" i="2"/>
  <c r="P419" i="2"/>
  <c r="Q419" i="2"/>
  <c r="G420" i="2"/>
  <c r="P420" i="2"/>
  <c r="Q420" i="2"/>
  <c r="G421" i="2"/>
  <c r="P421" i="2"/>
  <c r="Q421" i="2"/>
  <c r="G422" i="2"/>
  <c r="P422" i="2"/>
  <c r="Q422" i="2"/>
  <c r="G423" i="2"/>
  <c r="P423" i="2"/>
  <c r="Q423" i="2"/>
  <c r="G424" i="2"/>
  <c r="P424" i="2"/>
  <c r="Q424" i="2"/>
  <c r="G425" i="2"/>
  <c r="P425" i="2"/>
  <c r="Q425" i="2"/>
  <c r="G426" i="2"/>
  <c r="P426" i="2"/>
  <c r="R426" i="2" s="1"/>
  <c r="Q426" i="2"/>
  <c r="G427" i="2"/>
  <c r="P427" i="2"/>
  <c r="R427" i="2" s="1"/>
  <c r="Q427" i="2"/>
  <c r="G428" i="2"/>
  <c r="P428" i="2"/>
  <c r="R428" i="2" s="1"/>
  <c r="Q428" i="2"/>
  <c r="G429" i="2"/>
  <c r="P429" i="2"/>
  <c r="R429" i="2" s="1"/>
  <c r="Q429" i="2"/>
  <c r="G430" i="2"/>
  <c r="P430" i="2"/>
  <c r="R430" i="2" s="1"/>
  <c r="Q430" i="2"/>
  <c r="G431" i="2"/>
  <c r="P431" i="2"/>
  <c r="Q431" i="2"/>
  <c r="G432" i="2"/>
  <c r="P432" i="2"/>
  <c r="Q432" i="2"/>
  <c r="G433" i="2"/>
  <c r="P433" i="2"/>
  <c r="Q433" i="2"/>
  <c r="G434" i="2"/>
  <c r="P434" i="2"/>
  <c r="Q434" i="2"/>
  <c r="G435" i="2"/>
  <c r="P435" i="2"/>
  <c r="Q435" i="2"/>
  <c r="G436" i="2"/>
  <c r="P436" i="2"/>
  <c r="Q436" i="2"/>
  <c r="G437" i="2"/>
  <c r="P437" i="2"/>
  <c r="Q437" i="2"/>
  <c r="G438" i="2"/>
  <c r="P438" i="2"/>
  <c r="Q438" i="2"/>
  <c r="G439" i="2"/>
  <c r="P439" i="2"/>
  <c r="Q439" i="2"/>
  <c r="G440" i="2"/>
  <c r="P440" i="2"/>
  <c r="Q440" i="2"/>
  <c r="G441" i="2"/>
  <c r="P441" i="2"/>
  <c r="Q441" i="2"/>
  <c r="G442" i="2"/>
  <c r="P442" i="2"/>
  <c r="Q442" i="2"/>
  <c r="G443" i="2"/>
  <c r="P443" i="2"/>
  <c r="Q443" i="2"/>
  <c r="G444" i="2"/>
  <c r="P444" i="2"/>
  <c r="Q444" i="2"/>
  <c r="G445" i="2"/>
  <c r="P445" i="2"/>
  <c r="Q445" i="2"/>
  <c r="G446" i="2"/>
  <c r="P446" i="2"/>
  <c r="Q446" i="2"/>
  <c r="G447" i="2"/>
  <c r="P447" i="2"/>
  <c r="Q447" i="2"/>
  <c r="G448" i="2"/>
  <c r="P448" i="2"/>
  <c r="Q448" i="2"/>
  <c r="G449" i="2"/>
  <c r="P449" i="2"/>
  <c r="Q449" i="2"/>
  <c r="G450" i="2"/>
  <c r="P450" i="2"/>
  <c r="Q450" i="2"/>
  <c r="G451" i="2"/>
  <c r="P451" i="2"/>
  <c r="Q451" i="2"/>
  <c r="G452" i="2"/>
  <c r="P452" i="2"/>
  <c r="Q452" i="2"/>
  <c r="G453" i="2"/>
  <c r="P453" i="2"/>
  <c r="Q453" i="2"/>
  <c r="G454" i="2"/>
  <c r="P454" i="2"/>
  <c r="Q454" i="2"/>
  <c r="G455" i="2"/>
  <c r="P455" i="2"/>
  <c r="Q455" i="2"/>
  <c r="G456" i="2"/>
  <c r="P456" i="2"/>
  <c r="Q456" i="2"/>
  <c r="G457" i="2"/>
  <c r="P457" i="2"/>
  <c r="Q457" i="2"/>
  <c r="R457" i="2"/>
  <c r="G458" i="2"/>
  <c r="P458" i="2"/>
  <c r="Q458" i="2"/>
  <c r="R458" i="2" s="1"/>
  <c r="G459" i="2"/>
  <c r="P459" i="2"/>
  <c r="Q459" i="2"/>
  <c r="R459" i="2"/>
  <c r="G460" i="2"/>
  <c r="P460" i="2"/>
  <c r="Q460" i="2"/>
  <c r="G461" i="2"/>
  <c r="P461" i="2"/>
  <c r="Q461" i="2"/>
  <c r="G462" i="2"/>
  <c r="P462" i="2"/>
  <c r="Q462" i="2"/>
  <c r="G463" i="2"/>
  <c r="P463" i="2"/>
  <c r="Q463" i="2"/>
  <c r="G464" i="2"/>
  <c r="P464" i="2"/>
  <c r="Q464" i="2"/>
  <c r="G465" i="2"/>
  <c r="P465" i="2"/>
  <c r="Q465" i="2"/>
  <c r="G466" i="2"/>
  <c r="P466" i="2"/>
  <c r="Q466" i="2"/>
  <c r="G467" i="2"/>
  <c r="P467" i="2"/>
  <c r="Q467" i="2"/>
  <c r="G468" i="2"/>
  <c r="P468" i="2"/>
  <c r="Q468" i="2"/>
  <c r="G469" i="2"/>
  <c r="P469" i="2"/>
  <c r="Q469" i="2"/>
  <c r="G470" i="2"/>
  <c r="P470" i="2"/>
  <c r="Q470" i="2"/>
  <c r="G471" i="2"/>
  <c r="P471" i="2"/>
  <c r="Q471" i="2"/>
  <c r="G472" i="2"/>
  <c r="P472" i="2"/>
  <c r="Q472" i="2"/>
  <c r="G473" i="2"/>
  <c r="P473" i="2"/>
  <c r="Q473" i="2"/>
  <c r="G474" i="2"/>
  <c r="P474" i="2"/>
  <c r="Q474" i="2"/>
  <c r="G475" i="2"/>
  <c r="P475" i="2"/>
  <c r="Q475" i="2"/>
  <c r="G476" i="2"/>
  <c r="P476" i="2"/>
  <c r="Q476" i="2"/>
  <c r="G477" i="2"/>
  <c r="P477" i="2"/>
  <c r="Q477" i="2"/>
  <c r="G478" i="2"/>
  <c r="P478" i="2"/>
  <c r="Q478" i="2"/>
  <c r="G479" i="2"/>
  <c r="P479" i="2"/>
  <c r="Q479" i="2"/>
  <c r="G480" i="2"/>
  <c r="P480" i="2"/>
  <c r="Q480" i="2"/>
  <c r="G481" i="2"/>
  <c r="P481" i="2"/>
  <c r="Q481" i="2"/>
  <c r="G482" i="2"/>
  <c r="P482" i="2"/>
  <c r="Q482" i="2"/>
  <c r="G483" i="2"/>
  <c r="P483" i="2"/>
  <c r="Q483" i="2"/>
  <c r="G484" i="2"/>
  <c r="P484" i="2"/>
  <c r="Q484" i="2"/>
  <c r="G485" i="2"/>
  <c r="P485" i="2"/>
  <c r="Q485" i="2"/>
  <c r="G486" i="2"/>
  <c r="P486" i="2"/>
  <c r="Q486" i="2"/>
  <c r="G487" i="2"/>
  <c r="P487" i="2"/>
  <c r="Q487" i="2"/>
  <c r="G488" i="2"/>
  <c r="P488" i="2"/>
  <c r="Q488" i="2"/>
  <c r="G489" i="2"/>
  <c r="P489" i="2"/>
  <c r="Q489" i="2"/>
  <c r="G490" i="2"/>
  <c r="P490" i="2"/>
  <c r="Q490" i="2"/>
  <c r="G491" i="2"/>
  <c r="P491" i="2"/>
  <c r="Q491" i="2"/>
  <c r="G492" i="2"/>
  <c r="P492" i="2"/>
  <c r="Q492" i="2"/>
  <c r="G493" i="2"/>
  <c r="P493" i="2"/>
  <c r="Q493" i="2"/>
  <c r="G494" i="2"/>
  <c r="P494" i="2"/>
  <c r="Q494" i="2"/>
  <c r="G495" i="2"/>
  <c r="P495" i="2"/>
  <c r="Q495" i="2"/>
  <c r="G496" i="2"/>
  <c r="P496" i="2"/>
  <c r="Q496" i="2"/>
  <c r="G497" i="2"/>
  <c r="P497" i="2"/>
  <c r="Q497" i="2"/>
  <c r="G498" i="2"/>
  <c r="P498" i="2"/>
  <c r="Q498" i="2"/>
  <c r="G499" i="2"/>
  <c r="P499" i="2"/>
  <c r="Q499" i="2"/>
  <c r="G500" i="2"/>
  <c r="P500" i="2"/>
  <c r="Q500" i="2"/>
  <c r="G501" i="2"/>
  <c r="P501" i="2"/>
  <c r="Q501" i="2"/>
  <c r="G502" i="2"/>
  <c r="P502" i="2"/>
  <c r="Q502" i="2"/>
  <c r="G503" i="2"/>
  <c r="P503" i="2"/>
  <c r="Q503" i="2"/>
  <c r="G504" i="2"/>
  <c r="P504" i="2"/>
  <c r="Q504" i="2"/>
  <c r="G505" i="2"/>
  <c r="P505" i="2"/>
  <c r="Q505" i="2"/>
  <c r="G506" i="2"/>
  <c r="P506" i="2"/>
  <c r="Q506" i="2"/>
  <c r="G507" i="2"/>
  <c r="P507" i="2"/>
  <c r="Q507" i="2"/>
  <c r="G508" i="2"/>
  <c r="P508" i="2"/>
  <c r="Q508" i="2"/>
  <c r="G509" i="2"/>
  <c r="P509" i="2"/>
  <c r="Q509" i="2"/>
  <c r="G510" i="2"/>
  <c r="P510" i="2"/>
  <c r="Q510" i="2"/>
  <c r="G511" i="2"/>
  <c r="P511" i="2"/>
  <c r="Q511" i="2"/>
  <c r="G512" i="2"/>
  <c r="P512" i="2"/>
  <c r="Q512" i="2"/>
  <c r="G513" i="2"/>
  <c r="P513" i="2"/>
  <c r="Q513" i="2"/>
  <c r="G514" i="2"/>
  <c r="P514" i="2"/>
  <c r="Q514" i="2"/>
  <c r="G515" i="2"/>
  <c r="P515" i="2"/>
  <c r="Q515" i="2"/>
  <c r="G516" i="2"/>
  <c r="P516" i="2"/>
  <c r="Q516" i="2"/>
  <c r="G517" i="2"/>
  <c r="P517" i="2"/>
  <c r="Q517" i="2"/>
  <c r="G518" i="2"/>
  <c r="P518" i="2"/>
  <c r="Q518" i="2"/>
  <c r="G519" i="2"/>
  <c r="P519" i="2"/>
  <c r="Q519" i="2"/>
  <c r="G520" i="2"/>
  <c r="P520" i="2"/>
  <c r="Q520" i="2"/>
  <c r="G521" i="2"/>
  <c r="P521" i="2"/>
  <c r="R521" i="2" s="1"/>
  <c r="Q521" i="2"/>
  <c r="G522" i="2"/>
  <c r="P522" i="2"/>
  <c r="R522" i="2" s="1"/>
  <c r="Q522" i="2"/>
  <c r="G523" i="2"/>
  <c r="P523" i="2"/>
  <c r="Q523" i="2"/>
  <c r="G524" i="2"/>
  <c r="P524" i="2"/>
  <c r="Q524" i="2"/>
  <c r="G525" i="2"/>
  <c r="P525" i="2"/>
  <c r="Q525" i="2"/>
  <c r="G526" i="2"/>
  <c r="P526" i="2"/>
  <c r="Q526" i="2"/>
  <c r="G527" i="2"/>
  <c r="P527" i="2"/>
  <c r="Q527" i="2"/>
  <c r="G528" i="2"/>
  <c r="P528" i="2"/>
  <c r="Q528" i="2"/>
  <c r="G529" i="2"/>
  <c r="P529" i="2"/>
  <c r="Q529" i="2"/>
  <c r="G530" i="2"/>
  <c r="P530" i="2"/>
  <c r="Q530" i="2"/>
  <c r="G531" i="2"/>
  <c r="P531" i="2"/>
  <c r="Q531" i="2"/>
  <c r="G532" i="2"/>
  <c r="P532" i="2"/>
  <c r="Q532" i="2"/>
  <c r="G533" i="2"/>
  <c r="P533" i="2"/>
  <c r="Q533" i="2"/>
  <c r="G534" i="2"/>
  <c r="P534" i="2"/>
  <c r="Q534" i="2"/>
  <c r="G535" i="2"/>
  <c r="P535" i="2"/>
  <c r="Q535" i="2"/>
  <c r="G536" i="2"/>
  <c r="P536" i="2"/>
  <c r="Q536" i="2"/>
  <c r="G537" i="2"/>
  <c r="P537" i="2"/>
  <c r="Q537" i="2"/>
  <c r="G538" i="2"/>
  <c r="P538" i="2"/>
  <c r="Q538" i="2"/>
  <c r="G539" i="2"/>
  <c r="P539" i="2"/>
  <c r="Q539" i="2"/>
  <c r="G540" i="2"/>
  <c r="P540" i="2"/>
  <c r="Q540" i="2"/>
  <c r="G541" i="2"/>
  <c r="P541" i="2"/>
  <c r="Q541" i="2"/>
  <c r="G542" i="2"/>
  <c r="P542" i="2"/>
  <c r="Q542" i="2"/>
  <c r="G543" i="2"/>
  <c r="P543" i="2"/>
  <c r="Q543" i="2"/>
  <c r="G544" i="2"/>
  <c r="P544" i="2"/>
  <c r="Q544" i="2"/>
  <c r="G545" i="2"/>
  <c r="P545" i="2"/>
  <c r="Q545" i="2"/>
  <c r="G546" i="2"/>
  <c r="P546" i="2"/>
  <c r="Q546" i="2"/>
  <c r="G547" i="2"/>
  <c r="P547" i="2"/>
  <c r="Q547" i="2"/>
  <c r="G548" i="2"/>
  <c r="P548" i="2"/>
  <c r="Q548" i="2"/>
  <c r="G549" i="2"/>
  <c r="P549" i="2"/>
  <c r="Q549" i="2"/>
  <c r="G550" i="2"/>
  <c r="P550" i="2"/>
  <c r="Q550" i="2"/>
  <c r="G551" i="2"/>
  <c r="P551" i="2"/>
  <c r="Q551" i="2"/>
  <c r="G552" i="2"/>
  <c r="P552" i="2"/>
  <c r="Q552" i="2"/>
  <c r="G553" i="2"/>
  <c r="P553" i="2"/>
  <c r="Q553" i="2"/>
  <c r="G554" i="2"/>
  <c r="P554" i="2"/>
  <c r="Q554" i="2"/>
  <c r="G555" i="2"/>
  <c r="P555" i="2"/>
  <c r="Q555" i="2"/>
  <c r="G556" i="2"/>
  <c r="P556" i="2"/>
  <c r="Q556" i="2"/>
  <c r="G557" i="2"/>
  <c r="P557" i="2"/>
  <c r="Q557" i="2"/>
  <c r="G558" i="2"/>
  <c r="P558" i="2"/>
  <c r="Q558" i="2"/>
  <c r="G559" i="2"/>
  <c r="P559" i="2"/>
  <c r="Q559" i="2"/>
  <c r="G560" i="2"/>
  <c r="P560" i="2"/>
  <c r="Q560" i="2"/>
  <c r="G561" i="2"/>
  <c r="P561" i="2"/>
  <c r="Q561" i="2"/>
  <c r="G562" i="2"/>
  <c r="P562" i="2"/>
  <c r="Q562" i="2"/>
  <c r="G563" i="2"/>
  <c r="P563" i="2"/>
  <c r="Q563" i="2"/>
  <c r="G564" i="2"/>
  <c r="P564" i="2"/>
  <c r="Q564" i="2"/>
  <c r="G565" i="2"/>
  <c r="P565" i="2"/>
  <c r="Q565" i="2"/>
  <c r="G566" i="2"/>
  <c r="P566" i="2"/>
  <c r="Q566" i="2"/>
  <c r="G567" i="2"/>
  <c r="P567" i="2"/>
  <c r="Q567" i="2"/>
  <c r="G568" i="2"/>
  <c r="P568" i="2"/>
  <c r="Q568" i="2"/>
  <c r="G569" i="2"/>
  <c r="P569" i="2"/>
  <c r="Q569" i="2"/>
  <c r="G570" i="2"/>
  <c r="P570" i="2"/>
  <c r="Q570" i="2"/>
  <c r="G571" i="2"/>
  <c r="P571" i="2"/>
  <c r="Q571" i="2"/>
  <c r="G572" i="2"/>
  <c r="P572" i="2"/>
  <c r="Q572" i="2"/>
  <c r="G573" i="2"/>
  <c r="P573" i="2"/>
  <c r="Q573" i="2"/>
  <c r="G574" i="2"/>
  <c r="P574" i="2"/>
  <c r="Q574" i="2"/>
  <c r="G575" i="2"/>
  <c r="P575" i="2"/>
  <c r="Q575" i="2"/>
  <c r="G576" i="2"/>
  <c r="P576" i="2"/>
  <c r="Q576" i="2"/>
  <c r="G577" i="2"/>
  <c r="P577" i="2"/>
  <c r="Q577" i="2"/>
  <c r="G578" i="2"/>
  <c r="P578" i="2"/>
  <c r="Q578" i="2"/>
  <c r="G579" i="2"/>
  <c r="P579" i="2"/>
  <c r="Q579" i="2"/>
  <c r="G580" i="2"/>
  <c r="P580" i="2"/>
  <c r="Q580" i="2"/>
  <c r="G581" i="2"/>
  <c r="P581" i="2"/>
  <c r="Q581" i="2"/>
  <c r="G582" i="2"/>
  <c r="P582" i="2"/>
  <c r="Q582" i="2"/>
  <c r="G583" i="2"/>
  <c r="P583" i="2"/>
  <c r="Q583" i="2"/>
  <c r="G584" i="2"/>
  <c r="P584" i="2"/>
  <c r="Q584" i="2"/>
  <c r="G585" i="2"/>
  <c r="P585" i="2"/>
  <c r="Q585" i="2"/>
  <c r="G586" i="2"/>
  <c r="P586" i="2"/>
  <c r="Q586" i="2"/>
  <c r="G587" i="2"/>
  <c r="P587" i="2"/>
  <c r="Q587" i="2"/>
  <c r="G588" i="2"/>
  <c r="P588" i="2"/>
  <c r="Q588" i="2"/>
  <c r="G589" i="2"/>
  <c r="P589" i="2"/>
  <c r="Q589" i="2"/>
  <c r="G590" i="2"/>
  <c r="P590" i="2"/>
  <c r="Q590" i="2"/>
  <c r="G591" i="2"/>
  <c r="P591" i="2"/>
  <c r="Q591" i="2"/>
  <c r="G592" i="2"/>
  <c r="P592" i="2"/>
  <c r="Q592" i="2"/>
  <c r="G593" i="2"/>
  <c r="P593" i="2"/>
  <c r="Q593" i="2"/>
  <c r="G594" i="2"/>
  <c r="P594" i="2"/>
  <c r="Q594" i="2"/>
  <c r="G595" i="2"/>
  <c r="P595" i="2"/>
  <c r="Q595" i="2"/>
  <c r="G596" i="2"/>
  <c r="P596" i="2"/>
  <c r="Q596" i="2"/>
  <c r="G597" i="2"/>
  <c r="P597" i="2"/>
  <c r="Q597" i="2"/>
  <c r="G598" i="2"/>
  <c r="P598" i="2"/>
  <c r="Q598" i="2"/>
  <c r="G599" i="2"/>
  <c r="P599" i="2"/>
  <c r="Q599" i="2"/>
  <c r="G600" i="2"/>
  <c r="P600" i="2"/>
  <c r="Q600" i="2"/>
  <c r="G601" i="2"/>
  <c r="P601" i="2"/>
  <c r="Q601" i="2"/>
  <c r="G602" i="2"/>
  <c r="P602" i="2"/>
  <c r="Q602" i="2"/>
  <c r="G603" i="2"/>
  <c r="P603" i="2"/>
  <c r="Q603" i="2"/>
  <c r="G604" i="2"/>
  <c r="P604" i="2"/>
  <c r="Q604" i="2"/>
  <c r="G605" i="2"/>
  <c r="P605" i="2"/>
  <c r="Q605" i="2"/>
  <c r="G606" i="2"/>
  <c r="P606" i="2"/>
  <c r="Q606" i="2"/>
  <c r="G607" i="2"/>
  <c r="P607" i="2"/>
  <c r="Q607" i="2"/>
  <c r="G608" i="2"/>
  <c r="P608" i="2"/>
  <c r="Q608" i="2"/>
  <c r="G609" i="2"/>
  <c r="P609" i="2"/>
  <c r="Q609" i="2"/>
  <c r="G610" i="2"/>
  <c r="P610" i="2"/>
  <c r="Q610" i="2"/>
  <c r="G611" i="2"/>
  <c r="P611" i="2"/>
  <c r="Q611" i="2"/>
  <c r="G612" i="2"/>
  <c r="P612" i="2"/>
  <c r="Q612" i="2"/>
  <c r="G613" i="2"/>
  <c r="P613" i="2"/>
  <c r="Q613" i="2"/>
  <c r="G614" i="2"/>
  <c r="P614" i="2"/>
  <c r="Q614" i="2"/>
  <c r="G615" i="2"/>
  <c r="P615" i="2"/>
  <c r="Q615" i="2"/>
  <c r="G616" i="2"/>
  <c r="P616" i="2"/>
  <c r="Q616" i="2"/>
  <c r="G617" i="2"/>
  <c r="P617" i="2"/>
  <c r="Q617" i="2"/>
  <c r="G618" i="2"/>
  <c r="P618" i="2"/>
  <c r="Q618" i="2"/>
  <c r="G619" i="2"/>
  <c r="P619" i="2"/>
  <c r="Q619" i="2"/>
  <c r="G620" i="2"/>
  <c r="P620" i="2"/>
  <c r="Q620" i="2"/>
  <c r="G621" i="2"/>
  <c r="P621" i="2"/>
  <c r="Q621" i="2"/>
  <c r="G622" i="2"/>
  <c r="P622" i="2"/>
  <c r="Q622" i="2"/>
  <c r="G623" i="2"/>
  <c r="P623" i="2"/>
  <c r="Q623" i="2"/>
  <c r="G624" i="2"/>
  <c r="P624" i="2"/>
  <c r="Q624" i="2"/>
  <c r="G625" i="2"/>
  <c r="P625" i="2"/>
  <c r="Q625" i="2"/>
  <c r="G626" i="2"/>
  <c r="P626" i="2"/>
  <c r="Q626" i="2"/>
  <c r="G627" i="2"/>
  <c r="P627" i="2"/>
  <c r="Q627" i="2"/>
  <c r="G628" i="2"/>
  <c r="P628" i="2"/>
  <c r="Q628" i="2"/>
  <c r="G629" i="2"/>
  <c r="P629" i="2"/>
  <c r="Q629" i="2"/>
  <c r="G630" i="2"/>
  <c r="P630" i="2"/>
  <c r="Q630" i="2"/>
  <c r="G631" i="2"/>
  <c r="P631" i="2"/>
  <c r="Q631" i="2"/>
  <c r="G632" i="2"/>
  <c r="P632" i="2"/>
  <c r="Q632" i="2"/>
  <c r="G633" i="2"/>
  <c r="P633" i="2"/>
  <c r="Q633" i="2"/>
  <c r="G634" i="2"/>
  <c r="P634" i="2"/>
  <c r="Q634" i="2"/>
  <c r="G635" i="2"/>
  <c r="P635" i="2"/>
  <c r="Q635" i="2"/>
  <c r="G636" i="2"/>
  <c r="P636" i="2"/>
  <c r="Q636" i="2"/>
  <c r="G637" i="2"/>
  <c r="P637" i="2"/>
  <c r="Q637" i="2"/>
  <c r="G638" i="2"/>
  <c r="P638" i="2"/>
  <c r="Q638" i="2"/>
  <c r="G639" i="2"/>
  <c r="P639" i="2"/>
  <c r="Q639" i="2"/>
  <c r="G640" i="2"/>
  <c r="P640" i="2"/>
  <c r="Q640" i="2"/>
  <c r="G641" i="2"/>
  <c r="P641" i="2"/>
  <c r="Q641" i="2"/>
  <c r="G642" i="2"/>
  <c r="P642" i="2"/>
  <c r="Q642" i="2"/>
  <c r="G643" i="2"/>
  <c r="P643" i="2"/>
  <c r="Q643" i="2"/>
  <c r="G644" i="2"/>
  <c r="P644" i="2"/>
  <c r="Q644" i="2"/>
  <c r="G645" i="2"/>
  <c r="P645" i="2"/>
  <c r="Q645" i="2"/>
  <c r="G646" i="2"/>
  <c r="P646" i="2"/>
  <c r="Q646" i="2"/>
  <c r="G647" i="2"/>
  <c r="P647" i="2"/>
  <c r="Q647" i="2"/>
  <c r="G648" i="2"/>
  <c r="P648" i="2"/>
  <c r="Q648" i="2"/>
  <c r="G649" i="2"/>
  <c r="P649" i="2"/>
  <c r="Q649" i="2"/>
  <c r="G650" i="2"/>
  <c r="P650" i="2"/>
  <c r="Q650" i="2"/>
  <c r="G651" i="2"/>
  <c r="P651" i="2"/>
  <c r="Q651" i="2"/>
  <c r="G652" i="2"/>
  <c r="P652" i="2"/>
  <c r="Q652" i="2"/>
  <c r="G653" i="2"/>
  <c r="P653" i="2"/>
  <c r="Q653" i="2"/>
  <c r="G654" i="2"/>
  <c r="P654" i="2"/>
  <c r="Q654" i="2"/>
  <c r="G655" i="2"/>
  <c r="P655" i="2"/>
  <c r="Q655" i="2"/>
  <c r="G656" i="2"/>
  <c r="P656" i="2"/>
  <c r="Q656" i="2"/>
  <c r="G657" i="2"/>
  <c r="P657" i="2"/>
  <c r="Q657" i="2"/>
  <c r="G658" i="2"/>
  <c r="P658" i="2"/>
  <c r="Q658" i="2"/>
  <c r="G659" i="2"/>
  <c r="P659" i="2"/>
  <c r="Q659" i="2"/>
  <c r="G660" i="2"/>
  <c r="P660" i="2"/>
  <c r="Q660" i="2"/>
  <c r="G661" i="2"/>
  <c r="P661" i="2"/>
  <c r="Q661" i="2"/>
  <c r="G662" i="2"/>
  <c r="P662" i="2"/>
  <c r="Q662" i="2"/>
  <c r="G663" i="2"/>
  <c r="P663" i="2"/>
  <c r="Q663" i="2"/>
  <c r="G664" i="2"/>
  <c r="P664" i="2"/>
  <c r="Q664" i="2"/>
  <c r="G665" i="2"/>
  <c r="P665" i="2"/>
  <c r="Q665" i="2"/>
  <c r="G666" i="2"/>
  <c r="P666" i="2"/>
  <c r="Q666" i="2"/>
  <c r="G667" i="2"/>
  <c r="P667" i="2"/>
  <c r="Q667" i="2"/>
  <c r="G668" i="2"/>
  <c r="P668" i="2"/>
  <c r="Q668" i="2"/>
  <c r="G669" i="2"/>
  <c r="P669" i="2"/>
  <c r="Q669" i="2"/>
  <c r="G670" i="2"/>
  <c r="P670" i="2"/>
  <c r="Q670" i="2"/>
  <c r="G671" i="2"/>
  <c r="P671" i="2"/>
  <c r="Q671" i="2"/>
  <c r="G672" i="2"/>
  <c r="P672" i="2"/>
  <c r="Q672" i="2"/>
  <c r="G673" i="2"/>
  <c r="P673" i="2"/>
  <c r="Q673" i="2"/>
  <c r="G674" i="2"/>
  <c r="P674" i="2"/>
  <c r="Q674" i="2"/>
  <c r="G675" i="2"/>
  <c r="P675" i="2"/>
  <c r="Q675" i="2"/>
  <c r="G676" i="2"/>
  <c r="P676" i="2"/>
  <c r="Q676" i="2"/>
  <c r="G677" i="2"/>
  <c r="P677" i="2"/>
  <c r="Q677" i="2"/>
  <c r="G678" i="2"/>
  <c r="P678" i="2"/>
  <c r="Q678" i="2"/>
  <c r="G679" i="2"/>
  <c r="P679" i="2"/>
  <c r="Q679" i="2"/>
  <c r="G680" i="2"/>
  <c r="P680" i="2"/>
  <c r="Q680" i="2"/>
  <c r="G681" i="2"/>
  <c r="P681" i="2"/>
  <c r="Q681" i="2"/>
  <c r="G682" i="2"/>
  <c r="P682" i="2"/>
  <c r="Q682" i="2"/>
  <c r="G683" i="2"/>
  <c r="P683" i="2"/>
  <c r="Q683" i="2"/>
  <c r="G684" i="2"/>
  <c r="P684" i="2"/>
  <c r="Q684" i="2"/>
  <c r="G685" i="2"/>
  <c r="P685" i="2"/>
  <c r="Q685" i="2"/>
  <c r="G686" i="2"/>
  <c r="P686" i="2"/>
  <c r="Q686" i="2"/>
  <c r="G687" i="2"/>
  <c r="P687" i="2"/>
  <c r="Q687" i="2"/>
  <c r="G688" i="2"/>
  <c r="P688" i="2"/>
  <c r="Q688" i="2"/>
  <c r="G689" i="2"/>
  <c r="P689" i="2"/>
  <c r="Q689" i="2"/>
  <c r="G690" i="2"/>
  <c r="P690" i="2"/>
  <c r="Q690" i="2"/>
  <c r="G691" i="2"/>
  <c r="P691" i="2"/>
  <c r="Q691" i="2"/>
  <c r="G692" i="2"/>
  <c r="P692" i="2"/>
  <c r="Q692" i="2"/>
  <c r="G693" i="2"/>
  <c r="P693" i="2"/>
  <c r="Q693" i="2"/>
  <c r="G694" i="2"/>
  <c r="P694" i="2"/>
  <c r="Q694" i="2"/>
  <c r="G695" i="2"/>
  <c r="P695" i="2"/>
  <c r="Q695" i="2"/>
  <c r="G696" i="2"/>
  <c r="P696" i="2"/>
  <c r="Q696" i="2"/>
  <c r="G697" i="2"/>
  <c r="P697" i="2"/>
  <c r="Q697" i="2"/>
  <c r="G698" i="2"/>
  <c r="P698" i="2"/>
  <c r="Q698" i="2"/>
  <c r="G699" i="2"/>
  <c r="P699" i="2"/>
  <c r="Q699" i="2"/>
  <c r="G700" i="2"/>
  <c r="P700" i="2"/>
  <c r="Q700" i="2"/>
  <c r="G701" i="2"/>
  <c r="P701" i="2"/>
  <c r="Q701" i="2"/>
  <c r="G702" i="2"/>
  <c r="P702" i="2"/>
  <c r="Q702" i="2"/>
  <c r="G703" i="2"/>
  <c r="P703" i="2"/>
  <c r="Q703" i="2"/>
  <c r="G704" i="2"/>
  <c r="P704" i="2"/>
  <c r="Q704" i="2"/>
  <c r="G705" i="2"/>
  <c r="P705" i="2"/>
  <c r="Q705" i="2"/>
  <c r="G706" i="2"/>
  <c r="P706" i="2"/>
  <c r="Q706" i="2"/>
  <c r="G707" i="2"/>
  <c r="P707" i="2"/>
  <c r="Q707" i="2"/>
  <c r="G708" i="2"/>
  <c r="P708" i="2"/>
  <c r="Q708" i="2"/>
  <c r="G709" i="2"/>
  <c r="P709" i="2"/>
  <c r="Q709" i="2"/>
  <c r="G710" i="2"/>
  <c r="P710" i="2"/>
  <c r="Q710" i="2"/>
  <c r="G711" i="2"/>
  <c r="P711" i="2"/>
  <c r="Q711" i="2"/>
  <c r="G712" i="2"/>
  <c r="P712" i="2"/>
  <c r="Q712" i="2"/>
  <c r="G713" i="2"/>
  <c r="P713" i="2"/>
  <c r="Q713" i="2"/>
  <c r="G714" i="2"/>
  <c r="P714" i="2"/>
  <c r="Q714" i="2"/>
  <c r="G715" i="2"/>
  <c r="P715" i="2"/>
  <c r="Q715" i="2"/>
  <c r="G716" i="2"/>
  <c r="P716" i="2"/>
  <c r="Q716" i="2"/>
  <c r="G717" i="2"/>
  <c r="P717" i="2"/>
  <c r="Q717" i="2"/>
  <c r="G718" i="2"/>
  <c r="P718" i="2"/>
  <c r="Q718" i="2"/>
  <c r="G719" i="2"/>
  <c r="P719" i="2"/>
  <c r="Q719" i="2"/>
  <c r="G720" i="2"/>
  <c r="P720" i="2"/>
  <c r="Q720" i="2"/>
  <c r="G721" i="2"/>
  <c r="P721" i="2"/>
  <c r="Q721" i="2"/>
  <c r="G722" i="2"/>
  <c r="P722" i="2"/>
  <c r="Q722" i="2"/>
  <c r="G723" i="2"/>
  <c r="P723" i="2"/>
  <c r="Q723" i="2"/>
  <c r="G724" i="2"/>
  <c r="P724" i="2"/>
  <c r="Q724" i="2"/>
  <c r="G725" i="2"/>
  <c r="P725" i="2"/>
  <c r="Q725" i="2"/>
  <c r="G726" i="2"/>
  <c r="P726" i="2"/>
  <c r="Q726" i="2"/>
  <c r="G727" i="2"/>
  <c r="P727" i="2"/>
  <c r="Q727" i="2"/>
  <c r="G728" i="2"/>
  <c r="P728" i="2"/>
  <c r="Q728" i="2"/>
  <c r="G729" i="2"/>
  <c r="P729" i="2"/>
  <c r="Q729" i="2"/>
  <c r="G730" i="2"/>
  <c r="P730" i="2"/>
  <c r="Q730" i="2"/>
  <c r="G731" i="2"/>
  <c r="P731" i="2"/>
  <c r="Q731" i="2"/>
  <c r="G732" i="2"/>
  <c r="P732" i="2"/>
  <c r="Q732" i="2"/>
  <c r="G733" i="2"/>
  <c r="P733" i="2"/>
  <c r="Q733" i="2"/>
  <c r="G734" i="2"/>
  <c r="P734" i="2"/>
  <c r="Q734" i="2"/>
  <c r="G735" i="2"/>
  <c r="P735" i="2"/>
  <c r="Q735" i="2"/>
  <c r="G736" i="2"/>
  <c r="P736" i="2"/>
  <c r="Q736" i="2"/>
  <c r="G737" i="2"/>
  <c r="P737" i="2"/>
  <c r="Q737" i="2"/>
  <c r="G738" i="2"/>
  <c r="P738" i="2"/>
  <c r="Q738" i="2"/>
  <c r="G739" i="2"/>
  <c r="P739" i="2"/>
  <c r="Q739" i="2"/>
  <c r="G740" i="2"/>
  <c r="P740" i="2"/>
  <c r="Q740" i="2"/>
  <c r="G741" i="2"/>
  <c r="P741" i="2"/>
  <c r="Q741" i="2"/>
  <c r="G742" i="2"/>
  <c r="P742" i="2"/>
  <c r="Q742" i="2"/>
  <c r="G743" i="2"/>
  <c r="P743" i="2"/>
  <c r="Q743" i="2"/>
  <c r="G744" i="2"/>
  <c r="P744" i="2"/>
  <c r="Q744" i="2"/>
  <c r="G745" i="2"/>
  <c r="P745" i="2"/>
  <c r="Q745" i="2"/>
  <c r="G746" i="2"/>
  <c r="P746" i="2"/>
  <c r="Q746" i="2"/>
  <c r="G747" i="2"/>
  <c r="P747" i="2"/>
  <c r="Q747" i="2"/>
  <c r="G748" i="2"/>
  <c r="P748" i="2"/>
  <c r="Q748" i="2"/>
  <c r="G749" i="2"/>
  <c r="P749" i="2"/>
  <c r="Q749" i="2"/>
  <c r="G750" i="2"/>
  <c r="P750" i="2"/>
  <c r="Q750" i="2"/>
  <c r="G751" i="2"/>
  <c r="P751" i="2"/>
  <c r="Q751" i="2"/>
  <c r="G752" i="2"/>
  <c r="P752" i="2"/>
  <c r="Q752" i="2"/>
  <c r="G753" i="2"/>
  <c r="P753" i="2"/>
  <c r="Q753" i="2"/>
  <c r="G754" i="2"/>
  <c r="P754" i="2"/>
  <c r="Q754" i="2"/>
  <c r="G755" i="2"/>
  <c r="P755" i="2"/>
  <c r="Q755" i="2"/>
  <c r="G756" i="2"/>
  <c r="P756" i="2"/>
  <c r="Q756" i="2"/>
  <c r="G757" i="2"/>
  <c r="P757" i="2"/>
  <c r="Q757" i="2"/>
  <c r="G758" i="2"/>
  <c r="P758" i="2"/>
  <c r="Q758" i="2"/>
  <c r="G759" i="2"/>
  <c r="P759" i="2"/>
  <c r="Q759" i="2"/>
  <c r="G760" i="2"/>
  <c r="P760" i="2"/>
  <c r="Q760" i="2"/>
  <c r="G761" i="2"/>
  <c r="P761" i="2"/>
  <c r="Q761" i="2"/>
  <c r="G762" i="2"/>
  <c r="P762" i="2"/>
  <c r="Q762" i="2"/>
  <c r="G763" i="2"/>
  <c r="P763" i="2"/>
  <c r="Q763" i="2"/>
  <c r="G764" i="2"/>
  <c r="P764" i="2"/>
  <c r="Q764" i="2"/>
  <c r="G765" i="2"/>
  <c r="P765" i="2"/>
  <c r="Q765" i="2"/>
  <c r="G766" i="2"/>
  <c r="P766" i="2"/>
  <c r="Q766" i="2"/>
  <c r="G767" i="2"/>
  <c r="P767" i="2"/>
  <c r="Q767" i="2"/>
  <c r="G768" i="2"/>
  <c r="P768" i="2"/>
  <c r="Q768" i="2"/>
  <c r="G769" i="2"/>
  <c r="P769" i="2"/>
  <c r="Q769" i="2"/>
  <c r="G770" i="2"/>
  <c r="P770" i="2"/>
  <c r="Q770" i="2"/>
  <c r="G771" i="2"/>
  <c r="P771" i="2"/>
  <c r="Q771" i="2"/>
  <c r="G772" i="2"/>
  <c r="P772" i="2"/>
  <c r="Q772" i="2"/>
  <c r="G773" i="2"/>
  <c r="P773" i="2"/>
  <c r="Q773" i="2"/>
  <c r="G774" i="2"/>
  <c r="P774" i="2"/>
  <c r="Q774" i="2"/>
  <c r="G775" i="2"/>
  <c r="P775" i="2"/>
  <c r="Q775" i="2"/>
  <c r="G776" i="2"/>
  <c r="P776" i="2"/>
  <c r="Q776" i="2"/>
  <c r="G777" i="2"/>
  <c r="P777" i="2"/>
  <c r="Q777" i="2"/>
  <c r="G778" i="2"/>
  <c r="P778" i="2"/>
  <c r="Q778" i="2"/>
  <c r="G779" i="2"/>
  <c r="P779" i="2"/>
  <c r="Q779" i="2"/>
  <c r="G780" i="2"/>
  <c r="P780" i="2"/>
  <c r="Q780" i="2"/>
  <c r="G781" i="2"/>
  <c r="P781" i="2"/>
  <c r="Q781" i="2"/>
  <c r="G782" i="2"/>
  <c r="P782" i="2"/>
  <c r="Q782" i="2"/>
  <c r="G783" i="2"/>
  <c r="P783" i="2"/>
  <c r="Q783" i="2"/>
  <c r="G784" i="2"/>
  <c r="P784" i="2"/>
  <c r="Q784" i="2"/>
  <c r="G785" i="2"/>
  <c r="P785" i="2"/>
  <c r="Q785" i="2"/>
  <c r="G786" i="2"/>
  <c r="P786" i="2"/>
  <c r="Q786" i="2"/>
  <c r="G787" i="2"/>
  <c r="P787" i="2"/>
  <c r="Q787" i="2"/>
  <c r="G788" i="2"/>
  <c r="P788" i="2"/>
  <c r="Q788" i="2"/>
  <c r="G789" i="2"/>
  <c r="P789" i="2"/>
  <c r="Q789" i="2"/>
  <c r="G790" i="2"/>
  <c r="P790" i="2"/>
  <c r="Q790" i="2"/>
  <c r="G791" i="2"/>
  <c r="P791" i="2"/>
  <c r="Q791" i="2"/>
  <c r="G792" i="2"/>
  <c r="P792" i="2"/>
  <c r="Q792" i="2"/>
  <c r="G793" i="2"/>
  <c r="P793" i="2"/>
  <c r="Q793" i="2"/>
  <c r="G794" i="2"/>
  <c r="P794" i="2"/>
  <c r="Q794" i="2"/>
  <c r="G795" i="2"/>
  <c r="P795" i="2"/>
  <c r="Q795" i="2"/>
  <c r="G796" i="2"/>
  <c r="P796" i="2"/>
  <c r="Q796" i="2"/>
  <c r="G797" i="2"/>
  <c r="P797" i="2"/>
  <c r="Q797" i="2"/>
  <c r="G798" i="2"/>
  <c r="P798" i="2"/>
  <c r="Q798" i="2"/>
  <c r="G799" i="2"/>
  <c r="P799" i="2"/>
  <c r="Q799" i="2"/>
  <c r="G800" i="2"/>
  <c r="P800" i="2"/>
  <c r="Q800" i="2"/>
  <c r="G801" i="2"/>
  <c r="P801" i="2"/>
  <c r="Q801" i="2"/>
  <c r="G802" i="2"/>
  <c r="P802" i="2"/>
  <c r="Q802" i="2"/>
  <c r="G803" i="2"/>
  <c r="P803" i="2"/>
  <c r="Q803" i="2"/>
  <c r="G804" i="2"/>
  <c r="P804" i="2"/>
  <c r="Q804" i="2"/>
  <c r="G805" i="2"/>
  <c r="P805" i="2"/>
  <c r="Q805" i="2"/>
  <c r="G806" i="2"/>
  <c r="P806" i="2"/>
  <c r="Q806" i="2"/>
  <c r="G807" i="2"/>
  <c r="P807" i="2"/>
  <c r="Q807" i="2"/>
  <c r="G808" i="2"/>
  <c r="P808" i="2"/>
  <c r="Q808" i="2"/>
  <c r="G809" i="2"/>
  <c r="P809" i="2"/>
  <c r="Q809" i="2"/>
  <c r="G810" i="2"/>
  <c r="P810" i="2"/>
  <c r="Q810" i="2"/>
  <c r="G811" i="2"/>
  <c r="P811" i="2"/>
  <c r="Q811" i="2"/>
  <c r="G812" i="2"/>
  <c r="P812" i="2"/>
  <c r="Q812" i="2"/>
  <c r="G813" i="2"/>
  <c r="P813" i="2"/>
  <c r="Q813" i="2"/>
  <c r="G814" i="2"/>
  <c r="P814" i="2"/>
  <c r="Q814" i="2"/>
  <c r="G815" i="2"/>
  <c r="P815" i="2"/>
  <c r="Q815" i="2"/>
  <c r="G816" i="2"/>
  <c r="P816" i="2"/>
  <c r="Q816" i="2"/>
  <c r="G817" i="2"/>
  <c r="P817" i="2"/>
  <c r="Q817" i="2"/>
  <c r="G818" i="2"/>
  <c r="P818" i="2"/>
  <c r="Q818" i="2"/>
  <c r="G819" i="2"/>
  <c r="P819" i="2"/>
  <c r="Q819" i="2"/>
  <c r="G820" i="2"/>
  <c r="P820" i="2"/>
  <c r="Q820" i="2"/>
  <c r="G821" i="2"/>
  <c r="P821" i="2"/>
  <c r="Q821" i="2"/>
  <c r="G822" i="2"/>
  <c r="P822" i="2"/>
  <c r="Q822" i="2"/>
  <c r="G823" i="2"/>
  <c r="P823" i="2"/>
  <c r="Q823" i="2"/>
  <c r="G824" i="2"/>
  <c r="P824" i="2"/>
  <c r="Q824" i="2"/>
  <c r="G825" i="2"/>
  <c r="P825" i="2"/>
  <c r="Q825" i="2"/>
  <c r="G826" i="2"/>
  <c r="P826" i="2"/>
  <c r="Q826" i="2"/>
  <c r="G827" i="2"/>
  <c r="P827" i="2"/>
  <c r="Q827" i="2"/>
  <c r="G828" i="2"/>
  <c r="P828" i="2"/>
  <c r="Q828" i="2"/>
  <c r="G829" i="2"/>
  <c r="P829" i="2"/>
  <c r="Q829" i="2"/>
  <c r="G830" i="2"/>
  <c r="P830" i="2"/>
  <c r="Q830" i="2"/>
  <c r="G831" i="2"/>
  <c r="P831" i="2"/>
  <c r="Q831" i="2"/>
  <c r="G832" i="2"/>
  <c r="P832" i="2"/>
  <c r="Q832" i="2"/>
  <c r="G833" i="2"/>
  <c r="P833" i="2"/>
  <c r="Q833" i="2"/>
  <c r="G834" i="2"/>
  <c r="P834" i="2"/>
  <c r="Q834" i="2"/>
  <c r="G835" i="2"/>
  <c r="P835" i="2"/>
  <c r="Q835" i="2"/>
  <c r="G836" i="2"/>
  <c r="P836" i="2"/>
  <c r="Q836" i="2"/>
  <c r="G837" i="2"/>
  <c r="P837" i="2"/>
  <c r="Q837" i="2"/>
  <c r="G838" i="2"/>
  <c r="P838" i="2"/>
  <c r="Q838" i="2"/>
  <c r="G839" i="2"/>
  <c r="P839" i="2"/>
  <c r="Q839" i="2"/>
  <c r="G840" i="2"/>
  <c r="P840" i="2"/>
  <c r="Q840" i="2"/>
  <c r="G841" i="2"/>
  <c r="P841" i="2"/>
  <c r="Q841" i="2"/>
  <c r="R841" i="2"/>
  <c r="G842" i="2"/>
  <c r="P842" i="2"/>
  <c r="Q842" i="2"/>
  <c r="R842" i="2"/>
  <c r="G843" i="2"/>
  <c r="P843" i="2"/>
  <c r="Q843" i="2"/>
  <c r="G844" i="2"/>
  <c r="P844" i="2"/>
  <c r="Q844" i="2"/>
  <c r="G845" i="2"/>
  <c r="P845" i="2"/>
  <c r="Q845" i="2"/>
  <c r="G846" i="2"/>
  <c r="P846" i="2"/>
  <c r="Q846" i="2"/>
  <c r="G847" i="2"/>
  <c r="P847" i="2"/>
  <c r="Q847" i="2"/>
  <c r="G848" i="2"/>
  <c r="P848" i="2"/>
  <c r="Q848" i="2"/>
  <c r="G849" i="2"/>
  <c r="P849" i="2"/>
  <c r="Q849" i="2"/>
  <c r="G850" i="2"/>
  <c r="P850" i="2"/>
  <c r="Q850" i="2"/>
  <c r="G851" i="2"/>
  <c r="P851" i="2"/>
  <c r="Q851" i="2"/>
  <c r="G852" i="2"/>
  <c r="P852" i="2"/>
  <c r="Q852" i="2"/>
  <c r="G853" i="2"/>
  <c r="P853" i="2"/>
  <c r="Q853" i="2"/>
  <c r="G854" i="2"/>
  <c r="P854" i="2"/>
  <c r="Q854" i="2"/>
  <c r="G855" i="2"/>
  <c r="P855" i="2"/>
  <c r="Q855" i="2"/>
  <c r="G856" i="2"/>
  <c r="P856" i="2"/>
  <c r="Q856" i="2"/>
  <c r="G857" i="2"/>
  <c r="P857" i="2"/>
  <c r="Q857" i="2"/>
  <c r="G858" i="2"/>
  <c r="P858" i="2"/>
  <c r="Q858" i="2"/>
  <c r="G859" i="2"/>
  <c r="P859" i="2"/>
  <c r="Q859" i="2"/>
  <c r="G860" i="2"/>
  <c r="P860" i="2"/>
  <c r="Q860" i="2"/>
  <c r="G861" i="2"/>
  <c r="P861" i="2"/>
  <c r="Q861" i="2"/>
  <c r="G862" i="2"/>
  <c r="P862" i="2"/>
  <c r="Q862" i="2"/>
  <c r="G863" i="2"/>
  <c r="P863" i="2"/>
  <c r="Q863" i="2"/>
  <c r="G864" i="2"/>
  <c r="P864" i="2"/>
  <c r="Q864" i="2"/>
  <c r="G865" i="2"/>
  <c r="P865" i="2"/>
  <c r="Q865" i="2"/>
  <c r="G866" i="2"/>
  <c r="P866" i="2"/>
  <c r="Q866" i="2"/>
  <c r="G867" i="2"/>
  <c r="P867" i="2"/>
  <c r="Q867" i="2"/>
  <c r="G868" i="2"/>
  <c r="P868" i="2"/>
  <c r="Q868" i="2"/>
  <c r="G869" i="2"/>
  <c r="P869" i="2"/>
  <c r="Q869" i="2"/>
  <c r="G870" i="2"/>
  <c r="P870" i="2"/>
  <c r="Q870" i="2"/>
  <c r="G871" i="2"/>
  <c r="P871" i="2"/>
  <c r="Q871" i="2"/>
  <c r="G872" i="2"/>
  <c r="P872" i="2"/>
  <c r="Q872" i="2"/>
  <c r="G873" i="2"/>
  <c r="P873" i="2"/>
  <c r="Q873" i="2"/>
  <c r="G874" i="2"/>
  <c r="P874" i="2"/>
  <c r="Q874" i="2"/>
  <c r="G875" i="2"/>
  <c r="P875" i="2"/>
  <c r="Q875" i="2"/>
  <c r="G876" i="2"/>
  <c r="P876" i="2"/>
  <c r="Q876" i="2"/>
  <c r="G877" i="2"/>
  <c r="P877" i="2"/>
  <c r="Q877" i="2"/>
  <c r="G878" i="2"/>
  <c r="P878" i="2"/>
  <c r="Q878" i="2"/>
  <c r="G879" i="2"/>
  <c r="P879" i="2"/>
  <c r="Q879" i="2"/>
  <c r="G880" i="2"/>
  <c r="P880" i="2"/>
  <c r="Q880" i="2"/>
  <c r="G881" i="2"/>
  <c r="P881" i="2"/>
  <c r="Q881" i="2"/>
  <c r="G882" i="2"/>
  <c r="P882" i="2"/>
  <c r="Q882" i="2"/>
  <c r="G883" i="2"/>
  <c r="P883" i="2"/>
  <c r="Q883" i="2"/>
  <c r="G884" i="2"/>
  <c r="P884" i="2"/>
  <c r="Q884" i="2"/>
  <c r="G885" i="2"/>
  <c r="P885" i="2"/>
  <c r="Q885" i="2"/>
  <c r="G886" i="2"/>
  <c r="P886" i="2"/>
  <c r="Q886" i="2"/>
  <c r="G887" i="2"/>
  <c r="P887" i="2"/>
  <c r="Q887" i="2"/>
  <c r="G888" i="2"/>
  <c r="P888" i="2"/>
  <c r="Q888" i="2"/>
  <c r="G889" i="2"/>
  <c r="P889" i="2"/>
  <c r="Q889" i="2"/>
  <c r="G890" i="2"/>
  <c r="P890" i="2"/>
  <c r="Q890" i="2"/>
  <c r="G891" i="2"/>
  <c r="P891" i="2"/>
  <c r="Q891" i="2"/>
  <c r="G892" i="2"/>
  <c r="P892" i="2"/>
  <c r="Q892" i="2"/>
  <c r="G893" i="2"/>
  <c r="P893" i="2"/>
  <c r="Q893" i="2"/>
  <c r="G894" i="2"/>
  <c r="P894" i="2"/>
  <c r="Q894" i="2"/>
  <c r="G895" i="2"/>
  <c r="P895" i="2"/>
  <c r="Q895" i="2"/>
  <c r="G896" i="2"/>
  <c r="P896" i="2"/>
  <c r="Q896" i="2"/>
  <c r="G897" i="2"/>
  <c r="P897" i="2"/>
  <c r="Q897" i="2"/>
  <c r="G898" i="2"/>
  <c r="P898" i="2"/>
  <c r="Q898" i="2"/>
  <c r="G899" i="2"/>
  <c r="P899" i="2"/>
  <c r="Q899" i="2"/>
  <c r="G900" i="2"/>
  <c r="P900" i="2"/>
  <c r="Q900" i="2"/>
  <c r="G901" i="2"/>
  <c r="P901" i="2"/>
  <c r="Q901" i="2"/>
  <c r="G902" i="2"/>
  <c r="P902" i="2"/>
  <c r="Q902" i="2"/>
  <c r="G903" i="2"/>
  <c r="P903" i="2"/>
  <c r="Q903" i="2"/>
  <c r="G904" i="2"/>
  <c r="P904" i="2"/>
  <c r="Q904" i="2"/>
  <c r="G905" i="2"/>
  <c r="P905" i="2"/>
  <c r="Q905" i="2"/>
  <c r="G906" i="2"/>
  <c r="P906" i="2"/>
  <c r="Q906" i="2"/>
  <c r="G907" i="2"/>
  <c r="P907" i="2"/>
  <c r="Q907" i="2"/>
  <c r="G908" i="2"/>
  <c r="P908" i="2"/>
  <c r="Q908" i="2"/>
  <c r="G909" i="2"/>
  <c r="P909" i="2"/>
  <c r="Q909" i="2"/>
  <c r="G910" i="2"/>
  <c r="P910" i="2"/>
  <c r="Q910" i="2"/>
  <c r="G911" i="2"/>
  <c r="P911" i="2"/>
  <c r="Q911" i="2"/>
  <c r="G912" i="2"/>
  <c r="P912" i="2"/>
  <c r="Q912" i="2"/>
  <c r="G913" i="2"/>
  <c r="P913" i="2"/>
  <c r="Q913" i="2"/>
  <c r="G914" i="2"/>
  <c r="P914" i="2"/>
  <c r="Q914" i="2"/>
  <c r="G915" i="2"/>
  <c r="P915" i="2"/>
  <c r="Q915" i="2"/>
  <c r="G916" i="2"/>
  <c r="P916" i="2"/>
  <c r="Q916" i="2"/>
  <c r="G917" i="2"/>
  <c r="P917" i="2"/>
  <c r="Q917" i="2"/>
  <c r="G918" i="2"/>
  <c r="P918" i="2"/>
  <c r="Q918" i="2"/>
  <c r="G919" i="2"/>
  <c r="P919" i="2"/>
  <c r="Q919" i="2"/>
  <c r="G920" i="2"/>
  <c r="P920" i="2"/>
  <c r="Q920" i="2"/>
  <c r="G921" i="2"/>
  <c r="P921" i="2"/>
  <c r="Q921" i="2"/>
  <c r="G922" i="2"/>
  <c r="P922" i="2"/>
  <c r="Q922" i="2"/>
  <c r="G923" i="2"/>
  <c r="P923" i="2"/>
  <c r="Q923" i="2"/>
  <c r="G924" i="2"/>
  <c r="P924" i="2"/>
  <c r="Q924" i="2"/>
  <c r="G925" i="2"/>
  <c r="P925" i="2"/>
  <c r="Q925" i="2"/>
  <c r="G926" i="2"/>
  <c r="P926" i="2"/>
  <c r="Q926" i="2"/>
  <c r="G927" i="2"/>
  <c r="P927" i="2"/>
  <c r="Q927" i="2"/>
  <c r="G928" i="2"/>
  <c r="P928" i="2"/>
  <c r="Q928" i="2"/>
  <c r="G929" i="2"/>
  <c r="P929" i="2"/>
  <c r="Q929" i="2"/>
  <c r="G930" i="2"/>
  <c r="P930" i="2"/>
  <c r="Q930" i="2"/>
  <c r="G931" i="2"/>
  <c r="P931" i="2"/>
  <c r="Q931" i="2"/>
  <c r="G932" i="2"/>
  <c r="P932" i="2"/>
  <c r="Q932" i="2"/>
  <c r="G933" i="2"/>
  <c r="P933" i="2"/>
  <c r="Q933" i="2"/>
  <c r="G934" i="2"/>
  <c r="P934" i="2"/>
  <c r="Q934" i="2"/>
  <c r="G935" i="2"/>
  <c r="P935" i="2"/>
  <c r="Q935" i="2"/>
  <c r="G936" i="2"/>
  <c r="P936" i="2"/>
  <c r="Q936" i="2"/>
  <c r="G937" i="2"/>
  <c r="P937" i="2"/>
  <c r="Q937" i="2"/>
  <c r="G938" i="2"/>
  <c r="P938" i="2"/>
  <c r="Q938" i="2"/>
  <c r="G939" i="2"/>
  <c r="P939" i="2"/>
  <c r="Q939" i="2"/>
  <c r="G940" i="2"/>
  <c r="P940" i="2"/>
  <c r="Q940" i="2"/>
  <c r="G941" i="2"/>
  <c r="P941" i="2"/>
  <c r="Q941" i="2"/>
  <c r="G942" i="2"/>
  <c r="P942" i="2"/>
  <c r="Q942" i="2"/>
  <c r="G943" i="2"/>
  <c r="P943" i="2"/>
  <c r="Q943" i="2"/>
  <c r="G944" i="2"/>
  <c r="P944" i="2"/>
  <c r="Q944" i="2"/>
  <c r="G945" i="2"/>
  <c r="P945" i="2"/>
  <c r="R945" i="2" s="1"/>
  <c r="Q945" i="2"/>
  <c r="G946" i="2"/>
  <c r="P946" i="2"/>
  <c r="R946" i="2" s="1"/>
  <c r="Q946" i="2"/>
  <c r="G947" i="2"/>
  <c r="P947" i="2"/>
  <c r="R947" i="2" s="1"/>
  <c r="Q947" i="2"/>
  <c r="G948" i="2"/>
  <c r="P948" i="2"/>
  <c r="Q948" i="2"/>
  <c r="G949" i="2"/>
  <c r="P949" i="2"/>
  <c r="Q949" i="2"/>
  <c r="G950" i="2"/>
  <c r="P950" i="2"/>
  <c r="Q950" i="2"/>
  <c r="G951" i="2"/>
  <c r="P951" i="2"/>
  <c r="Q951" i="2"/>
  <c r="G952" i="2"/>
  <c r="P952" i="2"/>
  <c r="Q952" i="2"/>
  <c r="G953" i="2"/>
  <c r="P953" i="2"/>
  <c r="Q953" i="2"/>
  <c r="G954" i="2"/>
  <c r="P954" i="2"/>
  <c r="Q954" i="2"/>
  <c r="G955" i="2"/>
  <c r="P955" i="2"/>
  <c r="Q955" i="2"/>
  <c r="G956" i="2"/>
  <c r="P956" i="2"/>
  <c r="Q956" i="2"/>
  <c r="G957" i="2"/>
  <c r="P957" i="2"/>
  <c r="Q957" i="2"/>
  <c r="G958" i="2"/>
  <c r="P958" i="2"/>
  <c r="Q958" i="2"/>
  <c r="G959" i="2"/>
  <c r="P959" i="2"/>
  <c r="Q959" i="2"/>
  <c r="G960" i="2"/>
  <c r="P960" i="2"/>
  <c r="Q960" i="2"/>
  <c r="G961" i="2"/>
  <c r="P961" i="2"/>
  <c r="Q961" i="2"/>
  <c r="G962" i="2"/>
  <c r="P962" i="2"/>
  <c r="Q962" i="2"/>
  <c r="G963" i="2"/>
  <c r="P963" i="2"/>
  <c r="Q963" i="2"/>
  <c r="G964" i="2"/>
  <c r="P964" i="2"/>
  <c r="Q964" i="2"/>
  <c r="G965" i="2"/>
  <c r="P965" i="2"/>
  <c r="Q965" i="2"/>
  <c r="G966" i="2"/>
  <c r="P966" i="2"/>
  <c r="Q966" i="2"/>
  <c r="G967" i="2"/>
  <c r="P967" i="2"/>
  <c r="Q967" i="2"/>
  <c r="R967" i="2"/>
  <c r="G968" i="2"/>
  <c r="P968" i="2"/>
  <c r="R968" i="2" s="1"/>
  <c r="Q968" i="2"/>
  <c r="G969" i="2"/>
  <c r="P969" i="2"/>
  <c r="Q969" i="2"/>
  <c r="G970" i="2"/>
  <c r="P970" i="2"/>
  <c r="Q970" i="2"/>
  <c r="G971" i="2"/>
  <c r="P971" i="2"/>
  <c r="Q971" i="2"/>
  <c r="G972" i="2"/>
  <c r="P972" i="2"/>
  <c r="Q972" i="2"/>
  <c r="G973" i="2"/>
  <c r="P973" i="2"/>
  <c r="Q973" i="2"/>
  <c r="G974" i="2"/>
  <c r="P974" i="2"/>
  <c r="Q974" i="2"/>
  <c r="G975" i="2"/>
  <c r="P975" i="2"/>
  <c r="Q975" i="2"/>
  <c r="G976" i="2"/>
  <c r="P976" i="2"/>
  <c r="Q976" i="2"/>
  <c r="G977" i="2"/>
  <c r="P977" i="2"/>
  <c r="Q977" i="2"/>
  <c r="G978" i="2"/>
  <c r="P978" i="2"/>
  <c r="Q978" i="2"/>
  <c r="G979" i="2"/>
  <c r="P979" i="2"/>
  <c r="Q979" i="2"/>
  <c r="G980" i="2"/>
  <c r="P980" i="2"/>
  <c r="Q980" i="2"/>
  <c r="G981" i="2"/>
  <c r="P981" i="2"/>
  <c r="Q981" i="2"/>
  <c r="G982" i="2"/>
  <c r="P982" i="2"/>
  <c r="Q982" i="2"/>
  <c r="G983" i="2"/>
  <c r="P983" i="2"/>
  <c r="Q983" i="2"/>
  <c r="G984" i="2"/>
  <c r="P984" i="2"/>
  <c r="Q984" i="2"/>
  <c r="G985" i="2"/>
  <c r="P985" i="2"/>
  <c r="Q985" i="2"/>
  <c r="G986" i="2"/>
  <c r="P986" i="2"/>
  <c r="Q986" i="2"/>
  <c r="G987" i="2"/>
  <c r="P987" i="2"/>
  <c r="Q987" i="2"/>
  <c r="G988" i="2"/>
  <c r="P988" i="2"/>
  <c r="Q988" i="2"/>
  <c r="G989" i="2"/>
  <c r="P989" i="2"/>
  <c r="Q989" i="2"/>
  <c r="G990" i="2"/>
  <c r="P990" i="2"/>
  <c r="Q990" i="2"/>
  <c r="G991" i="2"/>
  <c r="P991" i="2"/>
  <c r="Q991" i="2"/>
  <c r="G992" i="2"/>
  <c r="P992" i="2"/>
  <c r="Q992" i="2"/>
  <c r="G993" i="2"/>
  <c r="P993" i="2"/>
  <c r="Q993" i="2"/>
  <c r="G994" i="2"/>
  <c r="P994" i="2"/>
  <c r="Q994" i="2"/>
  <c r="G995" i="2"/>
  <c r="P995" i="2"/>
  <c r="Q995" i="2"/>
  <c r="G996" i="2"/>
  <c r="P996" i="2"/>
  <c r="Q996" i="2"/>
  <c r="G997" i="2"/>
  <c r="P997" i="2"/>
  <c r="Q997" i="2"/>
  <c r="G998" i="2"/>
  <c r="P998" i="2"/>
  <c r="Q998" i="2"/>
  <c r="G999" i="2"/>
  <c r="P999" i="2"/>
  <c r="Q999" i="2"/>
  <c r="G1000" i="2"/>
  <c r="P1000" i="2"/>
  <c r="Q1000" i="2"/>
  <c r="G1001" i="2"/>
  <c r="P1001" i="2"/>
  <c r="Q1001" i="2"/>
  <c r="G1002" i="2"/>
  <c r="P1002" i="2"/>
  <c r="Q1002" i="2"/>
  <c r="G1003" i="2"/>
  <c r="P1003" i="2"/>
  <c r="Q1003" i="2"/>
  <c r="G1004" i="2"/>
  <c r="P1004" i="2"/>
  <c r="Q1004" i="2"/>
  <c r="G1005" i="2"/>
  <c r="P1005" i="2"/>
  <c r="Q1005" i="2"/>
  <c r="G1006" i="2"/>
  <c r="P1006" i="2"/>
  <c r="Q1006" i="2"/>
  <c r="G1007" i="2"/>
  <c r="P1007" i="2"/>
  <c r="Q1007" i="2"/>
  <c r="G1008" i="2"/>
  <c r="P1008" i="2"/>
  <c r="Q1008" i="2"/>
  <c r="G1009" i="2"/>
  <c r="P1009" i="2"/>
  <c r="Q1009" i="2"/>
  <c r="G1010" i="2"/>
  <c r="P1010" i="2"/>
  <c r="Q1010" i="2"/>
  <c r="G1011" i="2"/>
  <c r="P1011" i="2"/>
  <c r="Q1011" i="2"/>
  <c r="G1012" i="2"/>
  <c r="P1012" i="2"/>
  <c r="Q1012" i="2"/>
  <c r="G1013" i="2"/>
  <c r="P1013" i="2"/>
  <c r="Q1013" i="2"/>
  <c r="G1014" i="2"/>
  <c r="P1014" i="2"/>
  <c r="Q1014" i="2"/>
  <c r="G1015" i="2"/>
  <c r="P1015" i="2"/>
  <c r="Q1015" i="2"/>
  <c r="G1016" i="2"/>
  <c r="P1016" i="2"/>
  <c r="Q1016" i="2"/>
  <c r="G1017" i="2"/>
  <c r="P1017" i="2"/>
  <c r="Q1017" i="2"/>
  <c r="G1018" i="2"/>
  <c r="P1018" i="2"/>
  <c r="Q1018" i="2"/>
  <c r="G1019" i="2"/>
  <c r="P1019" i="2"/>
  <c r="Q1019" i="2"/>
  <c r="G1020" i="2"/>
  <c r="P1020" i="2"/>
  <c r="Q1020" i="2"/>
  <c r="G1021" i="2"/>
  <c r="P1021" i="2"/>
  <c r="Q1021" i="2"/>
  <c r="G1022" i="2"/>
  <c r="P1022" i="2"/>
  <c r="Q1022" i="2"/>
  <c r="G1023" i="2"/>
  <c r="P1023" i="2"/>
  <c r="Q1023" i="2"/>
  <c r="G1024" i="2"/>
  <c r="P1024" i="2"/>
  <c r="Q1024" i="2"/>
  <c r="G1025" i="2"/>
  <c r="P1025" i="2"/>
  <c r="Q1025" i="2"/>
  <c r="G1026" i="2"/>
  <c r="P1026" i="2"/>
  <c r="Q1026" i="2"/>
  <c r="G1027" i="2"/>
  <c r="P1027" i="2"/>
  <c r="Q1027" i="2"/>
  <c r="G1028" i="2"/>
  <c r="P1028" i="2"/>
  <c r="Q1028" i="2"/>
  <c r="G1029" i="2"/>
  <c r="P1029" i="2"/>
  <c r="Q1029" i="2"/>
  <c r="G1030" i="2"/>
  <c r="P1030" i="2"/>
  <c r="Q1030" i="2"/>
  <c r="G1031" i="2"/>
  <c r="P1031" i="2"/>
  <c r="Q1031" i="2"/>
  <c r="G1032" i="2"/>
  <c r="P1032" i="2"/>
  <c r="Q1032" i="2"/>
  <c r="G1033" i="2"/>
  <c r="P1033" i="2"/>
  <c r="Q1033" i="2"/>
  <c r="G1034" i="2"/>
  <c r="P1034" i="2"/>
  <c r="Q1034" i="2"/>
  <c r="G1035" i="2"/>
  <c r="P1035" i="2"/>
  <c r="Q1035" i="2"/>
  <c r="G1036" i="2"/>
  <c r="P1036" i="2"/>
  <c r="Q1036" i="2"/>
  <c r="G1037" i="2"/>
  <c r="P1037" i="2"/>
  <c r="Q1037" i="2"/>
  <c r="G1038" i="2"/>
  <c r="P1038" i="2"/>
  <c r="Q1038" i="2"/>
  <c r="G1039" i="2"/>
  <c r="P1039" i="2"/>
  <c r="Q1039" i="2"/>
  <c r="G1040" i="2"/>
  <c r="P1040" i="2"/>
  <c r="Q1040" i="2"/>
  <c r="G1041" i="2"/>
  <c r="P1041" i="2"/>
  <c r="Q1041" i="2"/>
  <c r="G1042" i="2"/>
  <c r="P1042" i="2"/>
  <c r="Q1042" i="2"/>
  <c r="G1043" i="2"/>
  <c r="P1043" i="2"/>
  <c r="Q1043" i="2"/>
  <c r="G1044" i="2"/>
  <c r="P1044" i="2"/>
  <c r="Q1044" i="2"/>
  <c r="G1045" i="2"/>
  <c r="P1045" i="2"/>
  <c r="Q1045" i="2"/>
  <c r="G1046" i="2"/>
  <c r="P1046" i="2"/>
  <c r="Q1046" i="2"/>
  <c r="G1047" i="2"/>
  <c r="P1047" i="2"/>
  <c r="Q1047" i="2"/>
  <c r="G1048" i="2"/>
  <c r="P1048" i="2"/>
  <c r="Q1048" i="2"/>
  <c r="G1049" i="2"/>
  <c r="P1049" i="2"/>
  <c r="Q1049" i="2"/>
  <c r="G1050" i="2"/>
  <c r="P1050" i="2"/>
  <c r="Q1050" i="2"/>
  <c r="G1051" i="2"/>
  <c r="P1051" i="2"/>
  <c r="Q1051" i="2"/>
  <c r="G1052" i="2"/>
  <c r="P1052" i="2"/>
  <c r="Q1052" i="2"/>
  <c r="G1053" i="2"/>
  <c r="P1053" i="2"/>
  <c r="Q1053" i="2"/>
  <c r="G1054" i="2"/>
  <c r="P1054" i="2"/>
  <c r="Q1054" i="2"/>
  <c r="G1055" i="2"/>
  <c r="P1055" i="2"/>
  <c r="Q1055" i="2"/>
  <c r="G1056" i="2"/>
  <c r="P1056" i="2"/>
  <c r="Q1056" i="2"/>
  <c r="G1057" i="2"/>
  <c r="P1057" i="2"/>
  <c r="Q1057" i="2"/>
  <c r="G1058" i="2"/>
  <c r="P1058" i="2"/>
  <c r="Q1058" i="2"/>
  <c r="G1059" i="2"/>
  <c r="P1059" i="2"/>
  <c r="Q1059" i="2"/>
  <c r="G1060" i="2"/>
  <c r="P1060" i="2"/>
  <c r="Q1060" i="2"/>
  <c r="G1061" i="2"/>
  <c r="P1061" i="2"/>
  <c r="Q1061" i="2"/>
  <c r="G1062" i="2"/>
  <c r="P1062" i="2"/>
  <c r="Q1062" i="2"/>
  <c r="G1063" i="2"/>
  <c r="P1063" i="2"/>
  <c r="Q1063" i="2"/>
  <c r="G1064" i="2"/>
  <c r="P1064" i="2"/>
  <c r="Q1064" i="2"/>
  <c r="G1065" i="2"/>
  <c r="P1065" i="2"/>
  <c r="Q1065" i="2"/>
  <c r="G1066" i="2"/>
  <c r="P1066" i="2"/>
  <c r="Q1066" i="2"/>
  <c r="G1067" i="2"/>
  <c r="P1067" i="2"/>
  <c r="Q1067" i="2"/>
  <c r="G1068" i="2"/>
  <c r="P1068" i="2"/>
  <c r="Q1068" i="2"/>
  <c r="G1069" i="2"/>
  <c r="P1069" i="2"/>
  <c r="Q1069" i="2"/>
  <c r="G1070" i="2"/>
  <c r="P1070" i="2"/>
  <c r="Q1070" i="2"/>
  <c r="G1071" i="2"/>
  <c r="P1071" i="2"/>
  <c r="Q1071" i="2"/>
  <c r="G1072" i="2"/>
  <c r="P1072" i="2"/>
  <c r="Q1072" i="2"/>
  <c r="G1073" i="2"/>
  <c r="P1073" i="2"/>
  <c r="Q1073" i="2"/>
  <c r="G1074" i="2"/>
  <c r="P1074" i="2"/>
  <c r="Q1074" i="2"/>
  <c r="G1075" i="2"/>
  <c r="P1075" i="2"/>
  <c r="Q1075" i="2"/>
  <c r="G1076" i="2"/>
  <c r="P1076" i="2"/>
  <c r="Q1076" i="2"/>
  <c r="G1077" i="2"/>
  <c r="P1077" i="2"/>
  <c r="Q1077" i="2"/>
  <c r="G1078" i="2"/>
  <c r="P1078" i="2"/>
  <c r="Q1078" i="2"/>
  <c r="G1079" i="2"/>
  <c r="P1079" i="2"/>
  <c r="Q1079" i="2"/>
  <c r="G1080" i="2"/>
  <c r="P1080" i="2"/>
  <c r="Q1080" i="2"/>
  <c r="G1081" i="2"/>
  <c r="P1081" i="2"/>
  <c r="Q1081" i="2"/>
  <c r="G1082" i="2"/>
  <c r="P1082" i="2"/>
  <c r="Q1082" i="2"/>
  <c r="G1083" i="2"/>
  <c r="P1083" i="2"/>
  <c r="Q1083" i="2"/>
  <c r="G1084" i="2"/>
  <c r="P1084" i="2"/>
  <c r="Q1084" i="2"/>
  <c r="G1085" i="2"/>
  <c r="P1085" i="2"/>
  <c r="Q1085" i="2"/>
  <c r="G1086" i="2"/>
  <c r="P1086" i="2"/>
  <c r="Q1086" i="2"/>
  <c r="G1087" i="2"/>
  <c r="P1087" i="2"/>
  <c r="Q1087" i="2"/>
  <c r="G1088" i="2"/>
  <c r="P1088" i="2"/>
  <c r="Q1088" i="2"/>
  <c r="G1089" i="2"/>
  <c r="P1089" i="2"/>
  <c r="Q1089" i="2"/>
  <c r="G1090" i="2"/>
  <c r="P1090" i="2"/>
  <c r="Q1090" i="2"/>
  <c r="G1091" i="2"/>
  <c r="P1091" i="2"/>
  <c r="Q1091" i="2"/>
  <c r="G1092" i="2"/>
  <c r="P1092" i="2"/>
  <c r="Q1092" i="2"/>
  <c r="G1093" i="2"/>
  <c r="P1093" i="2"/>
  <c r="Q1093" i="2"/>
  <c r="G1094" i="2"/>
  <c r="P1094" i="2"/>
  <c r="Q1094" i="2"/>
  <c r="G1095" i="2"/>
  <c r="P1095" i="2"/>
  <c r="Q1095" i="2"/>
  <c r="G1096" i="2"/>
  <c r="P1096" i="2"/>
  <c r="Q1096" i="2"/>
  <c r="G1097" i="2"/>
  <c r="P1097" i="2"/>
  <c r="Q1097" i="2"/>
  <c r="G1098" i="2"/>
  <c r="P1098" i="2"/>
  <c r="Q1098" i="2"/>
  <c r="G1099" i="2"/>
  <c r="P1099" i="2"/>
  <c r="Q1099" i="2"/>
  <c r="G1100" i="2"/>
  <c r="P1100" i="2"/>
  <c r="Q1100" i="2"/>
  <c r="G1101" i="2"/>
  <c r="P1101" i="2"/>
  <c r="Q1101" i="2"/>
  <c r="G1102" i="2"/>
  <c r="P1102" i="2"/>
  <c r="Q1102" i="2"/>
  <c r="G1103" i="2"/>
  <c r="P1103" i="2"/>
  <c r="Q1103" i="2"/>
  <c r="G1104" i="2"/>
  <c r="P1104" i="2"/>
  <c r="Q1104" i="2"/>
  <c r="G1105" i="2"/>
  <c r="P1105" i="2"/>
  <c r="Q1105" i="2"/>
  <c r="G1106" i="2"/>
  <c r="P1106" i="2"/>
  <c r="Q1106" i="2"/>
  <c r="H3" i="1"/>
  <c r="K3" i="1"/>
  <c r="P3" i="1"/>
  <c r="S3" i="1"/>
  <c r="W3" i="1"/>
  <c r="X3" i="1"/>
  <c r="Y3" i="1"/>
  <c r="AD3" i="1" s="1"/>
  <c r="AA3" i="1"/>
  <c r="AE3" i="1" s="1"/>
  <c r="AB3" i="1"/>
  <c r="AC3" i="1"/>
  <c r="H4" i="1"/>
  <c r="Y4" i="1" s="1"/>
  <c r="AD4" i="1" s="1"/>
  <c r="K4" i="1"/>
  <c r="AC4" i="1" s="1"/>
  <c r="P4" i="1"/>
  <c r="S4" i="1"/>
  <c r="W4" i="1"/>
  <c r="X4" i="1"/>
  <c r="AA4" i="1"/>
  <c r="AB4" i="1"/>
  <c r="AE4" i="1"/>
  <c r="H5" i="1"/>
  <c r="K5" i="1"/>
  <c r="P5" i="1"/>
  <c r="S5" i="1"/>
  <c r="AC5" i="1" s="1"/>
  <c r="W5" i="1"/>
  <c r="X5" i="1"/>
  <c r="Y5" i="1"/>
  <c r="AD5" i="1" s="1"/>
  <c r="AA5" i="1"/>
  <c r="AE5" i="1" s="1"/>
  <c r="AB5" i="1"/>
  <c r="H6" i="1"/>
  <c r="Y6" i="1" s="1"/>
  <c r="AD6" i="1" s="1"/>
  <c r="K6" i="1"/>
  <c r="P6" i="1"/>
  <c r="S6" i="1"/>
  <c r="W6" i="1"/>
  <c r="X6" i="1"/>
  <c r="AA6" i="1"/>
  <c r="AB6" i="1"/>
  <c r="AC6" i="1"/>
  <c r="AE6" i="1"/>
  <c r="H7" i="1"/>
  <c r="K7" i="1"/>
  <c r="P7" i="1"/>
  <c r="S7" i="1"/>
  <c r="AC7" i="1" s="1"/>
  <c r="W7" i="1"/>
  <c r="X7" i="1"/>
  <c r="Y7" i="1"/>
  <c r="AD7" i="1" s="1"/>
  <c r="AA7" i="1"/>
  <c r="AE7" i="1" s="1"/>
  <c r="AB7" i="1"/>
  <c r="H8" i="1"/>
  <c r="Y8" i="1" s="1"/>
  <c r="AD8" i="1" s="1"/>
  <c r="K8" i="1"/>
  <c r="P8" i="1"/>
  <c r="S8" i="1"/>
  <c r="W8" i="1"/>
  <c r="X8" i="1"/>
  <c r="AA8" i="1"/>
  <c r="AB8" i="1"/>
  <c r="AC8" i="1"/>
  <c r="AE8" i="1"/>
  <c r="H9" i="1"/>
  <c r="K9" i="1"/>
  <c r="P9" i="1"/>
  <c r="S9" i="1"/>
  <c r="AC9" i="1" s="1"/>
  <c r="W9" i="1"/>
  <c r="X9" i="1"/>
  <c r="Y9" i="1"/>
  <c r="AD9" i="1" s="1"/>
  <c r="AA9" i="1"/>
  <c r="AE9" i="1" s="1"/>
  <c r="AB9" i="1"/>
  <c r="H10" i="1"/>
  <c r="Y10" i="1" s="1"/>
  <c r="AD10" i="1" s="1"/>
  <c r="K10" i="1"/>
  <c r="P10" i="1"/>
  <c r="S10" i="1"/>
  <c r="W10" i="1"/>
  <c r="X10" i="1"/>
  <c r="AA10" i="1"/>
  <c r="AB10" i="1"/>
  <c r="AC10" i="1"/>
  <c r="AE10" i="1"/>
  <c r="H11" i="1"/>
  <c r="K11" i="1"/>
  <c r="P11" i="1"/>
  <c r="S11" i="1"/>
  <c r="AC11" i="1" s="1"/>
  <c r="W11" i="1"/>
  <c r="X11" i="1"/>
  <c r="Y11" i="1"/>
  <c r="AD11" i="1" s="1"/>
  <c r="AA11" i="1"/>
  <c r="AE11" i="1" s="1"/>
  <c r="AB11" i="1"/>
  <c r="H12" i="1"/>
  <c r="Y12" i="1" s="1"/>
  <c r="AD12" i="1" s="1"/>
  <c r="K12" i="1"/>
  <c r="AC12" i="1" s="1"/>
  <c r="P12" i="1"/>
  <c r="S12" i="1"/>
  <c r="W12" i="1"/>
  <c r="X12" i="1"/>
  <c r="AA12" i="1"/>
  <c r="AB12" i="1"/>
  <c r="AE12" i="1"/>
  <c r="H13" i="1"/>
  <c r="K13" i="1"/>
  <c r="P13" i="1"/>
  <c r="S13" i="1"/>
  <c r="AC13" i="1" s="1"/>
  <c r="W13" i="1"/>
  <c r="X13" i="1"/>
  <c r="Y13" i="1"/>
  <c r="AD13" i="1" s="1"/>
  <c r="AA13" i="1"/>
  <c r="AE13" i="1" s="1"/>
  <c r="AB13" i="1"/>
  <c r="H14" i="1"/>
  <c r="Y14" i="1" s="1"/>
  <c r="AD14" i="1" s="1"/>
  <c r="K14" i="1"/>
  <c r="AC14" i="1" s="1"/>
  <c r="P14" i="1"/>
  <c r="S14" i="1"/>
  <c r="W14" i="1"/>
  <c r="X14" i="1"/>
  <c r="AA14" i="1"/>
  <c r="AB14" i="1"/>
  <c r="AE14" i="1"/>
  <c r="H15" i="1"/>
  <c r="K15" i="1"/>
  <c r="P15" i="1"/>
  <c r="S15" i="1"/>
  <c r="AC15" i="1" s="1"/>
  <c r="W15" i="1"/>
  <c r="X15" i="1"/>
  <c r="Y15" i="1"/>
  <c r="AD15" i="1" s="1"/>
  <c r="AA15" i="1"/>
  <c r="AE15" i="1" s="1"/>
  <c r="AB15" i="1"/>
  <c r="H16" i="1"/>
  <c r="Y16" i="1" s="1"/>
  <c r="AD16" i="1" s="1"/>
  <c r="K16" i="1"/>
  <c r="AC16" i="1" s="1"/>
  <c r="P16" i="1"/>
  <c r="S16" i="1"/>
  <c r="W16" i="1"/>
  <c r="X16" i="1"/>
  <c r="AA16" i="1"/>
  <c r="AB16" i="1"/>
  <c r="AE16" i="1"/>
  <c r="H17" i="1"/>
  <c r="K17" i="1"/>
  <c r="P17" i="1"/>
  <c r="S17" i="1"/>
  <c r="AC17" i="1" s="1"/>
  <c r="W17" i="1"/>
  <c r="X17" i="1"/>
  <c r="Y17" i="1"/>
  <c r="AD17" i="1" s="1"/>
  <c r="AA17" i="1"/>
  <c r="AE17" i="1" s="1"/>
  <c r="AB17" i="1"/>
  <c r="H18" i="1"/>
  <c r="Y18" i="1" s="1"/>
  <c r="AD18" i="1" s="1"/>
  <c r="K18" i="1"/>
  <c r="P18" i="1"/>
  <c r="S18" i="1"/>
  <c r="W18" i="1"/>
  <c r="X18" i="1"/>
  <c r="AA18" i="1"/>
  <c r="AB18" i="1"/>
  <c r="AC18" i="1"/>
  <c r="AE18" i="1"/>
  <c r="H19" i="1"/>
  <c r="K19" i="1"/>
  <c r="P19" i="1"/>
  <c r="S19" i="1"/>
  <c r="AC19" i="1" s="1"/>
  <c r="W19" i="1"/>
  <c r="X19" i="1"/>
  <c r="Y19" i="1"/>
  <c r="AD19" i="1" s="1"/>
  <c r="AA19" i="1"/>
  <c r="AE19" i="1" s="1"/>
  <c r="AB19" i="1"/>
  <c r="H20" i="1"/>
  <c r="Y20" i="1" s="1"/>
  <c r="AD20" i="1" s="1"/>
  <c r="K20" i="1"/>
  <c r="AC20" i="1" s="1"/>
  <c r="P20" i="1"/>
  <c r="S20" i="1"/>
  <c r="W20" i="1"/>
  <c r="X20" i="1"/>
  <c r="AA20" i="1"/>
  <c r="AB20" i="1"/>
  <c r="AE20" i="1"/>
  <c r="H21" i="1"/>
  <c r="K21" i="1"/>
  <c r="P21" i="1"/>
  <c r="S21" i="1"/>
  <c r="W21" i="1"/>
  <c r="X21" i="1"/>
  <c r="Y21" i="1"/>
  <c r="AD21" i="1" s="1"/>
  <c r="AA21" i="1"/>
  <c r="AE21" i="1" s="1"/>
  <c r="AB21" i="1"/>
  <c r="AC21" i="1"/>
  <c r="H22" i="1"/>
  <c r="Y22" i="1" s="1"/>
  <c r="AD22" i="1" s="1"/>
  <c r="K22" i="1"/>
  <c r="AC22" i="1" s="1"/>
  <c r="P22" i="1"/>
  <c r="S22" i="1"/>
  <c r="W22" i="1"/>
  <c r="X22" i="1"/>
  <c r="AA22" i="1"/>
  <c r="AB22" i="1"/>
  <c r="AE22" i="1"/>
  <c r="H23" i="1"/>
  <c r="K23" i="1"/>
  <c r="P23" i="1"/>
  <c r="S23" i="1"/>
  <c r="W23" i="1"/>
  <c r="X23" i="1"/>
  <c r="Y23" i="1"/>
  <c r="AD23" i="1" s="1"/>
  <c r="AA23" i="1"/>
  <c r="AE23" i="1" s="1"/>
  <c r="AB23" i="1"/>
  <c r="AC23" i="1"/>
  <c r="H24" i="1"/>
  <c r="Y24" i="1" s="1"/>
  <c r="AD24" i="1" s="1"/>
  <c r="K24" i="1"/>
  <c r="AC24" i="1" s="1"/>
  <c r="P24" i="1"/>
  <c r="S24" i="1"/>
  <c r="W24" i="1"/>
  <c r="X24" i="1"/>
  <c r="AA24" i="1"/>
  <c r="AB24" i="1"/>
  <c r="AE24" i="1"/>
  <c r="H25" i="1"/>
  <c r="K25" i="1"/>
  <c r="P25" i="1"/>
  <c r="S25" i="1"/>
  <c r="W25" i="1"/>
  <c r="X25" i="1"/>
  <c r="Y25" i="1"/>
  <c r="AD25" i="1" s="1"/>
  <c r="AA25" i="1"/>
  <c r="AE25" i="1" s="1"/>
  <c r="AB25" i="1"/>
  <c r="AC25" i="1"/>
  <c r="H26" i="1"/>
  <c r="Y26" i="1" s="1"/>
  <c r="AD26" i="1" s="1"/>
  <c r="K26" i="1"/>
  <c r="P26" i="1"/>
  <c r="S26" i="1"/>
  <c r="W26" i="1"/>
  <c r="X26" i="1"/>
  <c r="AA26" i="1"/>
  <c r="AB26" i="1"/>
  <c r="AC26" i="1"/>
  <c r="AE26" i="1"/>
  <c r="H27" i="1"/>
  <c r="K27" i="1"/>
  <c r="P27" i="1"/>
  <c r="S27" i="1"/>
  <c r="W27" i="1"/>
  <c r="X27" i="1"/>
  <c r="Y27" i="1"/>
  <c r="AD27" i="1" s="1"/>
  <c r="AA27" i="1"/>
  <c r="AE27" i="1" s="1"/>
  <c r="AB27" i="1"/>
  <c r="AC27" i="1"/>
  <c r="H28" i="1"/>
  <c r="Y28" i="1" s="1"/>
  <c r="AD28" i="1" s="1"/>
  <c r="K28" i="1"/>
  <c r="AC28" i="1" s="1"/>
  <c r="P28" i="1"/>
  <c r="S28" i="1"/>
  <c r="W28" i="1"/>
  <c r="X28" i="1"/>
  <c r="AA28" i="1"/>
  <c r="AB28" i="1"/>
  <c r="AE28" i="1"/>
  <c r="H29" i="1"/>
  <c r="K29" i="1"/>
  <c r="P29" i="1"/>
  <c r="S29" i="1"/>
  <c r="AC29" i="1" s="1"/>
  <c r="W29" i="1"/>
  <c r="X29" i="1"/>
  <c r="Y29" i="1"/>
  <c r="AD29" i="1" s="1"/>
  <c r="AA29" i="1"/>
  <c r="AE29" i="1" s="1"/>
  <c r="AB29" i="1"/>
  <c r="H30" i="1"/>
  <c r="Y30" i="1" s="1"/>
  <c r="AD30" i="1" s="1"/>
  <c r="K30" i="1"/>
  <c r="AC30" i="1" s="1"/>
  <c r="P30" i="1"/>
  <c r="S30" i="1"/>
  <c r="W30" i="1"/>
  <c r="X30" i="1"/>
  <c r="AA30" i="1"/>
  <c r="AB30" i="1"/>
  <c r="AE30" i="1"/>
  <c r="H31" i="1"/>
  <c r="K31" i="1"/>
  <c r="P31" i="1"/>
  <c r="S31" i="1"/>
  <c r="W31" i="1"/>
  <c r="X31" i="1"/>
  <c r="Y31" i="1"/>
  <c r="AD31" i="1" s="1"/>
  <c r="AA31" i="1"/>
  <c r="AE31" i="1" s="1"/>
  <c r="AB31" i="1"/>
  <c r="AC31" i="1"/>
  <c r="H32" i="1"/>
  <c r="Y32" i="1" s="1"/>
  <c r="AD32" i="1" s="1"/>
  <c r="K32" i="1"/>
  <c r="AC32" i="1" s="1"/>
  <c r="P32" i="1"/>
  <c r="S32" i="1"/>
  <c r="W32" i="1"/>
  <c r="X32" i="1"/>
  <c r="AA32" i="1"/>
  <c r="AB32" i="1"/>
  <c r="AE32" i="1"/>
  <c r="H33" i="1"/>
  <c r="K33" i="1"/>
  <c r="P33" i="1"/>
  <c r="S33" i="1"/>
  <c r="W33" i="1"/>
  <c r="X33" i="1"/>
  <c r="Y33" i="1"/>
  <c r="AD33" i="1" s="1"/>
  <c r="AA33" i="1"/>
  <c r="AE33" i="1" s="1"/>
  <c r="AB33" i="1"/>
  <c r="AC33" i="1"/>
  <c r="H34" i="1"/>
  <c r="Y34" i="1" s="1"/>
  <c r="AD34" i="1" s="1"/>
  <c r="K34" i="1"/>
  <c r="AC34" i="1" s="1"/>
  <c r="P34" i="1"/>
  <c r="S34" i="1"/>
  <c r="W34" i="1"/>
  <c r="X34" i="1"/>
  <c r="AA34" i="1"/>
  <c r="AB34" i="1"/>
  <c r="AE34" i="1"/>
  <c r="H35" i="1"/>
  <c r="K35" i="1"/>
  <c r="P35" i="1"/>
  <c r="S35" i="1"/>
  <c r="AC35" i="1" s="1"/>
  <c r="W35" i="1"/>
  <c r="X35" i="1"/>
  <c r="Y35" i="1"/>
  <c r="AD35" i="1" s="1"/>
  <c r="AA35" i="1"/>
  <c r="AE35" i="1" s="1"/>
  <c r="AB35" i="1"/>
  <c r="H36" i="1"/>
  <c r="Y36" i="1" s="1"/>
  <c r="AD36" i="1" s="1"/>
  <c r="K36" i="1"/>
  <c r="AC36" i="1" s="1"/>
  <c r="P36" i="1"/>
  <c r="S36" i="1"/>
  <c r="W36" i="1"/>
  <c r="X36" i="1"/>
  <c r="AA36" i="1"/>
  <c r="AB36" i="1"/>
  <c r="AE36" i="1"/>
  <c r="H37" i="1"/>
  <c r="K37" i="1"/>
  <c r="P37" i="1"/>
  <c r="S37" i="1"/>
  <c r="AC37" i="1" s="1"/>
  <c r="W37" i="1"/>
  <c r="X37" i="1"/>
  <c r="Y37" i="1"/>
  <c r="AD37" i="1" s="1"/>
  <c r="AA37" i="1"/>
  <c r="AE37" i="1" s="1"/>
  <c r="AB37" i="1"/>
  <c r="H38" i="1"/>
  <c r="Y38" i="1" s="1"/>
  <c r="AD38" i="1" s="1"/>
  <c r="K38" i="1"/>
  <c r="P38" i="1"/>
  <c r="S38" i="1"/>
  <c r="W38" i="1"/>
  <c r="X38" i="1"/>
  <c r="AA38" i="1"/>
  <c r="AB38" i="1"/>
  <c r="AC38" i="1"/>
  <c r="AE38" i="1"/>
  <c r="H39" i="1"/>
  <c r="K39" i="1"/>
  <c r="P39" i="1"/>
  <c r="S39" i="1"/>
  <c r="AC39" i="1" s="1"/>
  <c r="W39" i="1"/>
  <c r="X39" i="1"/>
  <c r="Y39" i="1"/>
  <c r="AD39" i="1" s="1"/>
  <c r="AA39" i="1"/>
  <c r="AE39" i="1" s="1"/>
  <c r="AB39" i="1"/>
  <c r="H40" i="1"/>
  <c r="Y40" i="1" s="1"/>
  <c r="AD40" i="1" s="1"/>
  <c r="K40" i="1"/>
  <c r="P40" i="1"/>
  <c r="S40" i="1"/>
  <c r="W40" i="1"/>
  <c r="X40" i="1"/>
  <c r="AA40" i="1"/>
  <c r="AB40" i="1"/>
  <c r="AC40" i="1"/>
  <c r="AE40" i="1"/>
  <c r="H41" i="1"/>
  <c r="K41" i="1"/>
  <c r="P41" i="1"/>
  <c r="S41" i="1"/>
  <c r="AC41" i="1" s="1"/>
  <c r="W41" i="1"/>
  <c r="X41" i="1"/>
  <c r="Y41" i="1"/>
  <c r="AD41" i="1" s="1"/>
  <c r="AA41" i="1"/>
  <c r="AE41" i="1" s="1"/>
  <c r="AB41" i="1"/>
  <c r="H42" i="1"/>
  <c r="Y42" i="1" s="1"/>
  <c r="AD42" i="1" s="1"/>
  <c r="K42" i="1"/>
  <c r="AC42" i="1" s="1"/>
  <c r="P42" i="1"/>
  <c r="S42" i="1"/>
  <c r="W42" i="1"/>
  <c r="X42" i="1"/>
  <c r="AA42" i="1"/>
  <c r="AB42" i="1"/>
  <c r="AE42" i="1"/>
  <c r="H43" i="1"/>
  <c r="K43" i="1"/>
  <c r="P43" i="1"/>
  <c r="S43" i="1"/>
  <c r="AC43" i="1" s="1"/>
  <c r="W43" i="1"/>
  <c r="X43" i="1"/>
  <c r="Y43" i="1"/>
  <c r="AD43" i="1" s="1"/>
  <c r="AA43" i="1"/>
  <c r="AE43" i="1" s="1"/>
  <c r="AB43" i="1"/>
  <c r="H44" i="1"/>
  <c r="Y44" i="1" s="1"/>
  <c r="AD44" i="1" s="1"/>
  <c r="K44" i="1"/>
  <c r="AC44" i="1" s="1"/>
  <c r="P44" i="1"/>
  <c r="S44" i="1"/>
  <c r="W44" i="1"/>
  <c r="X44" i="1"/>
  <c r="AA44" i="1"/>
  <c r="AB44" i="1"/>
  <c r="AE44" i="1"/>
  <c r="H45" i="1"/>
  <c r="K45" i="1"/>
  <c r="P45" i="1"/>
  <c r="S45" i="1"/>
  <c r="AC45" i="1" s="1"/>
  <c r="W45" i="1"/>
  <c r="X45" i="1"/>
  <c r="Y45" i="1"/>
  <c r="AD45" i="1" s="1"/>
  <c r="AA45" i="1"/>
  <c r="AE45" i="1" s="1"/>
  <c r="AB45" i="1"/>
  <c r="H46" i="1"/>
  <c r="Y46" i="1" s="1"/>
  <c r="AD46" i="1" s="1"/>
  <c r="K46" i="1"/>
  <c r="P46" i="1"/>
  <c r="S46" i="1"/>
  <c r="W46" i="1"/>
  <c r="X46" i="1"/>
  <c r="AA46" i="1"/>
  <c r="AB46" i="1"/>
  <c r="AC46" i="1"/>
  <c r="AE46" i="1"/>
  <c r="H47" i="1"/>
  <c r="K47" i="1"/>
  <c r="P47" i="1"/>
  <c r="S47" i="1"/>
  <c r="W47" i="1"/>
  <c r="X47" i="1"/>
  <c r="Y47" i="1"/>
  <c r="AD47" i="1" s="1"/>
  <c r="AA47" i="1"/>
  <c r="AE47" i="1" s="1"/>
  <c r="AB47" i="1"/>
  <c r="AC47" i="1"/>
  <c r="H48" i="1"/>
  <c r="Y48" i="1" s="1"/>
  <c r="AD48" i="1" s="1"/>
  <c r="K48" i="1"/>
  <c r="P48" i="1"/>
  <c r="S48" i="1"/>
  <c r="W48" i="1"/>
  <c r="X48" i="1"/>
  <c r="AA48" i="1"/>
  <c r="AB48" i="1"/>
  <c r="AC48" i="1"/>
  <c r="AE48" i="1"/>
  <c r="H49" i="1"/>
  <c r="K49" i="1"/>
  <c r="P49" i="1"/>
  <c r="S49" i="1"/>
  <c r="W49" i="1"/>
  <c r="X49" i="1"/>
  <c r="Y49" i="1"/>
  <c r="AD49" i="1" s="1"/>
  <c r="AA49" i="1"/>
  <c r="AE49" i="1" s="1"/>
  <c r="AB49" i="1"/>
  <c r="AC49" i="1"/>
  <c r="H50" i="1"/>
  <c r="Y50" i="1" s="1"/>
  <c r="AD50" i="1" s="1"/>
  <c r="K50" i="1"/>
  <c r="P50" i="1"/>
  <c r="S50" i="1"/>
  <c r="W50" i="1"/>
  <c r="X50" i="1"/>
  <c r="AA50" i="1"/>
  <c r="AB50" i="1"/>
  <c r="AC50" i="1"/>
  <c r="AE50" i="1"/>
  <c r="H51" i="1"/>
  <c r="K51" i="1"/>
  <c r="P51" i="1"/>
  <c r="S51" i="1"/>
  <c r="W51" i="1"/>
  <c r="X51" i="1"/>
  <c r="Y51" i="1"/>
  <c r="AD51" i="1" s="1"/>
  <c r="AA51" i="1"/>
  <c r="AE51" i="1" s="1"/>
  <c r="AB51" i="1"/>
  <c r="AC51" i="1"/>
  <c r="H52" i="1"/>
  <c r="Y52" i="1" s="1"/>
  <c r="AD52" i="1" s="1"/>
  <c r="K52" i="1"/>
  <c r="P52" i="1"/>
  <c r="S52" i="1"/>
  <c r="W52" i="1"/>
  <c r="X52" i="1"/>
  <c r="AA52" i="1"/>
  <c r="AB52" i="1"/>
  <c r="AC52" i="1"/>
  <c r="AE52" i="1"/>
  <c r="H53" i="1"/>
  <c r="K53" i="1"/>
  <c r="P53" i="1"/>
  <c r="S53" i="1"/>
  <c r="W53" i="1"/>
  <c r="X53" i="1"/>
  <c r="Y53" i="1"/>
  <c r="AD53" i="1" s="1"/>
  <c r="AA53" i="1"/>
  <c r="AE53" i="1" s="1"/>
  <c r="AB53" i="1"/>
  <c r="AC53" i="1"/>
  <c r="H54" i="1"/>
  <c r="Y54" i="1" s="1"/>
  <c r="AD54" i="1" s="1"/>
  <c r="K54" i="1"/>
  <c r="P54" i="1"/>
  <c r="S54" i="1"/>
  <c r="W54" i="1"/>
  <c r="X54" i="1"/>
  <c r="AA54" i="1"/>
  <c r="AB54" i="1"/>
  <c r="AC54" i="1"/>
  <c r="AE54" i="1"/>
  <c r="H55" i="1"/>
  <c r="K55" i="1"/>
  <c r="P55" i="1"/>
  <c r="S55" i="1"/>
  <c r="W55" i="1"/>
  <c r="X55" i="1"/>
  <c r="Y55" i="1"/>
  <c r="AD55" i="1" s="1"/>
  <c r="AA55" i="1"/>
  <c r="AE55" i="1" s="1"/>
  <c r="AB55" i="1"/>
  <c r="AC55" i="1"/>
  <c r="H56" i="1"/>
  <c r="Y56" i="1" s="1"/>
  <c r="AD56" i="1" s="1"/>
  <c r="K56" i="1"/>
  <c r="P56" i="1"/>
  <c r="S56" i="1"/>
  <c r="W56" i="1"/>
  <c r="X56" i="1"/>
  <c r="AA56" i="1"/>
  <c r="AB56" i="1"/>
  <c r="AC56" i="1"/>
  <c r="AE56" i="1"/>
  <c r="H57" i="1"/>
  <c r="K57" i="1"/>
  <c r="P57" i="1"/>
  <c r="S57" i="1"/>
  <c r="W57" i="1"/>
  <c r="X57" i="1"/>
  <c r="Y57" i="1"/>
  <c r="AD57" i="1" s="1"/>
  <c r="AA57" i="1"/>
  <c r="AE57" i="1" s="1"/>
  <c r="AB57" i="1"/>
  <c r="AC57" i="1"/>
  <c r="H58" i="1"/>
  <c r="Y58" i="1" s="1"/>
  <c r="AD58" i="1" s="1"/>
  <c r="K58" i="1"/>
  <c r="P58" i="1"/>
  <c r="S58" i="1"/>
  <c r="W58" i="1"/>
  <c r="X58" i="1"/>
  <c r="AA58" i="1"/>
  <c r="AB58" i="1"/>
  <c r="AC58" i="1"/>
  <c r="AE58" i="1"/>
  <c r="H59" i="1"/>
  <c r="K59" i="1"/>
  <c r="P59" i="1"/>
  <c r="S59" i="1"/>
  <c r="W59" i="1"/>
  <c r="X59" i="1"/>
  <c r="Y59" i="1"/>
  <c r="AD59" i="1" s="1"/>
  <c r="AA59" i="1"/>
  <c r="AE59" i="1" s="1"/>
  <c r="AB59" i="1"/>
  <c r="AC59" i="1"/>
  <c r="H60" i="1"/>
  <c r="Y60" i="1" s="1"/>
  <c r="AD60" i="1" s="1"/>
  <c r="K60" i="1"/>
  <c r="P60" i="1"/>
  <c r="S60" i="1"/>
  <c r="W60" i="1"/>
  <c r="X60" i="1"/>
  <c r="AA60" i="1"/>
  <c r="AB60" i="1"/>
  <c r="AC60" i="1"/>
  <c r="AE60" i="1"/>
  <c r="H61" i="1"/>
  <c r="K61" i="1"/>
  <c r="P61" i="1"/>
  <c r="S61" i="1"/>
  <c r="W61" i="1"/>
  <c r="X61" i="1"/>
  <c r="Y61" i="1"/>
  <c r="AD61" i="1" s="1"/>
  <c r="AA61" i="1"/>
  <c r="AE61" i="1" s="1"/>
  <c r="AB61" i="1"/>
  <c r="AC61" i="1"/>
  <c r="H62" i="1"/>
  <c r="Y62" i="1" s="1"/>
  <c r="AD62" i="1" s="1"/>
  <c r="K62" i="1"/>
  <c r="P62" i="1"/>
  <c r="S62" i="1"/>
  <c r="W62" i="1"/>
  <c r="X62" i="1"/>
  <c r="AA62" i="1"/>
  <c r="AB62" i="1"/>
  <c r="AC62" i="1"/>
  <c r="AE62" i="1"/>
  <c r="H63" i="1"/>
  <c r="K63" i="1"/>
  <c r="P63" i="1"/>
  <c r="S63" i="1"/>
  <c r="W63" i="1"/>
  <c r="X63" i="1"/>
  <c r="Y63" i="1"/>
  <c r="AD63" i="1" s="1"/>
  <c r="AA63" i="1"/>
  <c r="AE63" i="1" s="1"/>
  <c r="AB63" i="1"/>
  <c r="AC63" i="1"/>
  <c r="H64" i="1"/>
  <c r="Y64" i="1" s="1"/>
  <c r="AD64" i="1" s="1"/>
  <c r="K64" i="1"/>
  <c r="P64" i="1"/>
  <c r="S64" i="1"/>
  <c r="W64" i="1"/>
  <c r="X64" i="1"/>
  <c r="AA64" i="1"/>
  <c r="AB64" i="1"/>
  <c r="AC64" i="1"/>
  <c r="AE64" i="1"/>
  <c r="H65" i="1"/>
  <c r="K65" i="1"/>
  <c r="P65" i="1"/>
  <c r="S65" i="1"/>
  <c r="W65" i="1"/>
  <c r="X65" i="1"/>
  <c r="Y65" i="1"/>
  <c r="AD65" i="1" s="1"/>
  <c r="AA65" i="1"/>
  <c r="AE65" i="1" s="1"/>
  <c r="AB65" i="1"/>
  <c r="AC65" i="1"/>
  <c r="H66" i="1"/>
  <c r="Y66" i="1" s="1"/>
  <c r="AD66" i="1" s="1"/>
  <c r="K66" i="1"/>
  <c r="P66" i="1"/>
  <c r="S66" i="1"/>
  <c r="W66" i="1"/>
  <c r="X66" i="1"/>
  <c r="AA66" i="1"/>
  <c r="AB66" i="1"/>
  <c r="AC66" i="1"/>
  <c r="AE66" i="1"/>
  <c r="H67" i="1"/>
  <c r="K67" i="1"/>
  <c r="P67" i="1"/>
  <c r="S67" i="1"/>
  <c r="W67" i="1"/>
  <c r="X67" i="1"/>
  <c r="Y67" i="1"/>
  <c r="AD67" i="1" s="1"/>
  <c r="AA67" i="1"/>
  <c r="AE67" i="1" s="1"/>
  <c r="AB67" i="1"/>
  <c r="AC67" i="1"/>
  <c r="H68" i="1"/>
  <c r="Y68" i="1" s="1"/>
  <c r="AD68" i="1" s="1"/>
  <c r="K68" i="1"/>
  <c r="P68" i="1"/>
  <c r="S68" i="1"/>
  <c r="W68" i="1"/>
  <c r="X68" i="1"/>
  <c r="AA68" i="1"/>
  <c r="AB68" i="1"/>
  <c r="AC68" i="1"/>
  <c r="AE68" i="1"/>
  <c r="H69" i="1"/>
  <c r="K69" i="1"/>
  <c r="P69" i="1"/>
  <c r="S69" i="1"/>
  <c r="W69" i="1"/>
  <c r="X69" i="1"/>
  <c r="Y69" i="1"/>
  <c r="AD69" i="1" s="1"/>
  <c r="AA69" i="1"/>
  <c r="AE69" i="1" s="1"/>
  <c r="AB69" i="1"/>
  <c r="AC69" i="1"/>
  <c r="H70" i="1"/>
  <c r="Y70" i="1" s="1"/>
  <c r="AD70" i="1" s="1"/>
  <c r="K70" i="1"/>
  <c r="P70" i="1"/>
  <c r="S70" i="1"/>
  <c r="W70" i="1"/>
  <c r="X70" i="1"/>
  <c r="AA70" i="1"/>
  <c r="AB70" i="1"/>
  <c r="AC70" i="1"/>
  <c r="AE70" i="1"/>
  <c r="H71" i="1"/>
  <c r="K71" i="1"/>
  <c r="P71" i="1"/>
  <c r="S71" i="1"/>
  <c r="W71" i="1"/>
  <c r="X71" i="1"/>
  <c r="Y71" i="1"/>
  <c r="AD71" i="1" s="1"/>
  <c r="AA71" i="1"/>
  <c r="AE71" i="1" s="1"/>
  <c r="AB71" i="1"/>
  <c r="AC71" i="1"/>
  <c r="H72" i="1"/>
  <c r="Y72" i="1" s="1"/>
  <c r="AD72" i="1" s="1"/>
  <c r="K72" i="1"/>
  <c r="P72" i="1"/>
  <c r="S72" i="1"/>
  <c r="W72" i="1"/>
  <c r="X72" i="1"/>
  <c r="AA72" i="1"/>
  <c r="AB72" i="1"/>
  <c r="AC72" i="1"/>
  <c r="AE72" i="1"/>
  <c r="H73" i="1"/>
  <c r="K73" i="1"/>
  <c r="P73" i="1"/>
  <c r="S73" i="1"/>
  <c r="W73" i="1"/>
  <c r="X73" i="1"/>
  <c r="Y73" i="1"/>
  <c r="AD73" i="1" s="1"/>
  <c r="AA73" i="1"/>
  <c r="AE73" i="1" s="1"/>
  <c r="AB73" i="1"/>
  <c r="AC73" i="1"/>
  <c r="H74" i="1"/>
  <c r="Y74" i="1" s="1"/>
  <c r="AD74" i="1" s="1"/>
  <c r="K74" i="1"/>
  <c r="P74" i="1"/>
  <c r="S74" i="1"/>
  <c r="W74" i="1"/>
  <c r="X74" i="1"/>
  <c r="AA74" i="1"/>
  <c r="AB74" i="1"/>
  <c r="AC74" i="1"/>
  <c r="AE74" i="1"/>
  <c r="H75" i="1"/>
  <c r="K75" i="1"/>
  <c r="P75" i="1"/>
  <c r="S75" i="1"/>
  <c r="W75" i="1"/>
  <c r="X75" i="1"/>
  <c r="Y75" i="1"/>
  <c r="AD75" i="1" s="1"/>
  <c r="AA75" i="1"/>
  <c r="AE75" i="1" s="1"/>
  <c r="AB75" i="1"/>
  <c r="AC75" i="1"/>
  <c r="H76" i="1"/>
  <c r="Y76" i="1" s="1"/>
  <c r="AD76" i="1" s="1"/>
  <c r="K76" i="1"/>
  <c r="P76" i="1"/>
  <c r="S76" i="1"/>
  <c r="W76" i="1"/>
  <c r="X76" i="1"/>
  <c r="AA76" i="1"/>
  <c r="AB76" i="1"/>
  <c r="AC76" i="1"/>
  <c r="AE76" i="1"/>
  <c r="H77" i="1"/>
  <c r="K77" i="1"/>
  <c r="P77" i="1"/>
  <c r="S77" i="1"/>
  <c r="W77" i="1"/>
  <c r="X77" i="1"/>
  <c r="Y77" i="1"/>
  <c r="AD77" i="1" s="1"/>
  <c r="AA77" i="1"/>
  <c r="AE77" i="1" s="1"/>
  <c r="AB77" i="1"/>
  <c r="AC77" i="1"/>
  <c r="H78" i="1"/>
  <c r="Y78" i="1" s="1"/>
  <c r="AD78" i="1" s="1"/>
  <c r="K78" i="1"/>
  <c r="P78" i="1"/>
  <c r="S78" i="1"/>
  <c r="W78" i="1"/>
  <c r="X78" i="1"/>
  <c r="AA78" i="1"/>
  <c r="AB78" i="1"/>
  <c r="AC78" i="1"/>
  <c r="AE78" i="1"/>
  <c r="H79" i="1"/>
  <c r="K79" i="1"/>
  <c r="P79" i="1"/>
  <c r="S79" i="1"/>
  <c r="W79" i="1"/>
  <c r="X79" i="1"/>
  <c r="Y79" i="1"/>
  <c r="AD79" i="1" s="1"/>
  <c r="AA79" i="1"/>
  <c r="AE79" i="1" s="1"/>
  <c r="AB79" i="1"/>
  <c r="AC79" i="1"/>
  <c r="H80" i="1"/>
  <c r="Y80" i="1" s="1"/>
  <c r="AD80" i="1" s="1"/>
  <c r="K80" i="1"/>
  <c r="P80" i="1"/>
  <c r="S80" i="1"/>
  <c r="W80" i="1"/>
  <c r="X80" i="1"/>
  <c r="AA80" i="1"/>
  <c r="AB80" i="1"/>
  <c r="AC80" i="1"/>
  <c r="AE80" i="1"/>
  <c r="H81" i="1"/>
  <c r="K81" i="1"/>
  <c r="P81" i="1"/>
  <c r="S81" i="1"/>
  <c r="W81" i="1"/>
  <c r="X81" i="1"/>
  <c r="Y81" i="1"/>
  <c r="AD81" i="1" s="1"/>
  <c r="AA81" i="1"/>
  <c r="AE81" i="1" s="1"/>
  <c r="AB81" i="1"/>
  <c r="AC81" i="1"/>
  <c r="H82" i="1"/>
  <c r="Y82" i="1" s="1"/>
  <c r="AD82" i="1" s="1"/>
  <c r="K82" i="1"/>
  <c r="P82" i="1"/>
  <c r="S82" i="1"/>
  <c r="W82" i="1"/>
  <c r="X82" i="1"/>
  <c r="AA82" i="1"/>
  <c r="AB82" i="1"/>
  <c r="AC82" i="1"/>
  <c r="AE82" i="1"/>
  <c r="H83" i="1"/>
  <c r="K83" i="1"/>
  <c r="P83" i="1"/>
  <c r="S83" i="1"/>
  <c r="W83" i="1"/>
  <c r="X83" i="1"/>
  <c r="Y83" i="1"/>
  <c r="AD83" i="1" s="1"/>
  <c r="AA83" i="1"/>
  <c r="AE83" i="1" s="1"/>
  <c r="AB83" i="1"/>
  <c r="AC83" i="1"/>
  <c r="H84" i="1"/>
  <c r="K84" i="1"/>
  <c r="AC84" i="1" s="1"/>
  <c r="P84" i="1"/>
  <c r="S84" i="1"/>
  <c r="W84" i="1"/>
  <c r="X84" i="1"/>
  <c r="AA84" i="1"/>
  <c r="AB84" i="1"/>
  <c r="AE84" i="1"/>
  <c r="H85" i="1"/>
  <c r="K85" i="1"/>
  <c r="P85" i="1"/>
  <c r="S85" i="1"/>
  <c r="AC85" i="1" s="1"/>
  <c r="W85" i="1"/>
  <c r="X85" i="1"/>
  <c r="Y85" i="1"/>
  <c r="AD85" i="1" s="1"/>
  <c r="AA85" i="1"/>
  <c r="AE85" i="1" s="1"/>
  <c r="AB85" i="1"/>
  <c r="H86" i="1"/>
  <c r="K86" i="1"/>
  <c r="P86" i="1"/>
  <c r="S86" i="1"/>
  <c r="AC86" i="1" s="1"/>
  <c r="W86" i="1"/>
  <c r="X86" i="1"/>
  <c r="AA86" i="1"/>
  <c r="AB86" i="1"/>
  <c r="AE86" i="1"/>
  <c r="H87" i="1"/>
  <c r="K87" i="1"/>
  <c r="P87" i="1"/>
  <c r="S87" i="1"/>
  <c r="AC87" i="1" s="1"/>
  <c r="W87" i="1"/>
  <c r="X87" i="1"/>
  <c r="Y87" i="1"/>
  <c r="AD87" i="1" s="1"/>
  <c r="AA87" i="1"/>
  <c r="AE87" i="1" s="1"/>
  <c r="AB87" i="1"/>
  <c r="H88" i="1"/>
  <c r="K88" i="1"/>
  <c r="P88" i="1"/>
  <c r="Y88" i="1" s="1"/>
  <c r="AD88" i="1" s="1"/>
  <c r="S88" i="1"/>
  <c r="AC88" i="1" s="1"/>
  <c r="W88" i="1"/>
  <c r="X88" i="1"/>
  <c r="AA88" i="1"/>
  <c r="AB88" i="1"/>
  <c r="AE88" i="1"/>
  <c r="H89" i="1"/>
  <c r="K89" i="1"/>
  <c r="P89" i="1"/>
  <c r="S89" i="1"/>
  <c r="AC89" i="1" s="1"/>
  <c r="W89" i="1"/>
  <c r="X89" i="1"/>
  <c r="Y89" i="1"/>
  <c r="AD89" i="1" s="1"/>
  <c r="AA89" i="1"/>
  <c r="AE89" i="1" s="1"/>
  <c r="AB89" i="1"/>
  <c r="H90" i="1"/>
  <c r="Y90" i="1" s="1"/>
  <c r="AD90" i="1" s="1"/>
  <c r="K90" i="1"/>
  <c r="P90" i="1"/>
  <c r="S90" i="1"/>
  <c r="W90" i="1"/>
  <c r="X90" i="1"/>
  <c r="AA90" i="1"/>
  <c r="AB90" i="1"/>
  <c r="AC90" i="1"/>
  <c r="AE90" i="1"/>
  <c r="H91" i="1"/>
  <c r="Y91" i="1" s="1"/>
  <c r="AD91" i="1" s="1"/>
  <c r="K91" i="1"/>
  <c r="P91" i="1"/>
  <c r="S91" i="1"/>
  <c r="AC91" i="1" s="1"/>
  <c r="W91" i="1"/>
  <c r="X91" i="1"/>
  <c r="AA91" i="1"/>
  <c r="AE91" i="1" s="1"/>
  <c r="AB91" i="1"/>
  <c r="H92" i="1"/>
  <c r="K92" i="1"/>
  <c r="P92" i="1"/>
  <c r="S92" i="1"/>
  <c r="AC92" i="1" s="1"/>
  <c r="W92" i="1"/>
  <c r="X92" i="1"/>
  <c r="Y92" i="1"/>
  <c r="AD92" i="1" s="1"/>
  <c r="AA92" i="1"/>
  <c r="AE92" i="1" s="1"/>
  <c r="AB92" i="1"/>
  <c r="H93" i="1"/>
  <c r="K93" i="1"/>
  <c r="P93" i="1"/>
  <c r="Y93" i="1" s="1"/>
  <c r="AD93" i="1" s="1"/>
  <c r="S93" i="1"/>
  <c r="AC93" i="1" s="1"/>
  <c r="W93" i="1"/>
  <c r="X93" i="1"/>
  <c r="AA93" i="1"/>
  <c r="AB93" i="1"/>
  <c r="AE93" i="1"/>
  <c r="H94" i="1"/>
  <c r="K94" i="1"/>
  <c r="P94" i="1"/>
  <c r="S94" i="1"/>
  <c r="AC94" i="1" s="1"/>
  <c r="W94" i="1"/>
  <c r="X94" i="1"/>
  <c r="Y94" i="1"/>
  <c r="AD94" i="1" s="1"/>
  <c r="AA94" i="1"/>
  <c r="AE94" i="1" s="1"/>
  <c r="AB94" i="1"/>
  <c r="H95" i="1"/>
  <c r="K95" i="1"/>
  <c r="P95" i="1"/>
  <c r="Y95" i="1" s="1"/>
  <c r="AD95" i="1" s="1"/>
  <c r="S95" i="1"/>
  <c r="AC95" i="1" s="1"/>
  <c r="W95" i="1"/>
  <c r="X95" i="1"/>
  <c r="AA95" i="1"/>
  <c r="AB95" i="1"/>
  <c r="AE95" i="1"/>
  <c r="H96" i="1"/>
  <c r="K96" i="1"/>
  <c r="P96" i="1"/>
  <c r="S96" i="1"/>
  <c r="AC96" i="1" s="1"/>
  <c r="W96" i="1"/>
  <c r="X96" i="1"/>
  <c r="Y96" i="1"/>
  <c r="AD96" i="1" s="1"/>
  <c r="AA96" i="1"/>
  <c r="AE96" i="1" s="1"/>
  <c r="AB96" i="1"/>
  <c r="H97" i="1"/>
  <c r="K97" i="1"/>
  <c r="P97" i="1"/>
  <c r="Y97" i="1" s="1"/>
  <c r="AD97" i="1" s="1"/>
  <c r="S97" i="1"/>
  <c r="AC97" i="1" s="1"/>
  <c r="W97" i="1"/>
  <c r="X97" i="1"/>
  <c r="AA97" i="1"/>
  <c r="AB97" i="1"/>
  <c r="AE97" i="1"/>
  <c r="H98" i="1"/>
  <c r="K98" i="1"/>
  <c r="P98" i="1"/>
  <c r="S98" i="1"/>
  <c r="AC98" i="1" s="1"/>
  <c r="W98" i="1"/>
  <c r="X98" i="1"/>
  <c r="Y98" i="1"/>
  <c r="AD98" i="1" s="1"/>
  <c r="AA98" i="1"/>
  <c r="AE98" i="1" s="1"/>
  <c r="AB98" i="1"/>
  <c r="H99" i="1"/>
  <c r="K99" i="1"/>
  <c r="P99" i="1"/>
  <c r="Y99" i="1" s="1"/>
  <c r="AD99" i="1" s="1"/>
  <c r="S99" i="1"/>
  <c r="AC99" i="1" s="1"/>
  <c r="W99" i="1"/>
  <c r="X99" i="1"/>
  <c r="AA99" i="1"/>
  <c r="AB99" i="1"/>
  <c r="AE99" i="1"/>
  <c r="H100" i="1"/>
  <c r="K100" i="1"/>
  <c r="P100" i="1"/>
  <c r="S100" i="1"/>
  <c r="AC100" i="1" s="1"/>
  <c r="W100" i="1"/>
  <c r="X100" i="1"/>
  <c r="Y100" i="1"/>
  <c r="AD100" i="1" s="1"/>
  <c r="AA100" i="1"/>
  <c r="AE100" i="1" s="1"/>
  <c r="AB100" i="1"/>
  <c r="H101" i="1"/>
  <c r="K101" i="1"/>
  <c r="P101" i="1"/>
  <c r="Y101" i="1" s="1"/>
  <c r="AD101" i="1" s="1"/>
  <c r="S101" i="1"/>
  <c r="AC101" i="1" s="1"/>
  <c r="W101" i="1"/>
  <c r="X101" i="1"/>
  <c r="AA101" i="1"/>
  <c r="AB101" i="1"/>
  <c r="AE101" i="1"/>
  <c r="H102" i="1"/>
  <c r="K102" i="1"/>
  <c r="P102" i="1"/>
  <c r="S102" i="1"/>
  <c r="AC102" i="1" s="1"/>
  <c r="W102" i="1"/>
  <c r="X102" i="1"/>
  <c r="Y102" i="1"/>
  <c r="AD102" i="1" s="1"/>
  <c r="AA102" i="1"/>
  <c r="AE102" i="1" s="1"/>
  <c r="AB102" i="1"/>
  <c r="H103" i="1"/>
  <c r="K103" i="1"/>
  <c r="P103" i="1"/>
  <c r="Y103" i="1" s="1"/>
  <c r="AD103" i="1" s="1"/>
  <c r="S103" i="1"/>
  <c r="AC103" i="1" s="1"/>
  <c r="W103" i="1"/>
  <c r="X103" i="1"/>
  <c r="AA103" i="1"/>
  <c r="AB103" i="1"/>
  <c r="AE103" i="1"/>
  <c r="H104" i="1"/>
  <c r="K104" i="1"/>
  <c r="P104" i="1"/>
  <c r="S104" i="1"/>
  <c r="AC104" i="1" s="1"/>
  <c r="W104" i="1"/>
  <c r="X104" i="1"/>
  <c r="Y104" i="1"/>
  <c r="AD104" i="1" s="1"/>
  <c r="AA104" i="1"/>
  <c r="AE104" i="1" s="1"/>
  <c r="AB104" i="1"/>
  <c r="H105" i="1"/>
  <c r="K105" i="1"/>
  <c r="P105" i="1"/>
  <c r="Y105" i="1" s="1"/>
  <c r="AD105" i="1" s="1"/>
  <c r="S105" i="1"/>
  <c r="AC105" i="1" s="1"/>
  <c r="W105" i="1"/>
  <c r="X105" i="1"/>
  <c r="AA105" i="1"/>
  <c r="AB105" i="1"/>
  <c r="AE105" i="1"/>
  <c r="H106" i="1"/>
  <c r="K106" i="1"/>
  <c r="P106" i="1"/>
  <c r="S106" i="1"/>
  <c r="AC106" i="1" s="1"/>
  <c r="W106" i="1"/>
  <c r="X106" i="1"/>
  <c r="Y106" i="1"/>
  <c r="AD106" i="1" s="1"/>
  <c r="AA106" i="1"/>
  <c r="AE106" i="1" s="1"/>
  <c r="AB106" i="1"/>
  <c r="H107" i="1"/>
  <c r="K107" i="1"/>
  <c r="P107" i="1"/>
  <c r="Y107" i="1" s="1"/>
  <c r="AD107" i="1" s="1"/>
  <c r="S107" i="1"/>
  <c r="AC107" i="1" s="1"/>
  <c r="W107" i="1"/>
  <c r="X107" i="1"/>
  <c r="AA107" i="1"/>
  <c r="AB107" i="1"/>
  <c r="AE107" i="1"/>
  <c r="H108" i="1"/>
  <c r="K108" i="1"/>
  <c r="P108" i="1"/>
  <c r="S108" i="1"/>
  <c r="AC108" i="1" s="1"/>
  <c r="W108" i="1"/>
  <c r="X108" i="1"/>
  <c r="Y108" i="1"/>
  <c r="AD108" i="1" s="1"/>
  <c r="AA108" i="1"/>
  <c r="AE108" i="1" s="1"/>
  <c r="AB108" i="1"/>
  <c r="H109" i="1"/>
  <c r="K109" i="1"/>
  <c r="P109" i="1"/>
  <c r="Y109" i="1" s="1"/>
  <c r="AD109" i="1" s="1"/>
  <c r="S109" i="1"/>
  <c r="AC109" i="1" s="1"/>
  <c r="W109" i="1"/>
  <c r="X109" i="1"/>
  <c r="AA109" i="1"/>
  <c r="AB109" i="1"/>
  <c r="AE109" i="1"/>
  <c r="H110" i="1"/>
  <c r="K110" i="1"/>
  <c r="P110" i="1"/>
  <c r="S110" i="1"/>
  <c r="AC110" i="1" s="1"/>
  <c r="W110" i="1"/>
  <c r="X110" i="1"/>
  <c r="Y110" i="1"/>
  <c r="AD110" i="1" s="1"/>
  <c r="AA110" i="1"/>
  <c r="AE110" i="1" s="1"/>
  <c r="AB110" i="1"/>
  <c r="H111" i="1"/>
  <c r="K111" i="1"/>
  <c r="P111" i="1"/>
  <c r="Y111" i="1" s="1"/>
  <c r="AD111" i="1" s="1"/>
  <c r="S111" i="1"/>
  <c r="AC111" i="1" s="1"/>
  <c r="W111" i="1"/>
  <c r="X111" i="1"/>
  <c r="AA111" i="1"/>
  <c r="AB111" i="1"/>
  <c r="AE111" i="1"/>
  <c r="H112" i="1"/>
  <c r="K112" i="1"/>
  <c r="P112" i="1"/>
  <c r="S112" i="1"/>
  <c r="AC112" i="1" s="1"/>
  <c r="W112" i="1"/>
  <c r="X112" i="1"/>
  <c r="Y112" i="1"/>
  <c r="AD112" i="1" s="1"/>
  <c r="AA112" i="1"/>
  <c r="AE112" i="1" s="1"/>
  <c r="AB112" i="1"/>
  <c r="H113" i="1"/>
  <c r="K113" i="1"/>
  <c r="P113" i="1"/>
  <c r="Y113" i="1" s="1"/>
  <c r="AD113" i="1" s="1"/>
  <c r="S113" i="1"/>
  <c r="AC113" i="1" s="1"/>
  <c r="W113" i="1"/>
  <c r="X113" i="1"/>
  <c r="AA113" i="1"/>
  <c r="AB113" i="1"/>
  <c r="AE113" i="1"/>
  <c r="H114" i="1"/>
  <c r="K114" i="1"/>
  <c r="P114" i="1"/>
  <c r="S114" i="1"/>
  <c r="AC114" i="1" s="1"/>
  <c r="W114" i="1"/>
  <c r="X114" i="1"/>
  <c r="Y114" i="1"/>
  <c r="AD114" i="1" s="1"/>
  <c r="AA114" i="1"/>
  <c r="AE114" i="1" s="1"/>
  <c r="AB114" i="1"/>
  <c r="H115" i="1"/>
  <c r="K115" i="1"/>
  <c r="P115" i="1"/>
  <c r="Y115" i="1" s="1"/>
  <c r="AD115" i="1" s="1"/>
  <c r="S115" i="1"/>
  <c r="AC115" i="1" s="1"/>
  <c r="W115" i="1"/>
  <c r="X115" i="1"/>
  <c r="AA115" i="1"/>
  <c r="AB115" i="1"/>
  <c r="AE115" i="1"/>
  <c r="Y84" i="1" l="1"/>
  <c r="AD84" i="1" s="1"/>
  <c r="Y86" i="1"/>
  <c r="AD86" i="1" s="1"/>
</calcChain>
</file>

<file path=xl/sharedStrings.xml><?xml version="1.0" encoding="utf-8"?>
<sst xmlns="http://schemas.openxmlformats.org/spreadsheetml/2006/main" count="15287" uniqueCount="853">
  <si>
    <t>6:0, 6:2</t>
  </si>
  <si>
    <t>Max Spillerman</t>
  </si>
  <si>
    <t>Andrew Li</t>
  </si>
  <si>
    <t>Unionville High School at Radnor High School</t>
  </si>
  <si>
    <t>6:4, 6:3</t>
  </si>
  <si>
    <t>Alan Zhang</t>
  </si>
  <si>
    <t>Tristan Lubiniecki</t>
  </si>
  <si>
    <t>Central Bucks Hs-East at Conestoga High School</t>
  </si>
  <si>
    <t>7:6, 4:6, 6:3</t>
  </si>
  <si>
    <t>Jerry Cheng</t>
  </si>
  <si>
    <t>Max Ye</t>
  </si>
  <si>
    <t>Central Bucks Hs-East at Unionville High School</t>
  </si>
  <si>
    <t>6:2, 6:4</t>
  </si>
  <si>
    <t>Joseph Mastrocola</t>
  </si>
  <si>
    <t>Ryan Hart</t>
  </si>
  <si>
    <t>Council Rock Hs North at Unionville High School</t>
  </si>
  <si>
    <t>3-6, 4-6</t>
  </si>
  <si>
    <t>Royce Goodman</t>
  </si>
  <si>
    <t>Carter Mcilwain</t>
  </si>
  <si>
    <t>Cheltenham High School at Radnor High School</t>
  </si>
  <si>
    <t>6:3, 6:3</t>
  </si>
  <si>
    <t>Keane Dougherty</t>
  </si>
  <si>
    <t>6:1, 6:1</t>
  </si>
  <si>
    <t>Soumil Patel</t>
  </si>
  <si>
    <t>Downingtown East High School at Central Bucks Hs-East</t>
  </si>
  <si>
    <t>6:3, 6:2</t>
  </si>
  <si>
    <t>Matthew Brusca</t>
  </si>
  <si>
    <t>6-3, 7-5</t>
  </si>
  <si>
    <t>Zach Evans</t>
  </si>
  <si>
    <t>2026 PIAA District One Boys Singles Championships</t>
  </si>
  <si>
    <t>65-77, 5-7</t>
  </si>
  <si>
    <t>6-4, 6-2</t>
  </si>
  <si>
    <t>4-6, 2-6</t>
  </si>
  <si>
    <t>Jonathan Egg-Krings</t>
  </si>
  <si>
    <t>Nikhil Yalamanchili</t>
  </si>
  <si>
    <t>West Chester Henderson High School at Radnor High School</t>
  </si>
  <si>
    <t>3-6, 6-4, 6-4</t>
  </si>
  <si>
    <t>Sal Ponamgi</t>
  </si>
  <si>
    <t>Nathan Dolgushev</t>
  </si>
  <si>
    <t>77-65, 6-3</t>
  </si>
  <si>
    <t>Michael Goldovsky</t>
  </si>
  <si>
    <t>2-6, 6-3, 8-110</t>
  </si>
  <si>
    <t>Joshua Hong</t>
  </si>
  <si>
    <t>4-6, 1-6</t>
  </si>
  <si>
    <t>Francis Delucia</t>
  </si>
  <si>
    <t>6-1, 6-0</t>
  </si>
  <si>
    <t>Sebastian Peev</t>
  </si>
  <si>
    <t>Upper Dublin High School at Central Bucks Hs-South</t>
  </si>
  <si>
    <t>7:6, 6:0</t>
  </si>
  <si>
    <t>Conestoga High School at Radnor High School</t>
  </si>
  <si>
    <t>6:3, 6:4</t>
  </si>
  <si>
    <t>Central Bucks Hs-South at Council Rock Hs North</t>
  </si>
  <si>
    <t>7-6, 0-6, 0-1</t>
  </si>
  <si>
    <t>Andrew Chukhryaev</t>
  </si>
  <si>
    <t>Alex Archer</t>
  </si>
  <si>
    <t>New Hope-Solebury High School at Souderton Area Shs</t>
  </si>
  <si>
    <t>6-0, 77-64</t>
  </si>
  <si>
    <t>Dyuman Muvvala</t>
  </si>
  <si>
    <t>Henry Kegley</t>
  </si>
  <si>
    <t>Kennett High School at West Chester Henderson High School</t>
  </si>
  <si>
    <t>5-7, 1-6</t>
  </si>
  <si>
    <t>Alexander Sheldon</t>
  </si>
  <si>
    <t>Downingtown West High School at Council Rock Hs North</t>
  </si>
  <si>
    <t>Unionville High School at Conestoga High School</t>
  </si>
  <si>
    <t>6:7, 6:4, 6:3</t>
  </si>
  <si>
    <t>Jayden Chen</t>
  </si>
  <si>
    <t>6:1, 2:6, 7:5</t>
  </si>
  <si>
    <t>Aslan Yu</t>
  </si>
  <si>
    <t>North Penn High School at Radnor High School</t>
  </si>
  <si>
    <t>6:2, 6:3</t>
  </si>
  <si>
    <t>Yaqin Johnson Coit</t>
  </si>
  <si>
    <t>7-5, 6-2</t>
  </si>
  <si>
    <t>Ishan Kapadia</t>
  </si>
  <si>
    <t>Brayden Siegfried</t>
  </si>
  <si>
    <t>Hatboro-Horsham High School at Souderton Area Shs</t>
  </si>
  <si>
    <t>63-77, 6-2, 6-1</t>
  </si>
  <si>
    <t>Ayden Chan</t>
  </si>
  <si>
    <t>6:3, 2:6, 7:6</t>
  </si>
  <si>
    <t>Ethan Sun</t>
  </si>
  <si>
    <t>Radnor High School at Garnet Valley High School</t>
  </si>
  <si>
    <t>6:0, 0:6, 7:5</t>
  </si>
  <si>
    <t>Joaquin Zilper</t>
  </si>
  <si>
    <t>77-65, 4-6, 3-6</t>
  </si>
  <si>
    <t>4-6, 3-6</t>
  </si>
  <si>
    <t>Gautham Chandar</t>
  </si>
  <si>
    <t>$$$ PRC Memorial Day Open $$$</t>
  </si>
  <si>
    <t>3-6, 6-2, 65-77</t>
  </si>
  <si>
    <t>2026 Central Athletic League Boys' Singles Tournament</t>
  </si>
  <si>
    <t>0-6, 6-0, 5-7</t>
  </si>
  <si>
    <t>8:5</t>
  </si>
  <si>
    <t>Ryan Cole</t>
  </si>
  <si>
    <t>Elias Trichon</t>
  </si>
  <si>
    <t>2026 Sol Conference Boys Tournament - Singles</t>
  </si>
  <si>
    <t>6:2, 4:6, 1(10):0(6)</t>
  </si>
  <si>
    <t>Max Olson</t>
  </si>
  <si>
    <t>Central Bucks Hs-East at Council Rock Hs North</t>
  </si>
  <si>
    <t>6:4, 6:4</t>
  </si>
  <si>
    <t>Nathaniel Gao</t>
  </si>
  <si>
    <t>Lower Merion High School at Radnor High School</t>
  </si>
  <si>
    <t>6-1, 6-1</t>
  </si>
  <si>
    <t>North Penn High School at Upper Dublin High School</t>
  </si>
  <si>
    <t>Luca Furer</t>
  </si>
  <si>
    <t>6:4, 6:0</t>
  </si>
  <si>
    <t>Jack Burgess</t>
  </si>
  <si>
    <t>2:6, 6:4, 1(10):0(6)</t>
  </si>
  <si>
    <t>Radnor High School at Downingtown East High School</t>
  </si>
  <si>
    <t>2-6, 2-6</t>
  </si>
  <si>
    <t>Marcus Amezcua</t>
  </si>
  <si>
    <t>Downingtown West High School at Kennett High School</t>
  </si>
  <si>
    <t>3-6, 6-1, 6-4</t>
  </si>
  <si>
    <t>Drew Bezio</t>
  </si>
  <si>
    <t>Jake Tsang</t>
  </si>
  <si>
    <t>Conestoga High School at Pennsbury High School</t>
  </si>
  <si>
    <t>7:6, 6:4</t>
  </si>
  <si>
    <t>Arudra Ravikanth</t>
  </si>
  <si>
    <t>Carter Kovich</t>
  </si>
  <si>
    <t>6-4, 6-1</t>
  </si>
  <si>
    <t>Vincent Strenge</t>
  </si>
  <si>
    <t>Pennsbury High School at Council Rock Hs North</t>
  </si>
  <si>
    <t>6:3, 6:1</t>
  </si>
  <si>
    <t>Remy Zinder</t>
  </si>
  <si>
    <t>Patrick Tierney</t>
  </si>
  <si>
    <t>Council Rock Hs South at Central Bucks Hs-West</t>
  </si>
  <si>
    <t>1-6, 7-6, 7-6</t>
  </si>
  <si>
    <t>Anish Arora</t>
  </si>
  <si>
    <t>Kennett High School at West Chester Bayard Rustin High School</t>
  </si>
  <si>
    <t>6-3, 3-6, 77-62</t>
  </si>
  <si>
    <t>6:2, 6:0</t>
  </si>
  <si>
    <t>Christian Movchan</t>
  </si>
  <si>
    <t>Samuel Kautsky</t>
  </si>
  <si>
    <t>64-77, 0-6</t>
  </si>
  <si>
    <t>Taylor Qiu</t>
  </si>
  <si>
    <t>Downingtown East High School at Great Valley High School</t>
  </si>
  <si>
    <t>2-6, 6-3, 3-6</t>
  </si>
  <si>
    <t>Brandon Eichenbaum</t>
  </si>
  <si>
    <t>Ryan Johnson</t>
  </si>
  <si>
    <t>Neshaminy High School at Abington Shs</t>
  </si>
  <si>
    <t>3-6, 2-6</t>
  </si>
  <si>
    <t>Nathen Martin</t>
  </si>
  <si>
    <t>Cheltenham High School at Central Bucks Hs-East</t>
  </si>
  <si>
    <t>Erik Ginzburg</t>
  </si>
  <si>
    <t>Lleyton Jones</t>
  </si>
  <si>
    <t>6-1, 6-4</t>
  </si>
  <si>
    <t>Tannav Rajendranath</t>
  </si>
  <si>
    <t>6-4, 6-3</t>
  </si>
  <si>
    <t>Jinay Sheth</t>
  </si>
  <si>
    <t>Plymouth Whitemarsh High School at West Chester Henderson High School</t>
  </si>
  <si>
    <t>Andrew Nguyen</t>
  </si>
  <si>
    <t>Central Bucks Hs-West at Wissahickon High School</t>
  </si>
  <si>
    <t>6-2, 77-63</t>
  </si>
  <si>
    <t>Julien Spangler</t>
  </si>
  <si>
    <t>6-2, 6-4</t>
  </si>
  <si>
    <t>West Chester Bayard Rustin High School at Great Valley High School</t>
  </si>
  <si>
    <t>2:6, 6:3, 6:3</t>
  </si>
  <si>
    <t>Aiden Lee</t>
  </si>
  <si>
    <t>Blaine Bushey</t>
  </si>
  <si>
    <t>Avon Grove High School at West Chester Henderson High School</t>
  </si>
  <si>
    <t>3-6, 0-6</t>
  </si>
  <si>
    <t>Downingtown East High School at Kennett High School</t>
  </si>
  <si>
    <t>0-6, 1-6</t>
  </si>
  <si>
    <t>Plymouth Whitemarsh High School at Upper Dublin High School</t>
  </si>
  <si>
    <t>Abington Shs at Central Bucks Hs-West</t>
  </si>
  <si>
    <t>6-3, 6-3</t>
  </si>
  <si>
    <t>Ben Arkans</t>
  </si>
  <si>
    <t>Souderton Area Shs at Quakertown Shs</t>
  </si>
  <si>
    <t>Tucker Ross</t>
  </si>
  <si>
    <t>Unionville High School at Avon Grove High School</t>
  </si>
  <si>
    <t>6-2, 4-6, 1-0</t>
  </si>
  <si>
    <t>Cheltenham High School at Council Rock Hs North</t>
  </si>
  <si>
    <t>6-0, 6-3</t>
  </si>
  <si>
    <t>Dylan Brown</t>
  </si>
  <si>
    <t>Liam Osullivan</t>
  </si>
  <si>
    <t>Bishop Shanahan High School at Downingtown West High School</t>
  </si>
  <si>
    <t>6-0, 7-5</t>
  </si>
  <si>
    <t>Central Bucks Hs-West at Pennsbury High School</t>
  </si>
  <si>
    <t>6-0, 6-0</t>
  </si>
  <si>
    <t>Surya Pochampally</t>
  </si>
  <si>
    <t>Neshaminy High School at North Penn High School</t>
  </si>
  <si>
    <t>3-6, 61-77</t>
  </si>
  <si>
    <t>Downingtown West High School at Downingtown East High School</t>
  </si>
  <si>
    <t>7-5, 6-4</t>
  </si>
  <si>
    <t>Jake Kotsur</t>
  </si>
  <si>
    <t>Central Bucks Hs-South at Souderton Area Shs</t>
  </si>
  <si>
    <t>6-1, 6-2</t>
  </si>
  <si>
    <t>Owen Graf</t>
  </si>
  <si>
    <t>Kennett High School at Oxford Area High School</t>
  </si>
  <si>
    <t>Avon Grove High School at Great Valley High School</t>
  </si>
  <si>
    <t>6-2, 6-2</t>
  </si>
  <si>
    <t>West Chester Bayard Rustin High School at Downingtown West High School</t>
  </si>
  <si>
    <t>6:1, 6:0</t>
  </si>
  <si>
    <t>Council Rock Hs North at Central Bucks Hs-West</t>
  </si>
  <si>
    <t>2-6, 3-6</t>
  </si>
  <si>
    <t>Great Valley High School at West Chester Henderson High School</t>
  </si>
  <si>
    <t>0:6, 7:5, 6:4</t>
  </si>
  <si>
    <t>6-3, 6-0</t>
  </si>
  <si>
    <t>Abington Shs at Pennsbury High School</t>
  </si>
  <si>
    <t>6:1, 6:2</t>
  </si>
  <si>
    <t>7:5, 3:6, 1:0</t>
  </si>
  <si>
    <t>Council Rock Hs South at Central Bucks Hs-East</t>
  </si>
  <si>
    <t>7:5, 7:6</t>
  </si>
  <si>
    <t>Council Rock Hs North at Lower Merion High School</t>
  </si>
  <si>
    <t>7:5, 6:4</t>
  </si>
  <si>
    <t>Radnor High School at Unionville High School</t>
  </si>
  <si>
    <t>Shane Iannitti</t>
  </si>
  <si>
    <t>Upper Dublin High School at Abington Shs</t>
  </si>
  <si>
    <t>3:6, 6:3, 7:6</t>
  </si>
  <si>
    <t>Ryan Bin</t>
  </si>
  <si>
    <t>Central Bucks Hs-West at Central Bucks Hs-South</t>
  </si>
  <si>
    <t>6-7, 6-3, 6-4</t>
  </si>
  <si>
    <t>Unionville High School at Great Valley High School</t>
  </si>
  <si>
    <t>7-5, 6-3</t>
  </si>
  <si>
    <t>Council Rock Hs South at Pennsbury High School</t>
  </si>
  <si>
    <t>6-0, 4-6, 7-6</t>
  </si>
  <si>
    <t>Souderton Area Shs at Central Bucks Hs-West</t>
  </si>
  <si>
    <t>7:5, 7:5</t>
  </si>
  <si>
    <t>Council Rock Hs South at Council Rock Hs North</t>
  </si>
  <si>
    <t>6-4, 2-6, 1-6</t>
  </si>
  <si>
    <t>Great Valley High School at Kennett High School</t>
  </si>
  <si>
    <t>6:1, 6:3</t>
  </si>
  <si>
    <t>1-6, 2-6</t>
  </si>
  <si>
    <t>Downingtown West High School at Avon Grove High School</t>
  </si>
  <si>
    <t>1-6, 3-6</t>
  </si>
  <si>
    <t>0-6, 6-3, 6-3</t>
  </si>
  <si>
    <t>West Chester Henderson High School at Downingtown West High School</t>
  </si>
  <si>
    <t>1-6, 6-4, 1-6</t>
  </si>
  <si>
    <t>Great Valley High School at Central Bucks Hs-South</t>
  </si>
  <si>
    <t>6-3, 6-2</t>
  </si>
  <si>
    <t>4-6, 6-4, 3-6</t>
  </si>
  <si>
    <t>Daniel Gallagher</t>
  </si>
  <si>
    <t>Bishop Shanahan High School at West Chester Henderson High School</t>
  </si>
  <si>
    <t>7-5, 6-0</t>
  </si>
  <si>
    <t>Oxford Area High School at Great Valley High School</t>
  </si>
  <si>
    <t>Central Bucks Hs-South at North Penn High School</t>
  </si>
  <si>
    <t>2-6, 0-6</t>
  </si>
  <si>
    <t>William Engle</t>
  </si>
  <si>
    <t>Mark Ball</t>
  </si>
  <si>
    <t>Strath Haven High School at Radnor High School</t>
  </si>
  <si>
    <t>Downingtown West High School at Unionville High School</t>
  </si>
  <si>
    <t>6-0, 6-4</t>
  </si>
  <si>
    <t>Central Bucks Hs-South at Pennsbury High School</t>
  </si>
  <si>
    <t>0-6, 2-6</t>
  </si>
  <si>
    <t>Boys 18s Level 5 Closed FLIGHTED March 14th/15th @ Wisehaven Tennis Center</t>
  </si>
  <si>
    <t>6-7, 1-6</t>
  </si>
  <si>
    <t>Luke Bellopede</t>
  </si>
  <si>
    <t>4-6, 6-4, 6-3</t>
  </si>
  <si>
    <t>Downingtown West High School at Great Valley High School</t>
  </si>
  <si>
    <t>6:0, 3:6, 6:4</t>
  </si>
  <si>
    <t>Riku Morihata</t>
  </si>
  <si>
    <t>Central Bucks Hs-South at Harriton High School</t>
  </si>
  <si>
    <t>6-1, 2-6, 6-7</t>
  </si>
  <si>
    <t>3-6, 3-6</t>
  </si>
  <si>
    <t>Carson Powell</t>
  </si>
  <si>
    <t>Neshaminy High School at Upper Moreland High School</t>
  </si>
  <si>
    <t>UTR relative difference</t>
  </si>
  <si>
    <t>Confidence_diff_Cat3</t>
  </si>
  <si>
    <t>match_load_14d_diff</t>
  </si>
  <si>
    <t>win_streak_diff</t>
  </si>
  <si>
    <t>utr_diff</t>
  </si>
  <si>
    <t>underdog_win</t>
  </si>
  <si>
    <t>Confidence_diff_Cat5</t>
  </si>
  <si>
    <t>Confidence_diff</t>
  </si>
  <si>
    <t>games_won_pct</t>
  </si>
  <si>
    <t>games_lost</t>
  </si>
  <si>
    <t>games_won</t>
  </si>
  <si>
    <t>actual_results (Underdog vs Favorite)</t>
  </si>
  <si>
    <t>Favorite_match_load_14d</t>
  </si>
  <si>
    <t>Favorite_total_matches_14d</t>
  </si>
  <si>
    <t>Favorite_rest_days_14d</t>
  </si>
  <si>
    <t>Favoriate_Confidence_Cat</t>
  </si>
  <si>
    <t>Favorite_confidence</t>
  </si>
  <si>
    <t>Favorite_win_streak</t>
  </si>
  <si>
    <t>Favorite_UTR</t>
  </si>
  <si>
    <t>Favorite</t>
  </si>
  <si>
    <t>Underdog_match_load_14d</t>
  </si>
  <si>
    <t>Underdog_total_matches_14d</t>
  </si>
  <si>
    <t>Underdog_rest_days_14d</t>
  </si>
  <si>
    <t>Underdog_Confidence_Cat</t>
  </si>
  <si>
    <t>Underdog_confidence</t>
  </si>
  <si>
    <t>Underdog_win_streak</t>
  </si>
  <si>
    <t>Underdog_UTR</t>
  </si>
  <si>
    <t>Underdog</t>
  </si>
  <si>
    <t>Event_Name</t>
  </si>
  <si>
    <t>Match_Date</t>
  </si>
  <si>
    <t>2026 raw data_players_batch2(1).xlsx</t>
  </si>
  <si>
    <t>Batch 2</t>
  </si>
  <si>
    <t>3+ prior matches</t>
  </si>
  <si>
    <t>Completed</t>
  </si>
  <si>
    <t>School</t>
  </si>
  <si>
    <t>Garnet Valley High School at West Chester Henderson High School</t>
  </si>
  <si>
    <t>W</t>
  </si>
  <si>
    <t>Andrew Huang</t>
  </si>
  <si>
    <t>West Chester Henderson High School</t>
  </si>
  <si>
    <t>Tournament</t>
  </si>
  <si>
    <t>Finals</t>
  </si>
  <si>
    <t>L</t>
  </si>
  <si>
    <t>Semifinals</t>
  </si>
  <si>
    <t>Quarterfinals</t>
  </si>
  <si>
    <t>Round of 16</t>
  </si>
  <si>
    <t>Round of 32</t>
  </si>
  <si>
    <t>West Chester Henderson High School at Downingtown East High School</t>
  </si>
  <si>
    <t>West Chester Henderson High School at Unionville High School</t>
  </si>
  <si>
    <t>Needs Update</t>
  </si>
  <si>
    <t>Opponent</t>
  </si>
  <si>
    <t>Verified</t>
  </si>
  <si>
    <t>No</t>
  </si>
  <si>
    <t>L5 Open Centercourt Open B18 Championships (64 draw)</t>
  </si>
  <si>
    <t>Roshan Sekhar</t>
  </si>
  <si>
    <t>Lucas Ciordas</t>
  </si>
  <si>
    <t>West Chester East High School at West Chester Henderson High School</t>
  </si>
  <si>
    <t>Connor Beckman</t>
  </si>
  <si>
    <t>2 prior matches</t>
  </si>
  <si>
    <t>Strath Haven High School at West Chester Henderson High School</t>
  </si>
  <si>
    <t>No prior history</t>
  </si>
  <si>
    <t>E-QF</t>
  </si>
  <si>
    <t>B/G 18s Level 6 January 24th/25th @ Wisehaven Tennis Center</t>
  </si>
  <si>
    <t>Porter Lockhart Frigerio</t>
  </si>
  <si>
    <t>E-SF</t>
  </si>
  <si>
    <t>2026 raw players_batch 1.xlsx</t>
  </si>
  <si>
    <t>Batch 1</t>
  </si>
  <si>
    <t>North Penn High School</t>
  </si>
  <si>
    <t>North Penn High School at Hatboro-Horsham High School</t>
  </si>
  <si>
    <t>North Penn High School at Souderton Area Shs</t>
  </si>
  <si>
    <t>Both</t>
  </si>
  <si>
    <t>1 prior match</t>
  </si>
  <si>
    <t>North Penn High School at Central Bucks Hs-West</t>
  </si>
  <si>
    <t>2026_raw player_batch 3.xlsx</t>
  </si>
  <si>
    <t>Batch 3</t>
  </si>
  <si>
    <t>Jenkintown Middle/High School at Bishop Shanahan High School</t>
  </si>
  <si>
    <t>James Wai</t>
  </si>
  <si>
    <t>Bishop Shanahan High School</t>
  </si>
  <si>
    <t>Kennett High School at Bishop Shanahan High School</t>
  </si>
  <si>
    <t>Downingtown East High School at Bishop Shanahan High School</t>
  </si>
  <si>
    <t>West Chester East High School at Bishop Shanahan High School</t>
  </si>
  <si>
    <t>Albert Wang</t>
  </si>
  <si>
    <t>Unionville High School at Bishop Shanahan High School</t>
  </si>
  <si>
    <t>Pennsbury High School</t>
  </si>
  <si>
    <t>Pennsbury High School at Upper Dublin High School</t>
  </si>
  <si>
    <t>Pennsbury High School at The Hun School of Princeton</t>
  </si>
  <si>
    <t>Daniel Dodson</t>
  </si>
  <si>
    <t>Bensalem Twp High School at Pennsbury High School</t>
  </si>
  <si>
    <t>Joshua Burton</t>
  </si>
  <si>
    <t>Acceptable</t>
  </si>
  <si>
    <t>Pennsbury High School at Central Bucks Hs-East</t>
  </si>
  <si>
    <t>Avon Grove High School</t>
  </si>
  <si>
    <t>Avon Grove High School at Kennett High School</t>
  </si>
  <si>
    <t>Ryan Church</t>
  </si>
  <si>
    <t>Avon Grove High School at Bishop Shanahan High School</t>
  </si>
  <si>
    <t>Downingtown East High School at Avon Grove High School</t>
  </si>
  <si>
    <t>Avon Grove High School at West Chester East High School</t>
  </si>
  <si>
    <t>Kian Koay</t>
  </si>
  <si>
    <t>Conestoga High School</t>
  </si>
  <si>
    <t>Round 3</t>
  </si>
  <si>
    <t>Round 2</t>
  </si>
  <si>
    <t>Boys 18s Level 4 Closed FLIGHTED April 11th/12th @ The Tennis Zone</t>
  </si>
  <si>
    <t>Sky Amster</t>
  </si>
  <si>
    <t>Final</t>
  </si>
  <si>
    <t>Ryan He</t>
  </si>
  <si>
    <t>Andrew Gergal</t>
  </si>
  <si>
    <t>Conestoga High School at Downingtown East High School</t>
  </si>
  <si>
    <t>Nadal Rashied</t>
  </si>
  <si>
    <t>Julian Snell</t>
  </si>
  <si>
    <t>Gabriel Yuan</t>
  </si>
  <si>
    <t>B/G 16s Level 6 Feb 28/March 1st @ Wilmington CC</t>
  </si>
  <si>
    <t>Derek Lindstrom</t>
  </si>
  <si>
    <t>Bryce Shorb</t>
  </si>
  <si>
    <t>E-R16</t>
  </si>
  <si>
    <t>Aniketh Nikam</t>
  </si>
  <si>
    <t>Boys 16s Level 4 Closed FLIGHTED February 21st/22nd @ RCW Athletic Club</t>
  </si>
  <si>
    <t>Shriyan Kumar</t>
  </si>
  <si>
    <t>Jai Patel</t>
  </si>
  <si>
    <t>Boys 16s Level 3 CLOSED Singles/Doubles Jan 9th/10th/11th @ Greensburg Racquet Club</t>
  </si>
  <si>
    <t>Ryan Palandjian</t>
  </si>
  <si>
    <t>C-R16-Q</t>
  </si>
  <si>
    <t>Benjamin Chervoneva</t>
  </si>
  <si>
    <t>B/G 12s &amp; 16s Level 6 June 13th/14th @ Princeton Tennis Program</t>
  </si>
  <si>
    <t>Chad Janvier</t>
  </si>
  <si>
    <t>Great Valley High School</t>
  </si>
  <si>
    <t>Andrew Samuel</t>
  </si>
  <si>
    <t>West Chester East High School at Great Valley High School</t>
  </si>
  <si>
    <t>Harriton High School at Great Valley High School</t>
  </si>
  <si>
    <t>Downingtown East High School</t>
  </si>
  <si>
    <t>Aaron Varam</t>
  </si>
  <si>
    <t>Downingtown East High School at West Chester East High School</t>
  </si>
  <si>
    <t>Downingtown East High School at Unionville High School</t>
  </si>
  <si>
    <t>North Penn High School at Central Bucks Hs-East</t>
  </si>
  <si>
    <t>Henry Merrill</t>
  </si>
  <si>
    <t>Upper Dublin High School</t>
  </si>
  <si>
    <t>Upper Dublin High School at Central Bucks Hs-West</t>
  </si>
  <si>
    <t>Lower Moreland High School at Upper Dublin High School</t>
  </si>
  <si>
    <t>Maxim Yanovitsky</t>
  </si>
  <si>
    <t>Pennridge High School at Upper Dublin High School</t>
  </si>
  <si>
    <t>Collin Engler</t>
  </si>
  <si>
    <t>Lower Merion High School at Upper Dublin High School</t>
  </si>
  <si>
    <t>Wissahickon High School at Upper Dublin High School</t>
  </si>
  <si>
    <t>Shane Huynh</t>
  </si>
  <si>
    <t>Hatboro-Horsham High School at Upper Dublin High School</t>
  </si>
  <si>
    <t>Josh Gladstone</t>
  </si>
  <si>
    <t>Upper Dublin High School at Quakertown Shs</t>
  </si>
  <si>
    <t>Joshua Miller</t>
  </si>
  <si>
    <t>Council Rock Hs North at Upper Dublin High School</t>
  </si>
  <si>
    <t>Upper Dublin High School at Radnor High School</t>
  </si>
  <si>
    <t>Edward Erlikh</t>
  </si>
  <si>
    <t>Round 1</t>
  </si>
  <si>
    <t>Daniel Ren</t>
  </si>
  <si>
    <t>Roger Lin</t>
  </si>
  <si>
    <t>Hansen Wilson</t>
  </si>
  <si>
    <t>Abington Shs at Plymouth Whitemarsh High School</t>
  </si>
  <si>
    <t>Plymouth Whitemarsh High School</t>
  </si>
  <si>
    <t>Quakertown Shs at Plymouth Whitemarsh High School</t>
  </si>
  <si>
    <t>Plymouth Whitemarsh High School at Cheltenham High School</t>
  </si>
  <si>
    <t>Prithvi Mukherjee</t>
  </si>
  <si>
    <t>Dreyken Bodhi Kelley</t>
  </si>
  <si>
    <t>Other</t>
  </si>
  <si>
    <t>Sunday Night Singles and/or Doubles UTR Match Play. 4/26 6:30 PM</t>
  </si>
  <si>
    <t>Luis Gutierrez</t>
  </si>
  <si>
    <t>Central Bucks South High School</t>
  </si>
  <si>
    <t>Hatboro-Horsham High School at Central Bucks Hs-South</t>
  </si>
  <si>
    <t>Cheltenham High School at Central Bucks Hs-South</t>
  </si>
  <si>
    <t>C-F</t>
  </si>
  <si>
    <t>Yosef Nisimi</t>
  </si>
  <si>
    <t>C-SF</t>
  </si>
  <si>
    <t>Central Bucks Hs-South at Lower Moreland High School</t>
  </si>
  <si>
    <t>Maxwell Spodik</t>
  </si>
  <si>
    <t>Holy Ghost Prep at Central Bucks Hs-South</t>
  </si>
  <si>
    <t>Steven Osiecki</t>
  </si>
  <si>
    <t>Central Bucks Hs-East at Central Bucks Hs-South</t>
  </si>
  <si>
    <t>Central Bucks Hs-South at Pennridge High School</t>
  </si>
  <si>
    <t>Braxton Ray</t>
  </si>
  <si>
    <t>Ben Behler</t>
  </si>
  <si>
    <t>Neshaminy High School at Central Bucks Hs-South</t>
  </si>
  <si>
    <t>Lehigh Valley Boys Invitational 26</t>
  </si>
  <si>
    <t>Prayush Mallaiah</t>
  </si>
  <si>
    <t>Luke D'Angelo</t>
  </si>
  <si>
    <t>James Anderson</t>
  </si>
  <si>
    <t>Sean Fan</t>
  </si>
  <si>
    <t>Council Rock South High School</t>
  </si>
  <si>
    <t>Sahil Ruparelia</t>
  </si>
  <si>
    <t>Council Rock Hs South at Bensalem Twp High School</t>
  </si>
  <si>
    <t>Adam Alaoui</t>
  </si>
  <si>
    <t>Central Bucks East High School</t>
  </si>
  <si>
    <t>Methacton High School at Central Bucks Hs-East</t>
  </si>
  <si>
    <t>Kyle Kim</t>
  </si>
  <si>
    <t>Central Bucks Hs-East at Neshaminy High School</t>
  </si>
  <si>
    <t>Pennridge High School at Central Bucks Hs-East</t>
  </si>
  <si>
    <t>Central Bucks Hs-East at Central Bucks Hs-West</t>
  </si>
  <si>
    <t>Souderton Area Shs at Central Bucks Hs-East</t>
  </si>
  <si>
    <t>Central Bucks Hs-East at Hatboro-Horsham High School</t>
  </si>
  <si>
    <t>Boys 16s Level 5 Closed FLIGHTED February 7th/8th @ The Tennis Zone</t>
  </si>
  <si>
    <t>Satvik Pany</t>
  </si>
  <si>
    <t>Noah Simon</t>
  </si>
  <si>
    <t>Braylen Garcia</t>
  </si>
  <si>
    <t>C-R16</t>
  </si>
  <si>
    <t>Boys 18s Level 3 CLOSED Singles/Doubles Jan 9th/10th/11th @ Oxford Athletic Club</t>
  </si>
  <si>
    <t>Sidney Weissert</t>
  </si>
  <si>
    <t>C-QF</t>
  </si>
  <si>
    <t>Rafael Rauf</t>
  </si>
  <si>
    <t>Qi Ao</t>
  </si>
  <si>
    <t>Evan Kaufman</t>
  </si>
  <si>
    <t>$$$ Upper Dublin New Year's Open</t>
  </si>
  <si>
    <t>Olivier Busquet</t>
  </si>
  <si>
    <t>James Fassbender</t>
  </si>
  <si>
    <t>Neshaminy High School</t>
  </si>
  <si>
    <t>Neshaminy High School at George School</t>
  </si>
  <si>
    <t>Bruno Menckel</t>
  </si>
  <si>
    <t>Council Rock Hs North at Neshaminy High School</t>
  </si>
  <si>
    <t>Joshua On</t>
  </si>
  <si>
    <t>Neshaminy High School at Bensalem Twp High School</t>
  </si>
  <si>
    <t>Holy Ghost Prep at Neshaminy High School</t>
  </si>
  <si>
    <t>Lower Moreland High School at Neshaminy High School</t>
  </si>
  <si>
    <t>Daniel Golub</t>
  </si>
  <si>
    <t>Patrick Lohouse</t>
  </si>
  <si>
    <t>Siddh Kotwal</t>
  </si>
  <si>
    <t>Sidney Langevine</t>
  </si>
  <si>
    <t>Unionville High School</t>
  </si>
  <si>
    <t>Methacton High School at Unionville High School</t>
  </si>
  <si>
    <t>Keval Mehta</t>
  </si>
  <si>
    <t>Unionville High School at West Chester East High School</t>
  </si>
  <si>
    <t>West Chester Bayard Rustin High School at Unionville High School</t>
  </si>
  <si>
    <t>B/G 18s Level 6 January 24th/25th @ Dover Indoor Tennis Center</t>
  </si>
  <si>
    <t>Sachin Dharia</t>
  </si>
  <si>
    <t>Chetan Le</t>
  </si>
  <si>
    <t>E-F</t>
  </si>
  <si>
    <t>Max Ionni</t>
  </si>
  <si>
    <t>Boys 18s Level 5 Open FLIGHTED Dec. 27th/28th @ Hempfield Rec Center</t>
  </si>
  <si>
    <t>Jason Lyn-Sue</t>
  </si>
  <si>
    <t>Souderton Area Shs</t>
  </si>
  <si>
    <t>Cheltenham High School at Souderton Area Shs</t>
  </si>
  <si>
    <t>Spring-Ford Shs 10-12 Gr Center at Souderton Area Shs</t>
  </si>
  <si>
    <t>Stephen Saladino Tang</t>
  </si>
  <si>
    <t>Perkiomen Valley High School at Souderton Area Shs</t>
  </si>
  <si>
    <t>Reed Buxton</t>
  </si>
  <si>
    <t>Souderton Area Shs at Pennridge High School</t>
  </si>
  <si>
    <t>Carter Thompson</t>
  </si>
  <si>
    <t>Nathan Unikel</t>
  </si>
  <si>
    <t>Michael Klouda</t>
  </si>
  <si>
    <t>Drew Juckniewitz</t>
  </si>
  <si>
    <t>Devam Patel</t>
  </si>
  <si>
    <t>Nathaniel Erickson</t>
  </si>
  <si>
    <t>Liam Bulman</t>
  </si>
  <si>
    <t>Cheltenham High School</t>
  </si>
  <si>
    <t>Springfield Twp High School at Cheltenham High School</t>
  </si>
  <si>
    <t>Andrew Lam</t>
  </si>
  <si>
    <t>Upper Moreland High School at Cheltenham High School</t>
  </si>
  <si>
    <t>Brady Saunders</t>
  </si>
  <si>
    <t>Ron Assulin</t>
  </si>
  <si>
    <t>Holy Ghost Prep at Bensalem Twp High School</t>
  </si>
  <si>
    <t>Bensalem Twp High School</t>
  </si>
  <si>
    <t>Bensalem Twp High School at Abington Shs</t>
  </si>
  <si>
    <t>Bensalem Twp High School at Hatboro-Horsham High School</t>
  </si>
  <si>
    <t>arriton High School at Radnor High School</t>
  </si>
  <si>
    <t>Harriton High School</t>
  </si>
  <si>
    <t>L6 Boy's18(32 Draw)CourtSense at Bogota Racquet Club *Electronic Line Calling* top down by ranking</t>
  </si>
  <si>
    <t>Rehan Alam</t>
  </si>
  <si>
    <t>Late Night Monday/Tuesday Night Singles UTR Match Play. 2/9 and 2/10 9:00 PM</t>
  </si>
  <si>
    <t>Callan Granito</t>
  </si>
  <si>
    <t>Central Bucks West High School</t>
  </si>
  <si>
    <t>Eli Greeley</t>
  </si>
  <si>
    <t>Central Bucks Hs-West at Pennridge High School</t>
  </si>
  <si>
    <t>Oxford Area High School at Unionville High School</t>
  </si>
  <si>
    <t>Jacob Duran</t>
  </si>
  <si>
    <t>Oxford Area High School</t>
  </si>
  <si>
    <t>Bishop Shanahan High School at Oxford Area High School</t>
  </si>
  <si>
    <t>Jack Snyder</t>
  </si>
  <si>
    <t>Oxford Area High School at West Chester East High School</t>
  </si>
  <si>
    <t>Oxford Area High School at Downingtown West High School</t>
  </si>
  <si>
    <t>Alex Amezcua</t>
  </si>
  <si>
    <t>Luke Tierney</t>
  </si>
  <si>
    <t>Jack Millward</t>
  </si>
  <si>
    <t>Mateo Hackett</t>
  </si>
  <si>
    <t>Jack Bogart</t>
  </si>
  <si>
    <t>Cheltenham High School at New Hope-Solebury High School</t>
  </si>
  <si>
    <t>Jake Eggering</t>
  </si>
  <si>
    <t>Lower Merion High School</t>
  </si>
  <si>
    <t>Downingtown West High School at Lower Merion High School</t>
  </si>
  <si>
    <t>Radnor High School</t>
  </si>
  <si>
    <t>Player</t>
  </si>
  <si>
    <t>Round 4</t>
  </si>
  <si>
    <t>Zachary Keiper</t>
  </si>
  <si>
    <t>Methacton High School at Lower Merion High School</t>
  </si>
  <si>
    <t>Luca Ritivoi</t>
  </si>
  <si>
    <t>Chase Gerloff</t>
  </si>
  <si>
    <t>Austin He</t>
  </si>
  <si>
    <t>Boys 16s - CLOSED Level 3 Singles/Doubles June 5th/6th/7th @ Legacy YTE</t>
  </si>
  <si>
    <t>Prahalad Dharma</t>
  </si>
  <si>
    <t>C-QF-Q</t>
  </si>
  <si>
    <t>Brendon Liu</t>
  </si>
  <si>
    <t>Smyan Vijay</t>
  </si>
  <si>
    <t>Caleb Vargas</t>
  </si>
  <si>
    <t>Boys 16s Level 4 Closed FLIGHTED April 18th/19th @ Oxford Athletic Club</t>
  </si>
  <si>
    <t>Vlad Popescu</t>
  </si>
  <si>
    <t>Anthony Kirchner</t>
  </si>
  <si>
    <t>Simon Monsanto</t>
  </si>
  <si>
    <t>Nolan Sharma</t>
  </si>
  <si>
    <t>Neil Lund</t>
  </si>
  <si>
    <t>Boys 16s Level 5 Closed FLIGHTED March 21st/22nd @ The Tennis Zone</t>
  </si>
  <si>
    <t>Miguel Manalang</t>
  </si>
  <si>
    <t>Max Copeland</t>
  </si>
  <si>
    <t>Joshua Dratch</t>
  </si>
  <si>
    <t>Karan Shanker</t>
  </si>
  <si>
    <t>Jesse Tang</t>
  </si>
  <si>
    <t>Jaden Goldman</t>
  </si>
  <si>
    <t>Nathan Vudin</t>
  </si>
  <si>
    <t>Boys 18s Closed Level 4 FLIGHTED February 14th/15th @ Multisports Kingdom</t>
  </si>
  <si>
    <t>Rishi Nemani</t>
  </si>
  <si>
    <t>Preston Lubiniecki</t>
  </si>
  <si>
    <t>Victor Fedorov</t>
  </si>
  <si>
    <t>Juan Miguel Pereyra</t>
  </si>
  <si>
    <t>Bradley Ng</t>
  </si>
  <si>
    <t>Advaita Sircar</t>
  </si>
  <si>
    <t>C-R64-Q</t>
  </si>
  <si>
    <t>USTA National Winter Championships (BG16-18)</t>
  </si>
  <si>
    <t>Mateo Rizo-Patron</t>
  </si>
  <si>
    <t>Round of 128</t>
  </si>
  <si>
    <t>Kush Bhandari</t>
  </si>
  <si>
    <t>Boys 18s - CLOSED Level 3 Singles/Doubles June 5th/6th/7th @ Veterans Park</t>
  </si>
  <si>
    <t>John Gentek</t>
  </si>
  <si>
    <t>Lower Moreland High School</t>
  </si>
  <si>
    <t>Ethan Qian</t>
  </si>
  <si>
    <t>Tyson Gottfried</t>
  </si>
  <si>
    <t>Lower Moreland High School at Upper Moreland High School</t>
  </si>
  <si>
    <t>Lower Moreland High School at New Hope-Solebury High School</t>
  </si>
  <si>
    <t>Sunday Night Singles and/or Doubles UTR Match Play. 3/1 6:30 PM</t>
  </si>
  <si>
    <t>Mael Kes</t>
  </si>
  <si>
    <t>Simon Zoldan</t>
  </si>
  <si>
    <t>Vincenzo Caruso</t>
  </si>
  <si>
    <t>Leo Matriccino</t>
  </si>
  <si>
    <t>Unionville High School at Kennett High School</t>
  </si>
  <si>
    <t>Sanhith Vandara</t>
  </si>
  <si>
    <t>Dillon Doan</t>
  </si>
  <si>
    <t>Sohan Saleem</t>
  </si>
  <si>
    <t>Justin Huang</t>
  </si>
  <si>
    <t>Radnor High School at Haverford Shs</t>
  </si>
  <si>
    <t>Adrian Rodriguez</t>
  </si>
  <si>
    <t>Penncrest High School at Radnor High School</t>
  </si>
  <si>
    <t>Dennis Mulholland</t>
  </si>
  <si>
    <t>Radnor High School at The Haverford School</t>
  </si>
  <si>
    <t>Lucas Bartell</t>
  </si>
  <si>
    <t>Harriton High School at Radnor High School</t>
  </si>
  <si>
    <t>L5 Open WOTC OPEN WINTER TEAM EVENT B18</t>
  </si>
  <si>
    <t>Christian Bravo</t>
  </si>
  <si>
    <t>Archyut Ravindran</t>
  </si>
  <si>
    <t>Conflicting duplicate source same date/opponent also showed second set 1-6; 4:00 PM record retained; deciding tiebreak normalized to 0-1</t>
  </si>
  <si>
    <t>2026_missing_history_players.xlsx</t>
  </si>
  <si>
    <t>Recovered 7 players</t>
  </si>
  <si>
    <t>The Haverford School at The Pingry School</t>
  </si>
  <si>
    <t>Cole Langer</t>
  </si>
  <si>
    <t>The Haverford School</t>
  </si>
  <si>
    <t>Council Rock North High School</t>
  </si>
  <si>
    <t>Strath Haven High School</t>
  </si>
  <si>
    <t>Logan Huang</t>
  </si>
  <si>
    <t>Charles Bea</t>
  </si>
  <si>
    <t>Penn Garawski</t>
  </si>
  <si>
    <t>Maddox Bogomolov</t>
  </si>
  <si>
    <t>Kennett High School</t>
  </si>
  <si>
    <t>West Chester East High School at Kennett High School</t>
  </si>
  <si>
    <t>Macallan Britton</t>
  </si>
  <si>
    <t>Charles Atkins</t>
  </si>
  <si>
    <t>WC Winter Open</t>
  </si>
  <si>
    <t>Jessica Wilde</t>
  </si>
  <si>
    <t>Jayda Browne</t>
  </si>
  <si>
    <t>Raw deciding tiebreak 9-11 normalized to 0-1; retired QF and ambiguous-score match excluded</t>
  </si>
  <si>
    <t>Repeated exact score pattern 6-2,6-2 also occurs vs Justin Yoon; reviewed as separate opponent/date</t>
  </si>
  <si>
    <t>Repeated exact score pattern 6-2,6-2 also occurs vs Nathan Unikel; reviewed as separate opponent/date</t>
  </si>
  <si>
    <t>Justin Yoon</t>
  </si>
  <si>
    <t>Rajveer Nagra</t>
  </si>
  <si>
    <t>Saheb Manku</t>
  </si>
  <si>
    <t>Landon Lubart</t>
  </si>
  <si>
    <t>Brady Schwartz</t>
  </si>
  <si>
    <t>Agam Punj</t>
  </si>
  <si>
    <t>Chase Yoon</t>
  </si>
  <si>
    <t>Arman Hovsepyan</t>
  </si>
  <si>
    <t>L6 Centercourt Marlboro Artic Rally Invitational BG16’s 12 Draw **Top Down Ranking**</t>
  </si>
  <si>
    <t>Shane Connaghan</t>
  </si>
  <si>
    <t>Delaware County Christian School at Bishop Shanahan High School</t>
  </si>
  <si>
    <t>Wyatt Killea</t>
  </si>
  <si>
    <t>Aaron Rogers</t>
  </si>
  <si>
    <t>Max Cooper</t>
  </si>
  <si>
    <t>Great Valley High School at Bishop Shanahan High School</t>
  </si>
  <si>
    <t>Rahul Senthil</t>
  </si>
  <si>
    <t>Methacton High School</t>
  </si>
  <si>
    <t>Perkiomen Valley High School at Methacton High School</t>
  </si>
  <si>
    <t>Ansord Nadal Rashied</t>
  </si>
  <si>
    <t>Methacton High School at Spring-Ford Shs 10-12 Gr Center</t>
  </si>
  <si>
    <t>Methacton High School at Pottstown Shs</t>
  </si>
  <si>
    <t>Royer Rodriguez</t>
  </si>
  <si>
    <t>Norristown Area High School at Methacton High School</t>
  </si>
  <si>
    <t>Wolf Dyson</t>
  </si>
  <si>
    <t>Methacton High School at Owen J Roberts High School</t>
  </si>
  <si>
    <t>Isaac Mensenhall</t>
  </si>
  <si>
    <t>Methacton High School at Pope John Paul II High School</t>
  </si>
  <si>
    <t>Upper Merion High School at Methacton High School</t>
  </si>
  <si>
    <t>Boyertown Area Shs at Methacton High School</t>
  </si>
  <si>
    <t>Nate Gilbert</t>
  </si>
  <si>
    <t>Methacton High School at Upper Perkiomen High School</t>
  </si>
  <si>
    <t>Cody Groff</t>
  </si>
  <si>
    <t>West Chester East High School</t>
  </si>
  <si>
    <t>Nathan O'Neill</t>
  </si>
  <si>
    <t>Max H Laurore</t>
  </si>
  <si>
    <t>Colin Ebarvia</t>
  </si>
  <si>
    <t>Jonathan Babb</t>
  </si>
  <si>
    <t>Hatboro-Horsham High School</t>
  </si>
  <si>
    <t>Hatboro-Horsham High School at Upper Moreland High School</t>
  </si>
  <si>
    <t>Abington Shs at Hatboro-Horsham High School</t>
  </si>
  <si>
    <t>L6 Open Centercourt Marlboro Champinships- B18's **Top Down Ranking**</t>
  </si>
  <si>
    <t>Sunday Night Singles and/or Doubles UTR Match Play. 1/4 6:30 PM</t>
  </si>
  <si>
    <t>Jonathan Quiroz</t>
  </si>
  <si>
    <t>Sean Ayers</t>
  </si>
  <si>
    <t>Rj Neilly</t>
  </si>
  <si>
    <t>Unknown</t>
  </si>
  <si>
    <t>Rohan Ramachandran</t>
  </si>
  <si>
    <t>Declan Nice</t>
  </si>
  <si>
    <t>John Ross</t>
  </si>
  <si>
    <t>Owen Graver</t>
  </si>
  <si>
    <t>Downingtown West High School at Conestoga High School</t>
  </si>
  <si>
    <t>Stefan Gherasim</t>
  </si>
  <si>
    <t>Sam Turco</t>
  </si>
  <si>
    <t>William Arp</t>
  </si>
  <si>
    <t>Erik Peterson Jr</t>
  </si>
  <si>
    <t>1/18 Match Play Singles</t>
  </si>
  <si>
    <t>Joonheon Kim</t>
  </si>
  <si>
    <t>Vismai Neeli</t>
  </si>
  <si>
    <t>Ronan Humowiecki</t>
  </si>
  <si>
    <t>Rajveer Shetty</t>
  </si>
  <si>
    <t>B/G 16s Level 6 April 4th/5th @ The Atlantic Club - First Come First Serve</t>
  </si>
  <si>
    <t>Vishwa Anand</t>
  </si>
  <si>
    <t>Aryen Parikh</t>
  </si>
  <si>
    <t>Nicolas Plyasunov</t>
  </si>
  <si>
    <t>BOYS 14s &amp; 16s Level 6 Feb 28th/March 1st @ The Tennis Zone</t>
  </si>
  <si>
    <t>Levi Santa</t>
  </si>
  <si>
    <t>David Sommer</t>
  </si>
  <si>
    <t>Charlton Rauch</t>
  </si>
  <si>
    <t>Arav Pathak</t>
  </si>
  <si>
    <t>Gustav Najdek</t>
  </si>
  <si>
    <t>Ryan Siegel</t>
  </si>
  <si>
    <t>Nicholas Loci</t>
  </si>
  <si>
    <t>Elijah Jean</t>
  </si>
  <si>
    <t>Brayden Wang</t>
  </si>
  <si>
    <t>Mukund Venkatesan</t>
  </si>
  <si>
    <t>Elias Bruu-Syversen</t>
  </si>
  <si>
    <t>Brett Messinger</t>
  </si>
  <si>
    <t>Sunday Night Singles and/or Doubles UTR Match Play. 2/1 6:30 PM</t>
  </si>
  <si>
    <t>Andrew Thompson</t>
  </si>
  <si>
    <t>Rajendra Patel</t>
  </si>
  <si>
    <t>Brendon Yu</t>
  </si>
  <si>
    <t>Jp Woodson</t>
  </si>
  <si>
    <t>Evan Lester</t>
  </si>
  <si>
    <t>David Susko</t>
  </si>
  <si>
    <t>David Barnstein</t>
  </si>
  <si>
    <t>Compton Speck</t>
  </si>
  <si>
    <t>B/G 18s Level 6 June 13th/14th @ Delaware Valley Tennis Club</t>
  </si>
  <si>
    <t>Wheeler Moore</t>
  </si>
  <si>
    <t>Omar Aboseada</t>
  </si>
  <si>
    <t>B/G 18s Level 6 May 30th/31st @ Wilmington CC</t>
  </si>
  <si>
    <t>Round of 64</t>
  </si>
  <si>
    <t>James Blair</t>
  </si>
  <si>
    <t>Alex Judson</t>
  </si>
  <si>
    <t>B/G 18s Level 6 March 7th/8th @ Wisehaven Tennis Center</t>
  </si>
  <si>
    <t>Parker Teufel</t>
  </si>
  <si>
    <t>Pedro Borges</t>
  </si>
  <si>
    <t>Jamie Schmitz</t>
  </si>
  <si>
    <t>Pavan Buddhidinesh</t>
  </si>
  <si>
    <t>Ej Roedl</t>
  </si>
  <si>
    <t>Boys 18s Level 5 Open FLIGHTED January 31st/February 1st @ Hassan Tennis Center</t>
  </si>
  <si>
    <t>Jaden Worden</t>
  </si>
  <si>
    <t>Carter Lichtman</t>
  </si>
  <si>
    <t>Abington High School</t>
  </si>
  <si>
    <t>Wissahickon High School at Abington Shs</t>
  </si>
  <si>
    <t>Sunday Night Singles and/or Doubles UTR Match Play. 3/29 6:30 PM</t>
  </si>
  <si>
    <t>Sunday Night Singles and/or Doubles UTR Match Play. 3/8 6:30 PM</t>
  </si>
  <si>
    <t>Khaya Lukov</t>
  </si>
  <si>
    <t>Henry Steinberg</t>
  </si>
  <si>
    <t>Tucker Carroll</t>
  </si>
  <si>
    <t>Downingtown West High School</t>
  </si>
  <si>
    <t>Aaditya Krishna</t>
  </si>
  <si>
    <t>B/G 14s (SAT) and B/G 18s (SUN) Level 7 Jan. 24th/25th @ Arrowhead Tennis Club</t>
  </si>
  <si>
    <t>Noah Hasni</t>
  </si>
  <si>
    <t>Arin Lee</t>
  </si>
  <si>
    <t>Cole Wojnicki</t>
  </si>
  <si>
    <t>Eric Traktovenko</t>
  </si>
  <si>
    <t>Alexander Newman-Pinto</t>
  </si>
  <si>
    <t>Snayhin Sharma</t>
  </si>
  <si>
    <t>Liam Boyle</t>
  </si>
  <si>
    <t>Myron Shaffer</t>
  </si>
  <si>
    <t>Bishop Shanahan High School at West Chester Bayard Rustin High School</t>
  </si>
  <si>
    <t>Renzo Gopez</t>
  </si>
  <si>
    <t>Henry Xue</t>
  </si>
  <si>
    <t>Dennis Wang</t>
  </si>
  <si>
    <t>West Chester Bayard Rustin High School at West Chester East High School</t>
  </si>
  <si>
    <t>Arnav Badisa</t>
  </si>
  <si>
    <t>L5 Open Boy's 18(48 Draw)CourtSense at Bogota Racquet Club *Electronic Line Calling*</t>
  </si>
  <si>
    <t>Miguel Londono</t>
  </si>
  <si>
    <t>Tevin Pham</t>
  </si>
  <si>
    <t>L5 Open Centercourt B16 Flighted Draw Championships (64 draw)</t>
  </si>
  <si>
    <t>Tommaso Scordo</t>
  </si>
  <si>
    <t>Samarth Kishore</t>
  </si>
  <si>
    <t>Marcos Apolo Becker</t>
  </si>
  <si>
    <t>Arnav Arora</t>
  </si>
  <si>
    <t>Steven Feldblyum</t>
  </si>
  <si>
    <t>Emilio Sanchez</t>
  </si>
  <si>
    <t>Billy Hall</t>
  </si>
  <si>
    <t>Roger Rosales</t>
  </si>
  <si>
    <t>L6 Centercourt BG 16's Championships (32 draw) *top down by ranking</t>
  </si>
  <si>
    <t>Liam Hong</t>
  </si>
  <si>
    <t>Pennridge High School</t>
  </si>
  <si>
    <t>Pennridge High School at Upper Perkiomen High School</t>
  </si>
  <si>
    <t>Miles Long</t>
  </si>
  <si>
    <t>Pennridge High School at New Hope-Solebury High School</t>
  </si>
  <si>
    <t>Middle States - Section Championship 2026/HIGH SCHOOL - BLUE FLIGHT - Match #2725268</t>
  </si>
  <si>
    <t>Nicholas Lalwani</t>
  </si>
  <si>
    <t>Middle States - Section Championship 2026/HIGH SCHOOL - PLAYOFF FLIGHT - Match #2726825</t>
  </si>
  <si>
    <t>Johannes Chow</t>
  </si>
  <si>
    <t>Middle States - Section Championship 2026/HIGH SCHOOL - BLUE FLIGHT - Match #2725267</t>
  </si>
  <si>
    <t>Bodhi Knowles</t>
  </si>
  <si>
    <t>Springfield High School at Radnor High School</t>
  </si>
  <si>
    <t>Connor Mcgowan</t>
  </si>
  <si>
    <t>Kaiser Zhao</t>
  </si>
  <si>
    <t>Etienne Deloffre</t>
  </si>
  <si>
    <t>Aditya Krishnan</t>
  </si>
  <si>
    <t>Boys/Girls 16s Level 6 Dec 26th/27th @ Moorestown Tennis Club</t>
  </si>
  <si>
    <t>Venkat Mokkapati</t>
  </si>
  <si>
    <t>Sun Valley High School at Downingtown West High School</t>
  </si>
  <si>
    <t>Harrison Hofmann</t>
  </si>
  <si>
    <t>Garnet Valley High School at Downingtown West High School</t>
  </si>
  <si>
    <t>Gabriel Swain</t>
  </si>
  <si>
    <t>Hansohl Lee</t>
  </si>
  <si>
    <t>Complete short-format score</t>
  </si>
  <si>
    <t>B/G 18s Level 7 Saturday March 7th @ Dover Indoor Tennis</t>
  </si>
  <si>
    <t>Sebastien Cousineau</t>
  </si>
  <si>
    <t>Upper Moreland High School</t>
  </si>
  <si>
    <t>Asher Hill</t>
  </si>
  <si>
    <t>Nolan Bradley</t>
  </si>
  <si>
    <t>Mohneesh Vinukollu</t>
  </si>
  <si>
    <t>Aiden Chamberlain</t>
  </si>
  <si>
    <t>Cristian Cortes</t>
  </si>
  <si>
    <t>Isabelle Gunton</t>
  </si>
  <si>
    <t>Lucas Zhao</t>
  </si>
  <si>
    <t>New Hope-Solebury High School at Abington Shs</t>
  </si>
  <si>
    <t>Quakertown Shs at Abington Shs</t>
  </si>
  <si>
    <t>Upper Moreland High School at Abington Shs</t>
  </si>
  <si>
    <t>Sun Valley High School at Avon Grove High School</t>
  </si>
  <si>
    <t>Anirudh Venkatesh</t>
  </si>
  <si>
    <t>West Chester Bayard Rustin High School at Avon Grove High School</t>
  </si>
  <si>
    <t>Quakertown Shs</t>
  </si>
  <si>
    <t>Rishabh Ramaswamy</t>
  </si>
  <si>
    <t>Rayan Majumdar</t>
  </si>
  <si>
    <t>Ethan Zheng</t>
  </si>
  <si>
    <t>Blake Livengood</t>
  </si>
  <si>
    <t>West Chester Bayard Rustin High School</t>
  </si>
  <si>
    <t>Wissahickon High School</t>
  </si>
  <si>
    <t>Aiden Bordick</t>
  </si>
  <si>
    <t>Sunday Night Singles and/or Doubles UTR Match Play. 4/19 6:30 PM</t>
  </si>
  <si>
    <t>Evan Salas</t>
  </si>
  <si>
    <t>1/11 Match Play</t>
  </si>
  <si>
    <t>Raw deciding tiebreak 11-8 normalized to 1-0</t>
  </si>
  <si>
    <t>New Hope-Solebury High School</t>
  </si>
  <si>
    <t>Repeated exact score pattern 1-6,0-6 also occurs vs Rajveer Nagra; reviewed as separate opponent/date</t>
  </si>
  <si>
    <t>Upper Moreland High School at New Hope-Solebury High School</t>
  </si>
  <si>
    <t>George School at New Hope-Solebury High School</t>
  </si>
  <si>
    <t>Arihant Surelia</t>
  </si>
  <si>
    <t>Anastasia Dyachenko</t>
  </si>
  <si>
    <t>Elijah Yoon</t>
  </si>
  <si>
    <t>Garnet Valley High School at Kennett High School</t>
  </si>
  <si>
    <t>Sun Valley High School at Kennett High School</t>
  </si>
  <si>
    <t>Jonathan Page</t>
  </si>
  <si>
    <t>UTR_QC_Status</t>
  </si>
  <si>
    <t>UTR_Update_Needed</t>
  </si>
  <si>
    <t>Original_Opponent_UTR</t>
  </si>
  <si>
    <t>Original_Player_UTR</t>
  </si>
  <si>
    <t>QC_Flag</t>
  </si>
  <si>
    <t>Duplicate_Raw_Count</t>
  </si>
  <si>
    <t>Source_Sheet</t>
  </si>
  <si>
    <t>Source_File</t>
  </si>
  <si>
    <t>Batch</t>
  </si>
  <si>
    <t>Prior_History_Availability</t>
  </si>
  <si>
    <t>Prior_History_Count</t>
  </si>
  <si>
    <t>Match_Status</t>
  </si>
  <si>
    <t>Match_Type</t>
  </si>
  <si>
    <t>Round</t>
  </si>
  <si>
    <t>Games_Won_Pct</t>
  </si>
  <si>
    <t>Opponent_Total_Games</t>
  </si>
  <si>
    <t>Player_Total_Games</t>
  </si>
  <si>
    <t>Set3_Opponent</t>
  </si>
  <si>
    <t>Set3_Player</t>
  </si>
  <si>
    <t>Set2_Opponent</t>
  </si>
  <si>
    <t>Set2_Player</t>
  </si>
  <si>
    <t>Set1_Opponent</t>
  </si>
  <si>
    <t>Set1_Player</t>
  </si>
  <si>
    <t>Result_Numeric</t>
  </si>
  <si>
    <t>Result</t>
  </si>
  <si>
    <t>UTR diff</t>
  </si>
  <si>
    <t>Opponent_UTR</t>
  </si>
  <si>
    <t>Player_UTR</t>
  </si>
  <si>
    <t>Match_DateTime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</si>
</sst>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yyyy\-mm\-dd"/>
    <numFmt numFmtId="168" formatCode="yyyy\-mm\-dd\ hh:mm"/>
  </numFmts>
  <fonts count="12">
    <font>
      <sz val="11"/>
      <color theme="1"/>
      <name val="Calibri"/>
      <family val="2"/>
      <scheme val="minor"/>
    </font>
    <font>
      <sz val="11"/>
      <name val="Carlito"/>
    </font>
    <font>
      <sz val="11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8" fillId="0" borderId="0"/>
  </cellStyleXfs>
  <cellXfs count="33">
    <xf numFmtId="0" fontId="0" fillId="0" borderId="0" xfId="0"/>
    <xf numFmtId="0" fontId="2" fillId="0" borderId="0" xfId="1" applyFont="1"/>
    <xf numFmtId="1" fontId="2" fillId="0" borderId="0" xfId="1" applyNumberFormat="1" applyFont="1"/>
    <xf numFmtId="164" fontId="2" fillId="0" borderId="0" xfId="1" applyNumberFormat="1" applyFont="1"/>
    <xf numFmtId="10" fontId="2" fillId="0" borderId="1" xfId="1" applyNumberFormat="1" applyFont="1" applyBorder="1" applyAlignment="1">
      <alignment horizontal="right" vertical="center"/>
    </xf>
    <xf numFmtId="1" fontId="2" fillId="0" borderId="1" xfId="1" applyNumberFormat="1" applyFont="1" applyBorder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2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166" fontId="2" fillId="0" borderId="1" xfId="1" applyNumberFormat="1" applyFont="1" applyBorder="1" applyAlignment="1">
      <alignment horizontal="right" vertical="center"/>
    </xf>
    <xf numFmtId="167" fontId="2" fillId="0" borderId="1" xfId="1" applyNumberFormat="1" applyFont="1" applyBorder="1" applyAlignment="1">
      <alignment horizontal="left" vertical="center"/>
    </xf>
    <xf numFmtId="16" fontId="2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1" fontId="6" fillId="2" borderId="1" xfId="2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2" fontId="6" fillId="0" borderId="1" xfId="2" applyNumberFormat="1" applyFont="1" applyBorder="1" applyAlignment="1">
      <alignment horizontal="center" vertical="top" wrapText="1"/>
    </xf>
    <xf numFmtId="0" fontId="6" fillId="0" borderId="1" xfId="2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center" wrapText="1"/>
    </xf>
    <xf numFmtId="0" fontId="8" fillId="0" borderId="0" xfId="3"/>
    <xf numFmtId="2" fontId="8" fillId="0" borderId="0" xfId="3" applyNumberFormat="1"/>
    <xf numFmtId="14" fontId="8" fillId="0" borderId="0" xfId="3" applyNumberFormat="1"/>
    <xf numFmtId="165" fontId="8" fillId="0" borderId="0" xfId="3" applyNumberFormat="1"/>
    <xf numFmtId="168" fontId="8" fillId="0" borderId="0" xfId="3" applyNumberFormat="1"/>
    <xf numFmtId="0" fontId="9" fillId="0" borderId="0" xfId="3" applyFont="1"/>
    <xf numFmtId="0" fontId="10" fillId="0" borderId="0" xfId="3" applyFont="1" applyAlignment="1">
      <alignment wrapText="1"/>
    </xf>
    <xf numFmtId="0" fontId="11" fillId="3" borderId="0" xfId="3" applyFont="1" applyFill="1" applyAlignment="1">
      <alignment horizontal="center" vertical="center" wrapText="1"/>
    </xf>
    <xf numFmtId="0" fontId="11" fillId="4" borderId="0" xfId="3" applyFont="1" applyFill="1" applyAlignment="1">
      <alignment horizontal="center" vertical="center" wrapText="1"/>
    </xf>
    <xf numFmtId="0" fontId="11" fillId="4" borderId="0" xfId="3" applyFont="1" applyFill="1" applyAlignment="1">
      <alignment vertical="center" wrapText="1"/>
    </xf>
    <xf numFmtId="2" fontId="11" fillId="4" borderId="0" xfId="3" applyNumberFormat="1" applyFont="1" applyFill="1" applyAlignment="1">
      <alignment vertical="center" wrapText="1"/>
    </xf>
    <xf numFmtId="14" fontId="11" fillId="4" borderId="0" xfId="3" applyNumberFormat="1" applyFont="1" applyFill="1" applyAlignment="1">
      <alignment vertical="center" wrapText="1"/>
    </xf>
  </cellXfs>
  <cellStyles count="4">
    <cellStyle name="Normal" xfId="0" builtinId="0"/>
    <cellStyle name="Normal 2" xfId="1" xr:uid="{33B167FB-C2C0-4675-BC4E-4211FA7D842B}"/>
    <cellStyle name="Normal 2 3" xfId="2" xr:uid="{6522C2E6-2B1C-4AE7-8181-D94BE17BBBCD}"/>
    <cellStyle name="Normal 3" xfId="3" xr:uid="{6962E146-928D-42B0-A42E-A01A332D921D}"/>
  </cellStyles>
  <dxfs count="5">
    <dxf>
      <font>
        <b/>
        <color rgb="FF9C0006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D472-5FA8-48F3-9B92-28FC1578BB38}">
  <dimension ref="A1:AG1125"/>
  <sheetViews>
    <sheetView tabSelected="1" workbookViewId="0"/>
  </sheetViews>
  <sheetFormatPr defaultRowHeight="14.5"/>
  <cols>
    <col min="1" max="1" width="18.08984375" style="21" customWidth="1"/>
    <col min="2" max="2" width="33.54296875" style="21" customWidth="1"/>
    <col min="3" max="3" width="15.7265625" style="23" customWidth="1"/>
    <col min="4" max="4" width="18.54296875" style="21" customWidth="1"/>
    <col min="5" max="15" width="8.7265625" style="21"/>
    <col min="16" max="16" width="15.90625" style="21" customWidth="1"/>
    <col min="17" max="17" width="16.36328125" style="21" customWidth="1"/>
    <col min="18" max="18" width="14.81640625" style="22" customWidth="1"/>
    <col min="19" max="21" width="8.7265625" style="21"/>
    <col min="22" max="22" width="13.6328125" style="21" customWidth="1"/>
    <col min="23" max="29" width="8.7265625" style="21"/>
    <col min="30" max="32" width="20" style="21" customWidth="1"/>
    <col min="33" max="33" width="18" style="21" customWidth="1"/>
    <col min="34" max="16384" width="8.7265625" style="21"/>
  </cols>
  <sheetData>
    <row r="1" spans="1:33" s="27" customFormat="1" ht="20.9" customHeight="1">
      <c r="A1" s="30" t="s">
        <v>535</v>
      </c>
      <c r="B1" s="30" t="s">
        <v>287</v>
      </c>
      <c r="C1" s="32" t="s">
        <v>852</v>
      </c>
      <c r="D1" s="30" t="s">
        <v>302</v>
      </c>
      <c r="E1" s="30" t="s">
        <v>851</v>
      </c>
      <c r="F1" s="30" t="s">
        <v>850</v>
      </c>
      <c r="G1" s="30" t="s">
        <v>849</v>
      </c>
      <c r="H1" s="30" t="s">
        <v>848</v>
      </c>
      <c r="I1" s="30" t="s">
        <v>847</v>
      </c>
      <c r="J1" s="30" t="s">
        <v>846</v>
      </c>
      <c r="K1" s="30" t="s">
        <v>845</v>
      </c>
      <c r="L1" s="30" t="s">
        <v>844</v>
      </c>
      <c r="M1" s="30" t="s">
        <v>843</v>
      </c>
      <c r="N1" s="30" t="s">
        <v>842</v>
      </c>
      <c r="O1" s="30" t="s">
        <v>841</v>
      </c>
      <c r="P1" s="30" t="s">
        <v>840</v>
      </c>
      <c r="Q1" s="30" t="s">
        <v>839</v>
      </c>
      <c r="R1" s="31" t="s">
        <v>838</v>
      </c>
      <c r="S1" s="30" t="s">
        <v>281</v>
      </c>
      <c r="T1" s="30" t="s">
        <v>837</v>
      </c>
      <c r="U1" s="30" t="s">
        <v>836</v>
      </c>
      <c r="V1" s="30" t="s">
        <v>835</v>
      </c>
      <c r="W1" s="30" t="s">
        <v>834</v>
      </c>
      <c r="X1" s="30" t="s">
        <v>833</v>
      </c>
      <c r="Y1" s="30" t="s">
        <v>832</v>
      </c>
      <c r="Z1" s="30" t="s">
        <v>831</v>
      </c>
      <c r="AA1" s="30" t="s">
        <v>830</v>
      </c>
      <c r="AB1" s="30" t="s">
        <v>829</v>
      </c>
      <c r="AC1" s="30" t="s">
        <v>828</v>
      </c>
      <c r="AD1" s="29" t="s">
        <v>827</v>
      </c>
      <c r="AE1" s="29" t="s">
        <v>826</v>
      </c>
      <c r="AF1" s="28" t="s">
        <v>825</v>
      </c>
      <c r="AG1" s="28" t="s">
        <v>824</v>
      </c>
    </row>
    <row r="2" spans="1:33">
      <c r="A2" s="21" t="s">
        <v>154</v>
      </c>
      <c r="B2" s="21" t="s">
        <v>808</v>
      </c>
      <c r="C2" s="25">
        <v>46100.333333333336</v>
      </c>
      <c r="D2" s="21" t="s">
        <v>140</v>
      </c>
      <c r="E2" s="24">
        <v>6.57</v>
      </c>
      <c r="F2" s="24">
        <v>6.1</v>
      </c>
      <c r="G2" s="24">
        <v>0.47000000000000064</v>
      </c>
      <c r="H2" s="21" t="s">
        <v>294</v>
      </c>
      <c r="I2" s="21">
        <v>0</v>
      </c>
      <c r="J2" s="21">
        <v>4</v>
      </c>
      <c r="K2" s="21">
        <v>6</v>
      </c>
      <c r="L2" s="21">
        <v>2</v>
      </c>
      <c r="M2" s="21">
        <v>4</v>
      </c>
      <c r="P2" s="24">
        <f>J2+L2+N2</f>
        <v>6</v>
      </c>
      <c r="Q2" s="24">
        <f>K2+M2+O2</f>
        <v>10</v>
      </c>
      <c r="R2" s="24">
        <f>P2/(P2+Q2)</f>
        <v>0.375</v>
      </c>
      <c r="S2" s="21" t="s">
        <v>726</v>
      </c>
      <c r="U2" s="21" t="s">
        <v>287</v>
      </c>
      <c r="V2" s="21" t="s">
        <v>286</v>
      </c>
      <c r="W2" s="21">
        <v>0</v>
      </c>
      <c r="X2" s="21" t="s">
        <v>312</v>
      </c>
      <c r="Y2" s="21" t="s">
        <v>326</v>
      </c>
      <c r="Z2" s="21" t="s">
        <v>325</v>
      </c>
      <c r="AA2" s="21" t="s">
        <v>154</v>
      </c>
      <c r="AB2" s="21">
        <v>1</v>
      </c>
      <c r="AD2" s="24">
        <v>6.62</v>
      </c>
      <c r="AE2" s="24">
        <v>5.68</v>
      </c>
      <c r="AF2" s="21" t="s">
        <v>304</v>
      </c>
      <c r="AG2" s="21" t="s">
        <v>303</v>
      </c>
    </row>
    <row r="3" spans="1:33">
      <c r="A3" s="21" t="s">
        <v>154</v>
      </c>
      <c r="B3" s="21" t="s">
        <v>808</v>
      </c>
      <c r="C3" s="25">
        <v>46120.333333333336</v>
      </c>
      <c r="D3" s="21" t="s">
        <v>42</v>
      </c>
      <c r="E3" s="24">
        <v>6.29</v>
      </c>
      <c r="F3" s="24">
        <v>8</v>
      </c>
      <c r="G3" s="24">
        <f>E3-F3</f>
        <v>-1.71</v>
      </c>
      <c r="H3" s="21" t="s">
        <v>294</v>
      </c>
      <c r="I3" s="21">
        <v>0</v>
      </c>
      <c r="J3" s="21">
        <v>2</v>
      </c>
      <c r="K3" s="21">
        <v>6</v>
      </c>
      <c r="L3" s="21">
        <v>2</v>
      </c>
      <c r="M3" s="21">
        <v>6</v>
      </c>
      <c r="P3" s="24">
        <f>J3+L3+N3</f>
        <v>4</v>
      </c>
      <c r="Q3" s="24">
        <f>K3+M3+O3</f>
        <v>12</v>
      </c>
      <c r="R3" s="24">
        <f>P3/(P3+Q3)</f>
        <v>0.25</v>
      </c>
      <c r="S3" s="21" t="s">
        <v>393</v>
      </c>
      <c r="U3" s="21" t="s">
        <v>287</v>
      </c>
      <c r="V3" s="21" t="s">
        <v>286</v>
      </c>
      <c r="W3" s="21">
        <v>1</v>
      </c>
      <c r="X3" s="21" t="s">
        <v>323</v>
      </c>
      <c r="Y3" s="21" t="s">
        <v>326</v>
      </c>
      <c r="Z3" s="21" t="s">
        <v>325</v>
      </c>
      <c r="AA3" s="21" t="s">
        <v>154</v>
      </c>
      <c r="AB3" s="21">
        <v>1</v>
      </c>
      <c r="AD3" s="24">
        <v>6.62</v>
      </c>
      <c r="AE3" s="24">
        <v>8.3699999999999992</v>
      </c>
      <c r="AF3" s="21" t="s">
        <v>304</v>
      </c>
      <c r="AG3" s="21" t="s">
        <v>303</v>
      </c>
    </row>
    <row r="4" spans="1:33">
      <c r="A4" s="21" t="s">
        <v>154</v>
      </c>
      <c r="B4" s="21" t="s">
        <v>808</v>
      </c>
      <c r="C4" s="25">
        <v>46121.645833333336</v>
      </c>
      <c r="D4" s="21" t="s">
        <v>128</v>
      </c>
      <c r="E4" s="24">
        <v>6.29</v>
      </c>
      <c r="F4" s="24">
        <v>6.69</v>
      </c>
      <c r="G4" s="24">
        <f>E4-F4</f>
        <v>-0.40000000000000036</v>
      </c>
      <c r="H4" s="21" t="s">
        <v>294</v>
      </c>
      <c r="I4" s="21">
        <v>0</v>
      </c>
      <c r="J4" s="21">
        <v>6</v>
      </c>
      <c r="K4" s="21">
        <v>2</v>
      </c>
      <c r="L4" s="21">
        <v>3</v>
      </c>
      <c r="M4" s="21">
        <v>6</v>
      </c>
      <c r="N4" s="21">
        <v>3</v>
      </c>
      <c r="O4" s="21">
        <v>6</v>
      </c>
      <c r="P4" s="24">
        <f>J4+L4+N4</f>
        <v>12</v>
      </c>
      <c r="Q4" s="24">
        <f>K4+M4+O4</f>
        <v>14</v>
      </c>
      <c r="R4" s="24">
        <f>P4/(P4+Q4)</f>
        <v>0.46153846153846156</v>
      </c>
      <c r="S4" s="21" t="s">
        <v>148</v>
      </c>
      <c r="U4" s="21" t="s">
        <v>287</v>
      </c>
      <c r="V4" s="21" t="s">
        <v>286</v>
      </c>
      <c r="W4" s="21">
        <v>2</v>
      </c>
      <c r="X4" s="21" t="s">
        <v>310</v>
      </c>
      <c r="Y4" s="21" t="s">
        <v>326</v>
      </c>
      <c r="Z4" s="21" t="s">
        <v>325</v>
      </c>
      <c r="AA4" s="21" t="s">
        <v>154</v>
      </c>
      <c r="AB4" s="21">
        <v>1</v>
      </c>
      <c r="AD4" s="24">
        <v>6.62</v>
      </c>
      <c r="AE4" s="24">
        <v>6.89</v>
      </c>
      <c r="AF4" s="21" t="s">
        <v>304</v>
      </c>
      <c r="AG4" s="21" t="s">
        <v>303</v>
      </c>
    </row>
    <row r="5" spans="1:33">
      <c r="A5" s="21" t="s">
        <v>154</v>
      </c>
      <c r="B5" s="21" t="s">
        <v>808</v>
      </c>
      <c r="C5" s="25">
        <v>46141.64166666667</v>
      </c>
      <c r="D5" s="21" t="s">
        <v>37</v>
      </c>
      <c r="E5" s="24">
        <v>6.66</v>
      </c>
      <c r="F5" s="24">
        <v>10.16</v>
      </c>
      <c r="G5" s="24">
        <f>E5-F5</f>
        <v>-3.5</v>
      </c>
      <c r="H5" s="21" t="s">
        <v>294</v>
      </c>
      <c r="I5" s="21">
        <v>0</v>
      </c>
      <c r="J5" s="21">
        <v>1</v>
      </c>
      <c r="K5" s="21">
        <v>6</v>
      </c>
      <c r="L5" s="21">
        <v>0</v>
      </c>
      <c r="M5" s="21">
        <v>6</v>
      </c>
      <c r="P5" s="24">
        <v>1</v>
      </c>
      <c r="Q5" s="24">
        <v>12</v>
      </c>
      <c r="R5" s="24">
        <f>P5/(P5+Q5)</f>
        <v>7.6923076923076927E-2</v>
      </c>
      <c r="U5" s="21" t="s">
        <v>668</v>
      </c>
      <c r="V5" s="21" t="s">
        <v>286</v>
      </c>
      <c r="W5" s="21">
        <v>3</v>
      </c>
      <c r="X5" s="21" t="s">
        <v>285</v>
      </c>
      <c r="Y5" s="21" t="s">
        <v>326</v>
      </c>
      <c r="Z5" s="21" t="s">
        <v>325</v>
      </c>
      <c r="AA5" s="21" t="s">
        <v>154</v>
      </c>
      <c r="AB5" s="21">
        <v>1</v>
      </c>
      <c r="AD5" s="24">
        <v>6.62</v>
      </c>
      <c r="AE5" s="24">
        <v>10.06</v>
      </c>
      <c r="AF5" s="21" t="s">
        <v>304</v>
      </c>
      <c r="AG5" s="21" t="s">
        <v>303</v>
      </c>
    </row>
    <row r="6" spans="1:33">
      <c r="A6" s="21" t="s">
        <v>5</v>
      </c>
      <c r="B6" s="21" t="s">
        <v>439</v>
      </c>
      <c r="C6" s="25">
        <v>46098.645833333336</v>
      </c>
      <c r="D6" s="21" t="s">
        <v>73</v>
      </c>
      <c r="E6" s="24">
        <v>8.92</v>
      </c>
      <c r="F6" s="24">
        <v>3.35</v>
      </c>
      <c r="G6" s="24">
        <f>E6-F6</f>
        <v>5.57</v>
      </c>
      <c r="H6" s="21" t="s">
        <v>289</v>
      </c>
      <c r="I6" s="21">
        <v>1</v>
      </c>
      <c r="J6" s="21">
        <v>6</v>
      </c>
      <c r="K6" s="21">
        <v>0</v>
      </c>
      <c r="L6" s="21">
        <v>6</v>
      </c>
      <c r="M6" s="21">
        <v>1</v>
      </c>
      <c r="P6" s="24">
        <f>J6+L6+N6</f>
        <v>12</v>
      </c>
      <c r="Q6" s="24">
        <f>K6+M6+O6</f>
        <v>1</v>
      </c>
      <c r="R6" s="24">
        <f>P6/(P6+Q6)</f>
        <v>0.92307692307692313</v>
      </c>
      <c r="S6" s="21" t="s">
        <v>445</v>
      </c>
      <c r="U6" s="21" t="s">
        <v>287</v>
      </c>
      <c r="V6" s="21" t="s">
        <v>286</v>
      </c>
      <c r="W6" s="21">
        <v>0</v>
      </c>
      <c r="X6" s="21" t="s">
        <v>312</v>
      </c>
      <c r="Y6" s="21" t="s">
        <v>318</v>
      </c>
      <c r="Z6" s="21" t="s">
        <v>317</v>
      </c>
      <c r="AA6" s="21" t="s">
        <v>5</v>
      </c>
      <c r="AB6" s="21">
        <v>1</v>
      </c>
      <c r="AD6" s="24">
        <v>8.08</v>
      </c>
      <c r="AE6" s="24">
        <v>4.3499999999999996</v>
      </c>
      <c r="AF6" s="21" t="s">
        <v>304</v>
      </c>
      <c r="AG6" s="21" t="s">
        <v>341</v>
      </c>
    </row>
    <row r="7" spans="1:33">
      <c r="A7" s="21" t="s">
        <v>5</v>
      </c>
      <c r="B7" s="21" t="s">
        <v>439</v>
      </c>
      <c r="C7" s="25">
        <v>46099.645833333336</v>
      </c>
      <c r="D7" s="21" t="s">
        <v>121</v>
      </c>
      <c r="E7" s="24">
        <v>8.92</v>
      </c>
      <c r="F7" s="24">
        <v>6.37</v>
      </c>
      <c r="G7" s="24">
        <f>E7-F7</f>
        <v>2.5499999999999998</v>
      </c>
      <c r="H7" s="21" t="s">
        <v>289</v>
      </c>
      <c r="I7" s="21">
        <v>1</v>
      </c>
      <c r="J7" s="21">
        <v>6</v>
      </c>
      <c r="K7" s="21">
        <v>1</v>
      </c>
      <c r="L7" s="21">
        <v>6</v>
      </c>
      <c r="M7" s="21">
        <v>3</v>
      </c>
      <c r="P7" s="24">
        <f>J7+L7+N7</f>
        <v>12</v>
      </c>
      <c r="Q7" s="24">
        <f>K7+M7+O7</f>
        <v>4</v>
      </c>
      <c r="R7" s="24">
        <f>P7/(P7+Q7)</f>
        <v>0.75</v>
      </c>
      <c r="S7" s="21" t="s">
        <v>444</v>
      </c>
      <c r="U7" s="21" t="s">
        <v>287</v>
      </c>
      <c r="V7" s="21" t="s">
        <v>286</v>
      </c>
      <c r="W7" s="21">
        <v>1</v>
      </c>
      <c r="X7" s="21" t="s">
        <v>323</v>
      </c>
      <c r="Y7" s="21" t="s">
        <v>318</v>
      </c>
      <c r="Z7" s="21" t="s">
        <v>317</v>
      </c>
      <c r="AA7" s="21" t="s">
        <v>5</v>
      </c>
      <c r="AB7" s="21">
        <v>1</v>
      </c>
      <c r="AD7" s="24">
        <v>8.08</v>
      </c>
      <c r="AE7" s="24">
        <v>6.03</v>
      </c>
      <c r="AF7" s="21" t="s">
        <v>304</v>
      </c>
      <c r="AG7" s="21" t="s">
        <v>303</v>
      </c>
    </row>
    <row r="8" spans="1:33">
      <c r="A8" s="21" t="s">
        <v>5</v>
      </c>
      <c r="B8" s="21" t="s">
        <v>439</v>
      </c>
      <c r="C8" s="25">
        <v>46105.645833333336</v>
      </c>
      <c r="D8" s="21" t="s">
        <v>181</v>
      </c>
      <c r="E8" s="24">
        <v>8.93</v>
      </c>
      <c r="F8" s="24">
        <v>6.09</v>
      </c>
      <c r="G8" s="24">
        <f>E8-F8</f>
        <v>2.84</v>
      </c>
      <c r="H8" s="21" t="s">
        <v>289</v>
      </c>
      <c r="I8" s="21">
        <v>1</v>
      </c>
      <c r="J8" s="21">
        <v>6</v>
      </c>
      <c r="K8" s="21">
        <v>1</v>
      </c>
      <c r="L8" s="21">
        <v>6</v>
      </c>
      <c r="M8" s="21">
        <v>0</v>
      </c>
      <c r="P8" s="24">
        <f>J8+L8+N8</f>
        <v>12</v>
      </c>
      <c r="Q8" s="24">
        <f>K8+M8+O8</f>
        <v>1</v>
      </c>
      <c r="R8" s="24">
        <f>P8/(P8+Q8)</f>
        <v>0.92307692307692313</v>
      </c>
      <c r="S8" s="21" t="s">
        <v>425</v>
      </c>
      <c r="U8" s="21" t="s">
        <v>287</v>
      </c>
      <c r="V8" s="21" t="s">
        <v>286</v>
      </c>
      <c r="W8" s="21">
        <v>2</v>
      </c>
      <c r="X8" s="21" t="s">
        <v>310</v>
      </c>
      <c r="Y8" s="21" t="s">
        <v>318</v>
      </c>
      <c r="Z8" s="21" t="s">
        <v>317</v>
      </c>
      <c r="AA8" s="21" t="s">
        <v>5</v>
      </c>
      <c r="AB8" s="21">
        <v>1</v>
      </c>
      <c r="AD8" s="24">
        <v>8.08</v>
      </c>
      <c r="AE8" s="24">
        <v>6.06</v>
      </c>
      <c r="AF8" s="21" t="s">
        <v>304</v>
      </c>
      <c r="AG8" s="21" t="s">
        <v>303</v>
      </c>
    </row>
    <row r="9" spans="1:33">
      <c r="A9" s="21" t="s">
        <v>5</v>
      </c>
      <c r="B9" s="21" t="s">
        <v>439</v>
      </c>
      <c r="C9" s="25">
        <v>46106.645833333336</v>
      </c>
      <c r="D9" s="21" t="s">
        <v>675</v>
      </c>
      <c r="E9" s="24">
        <v>8.93</v>
      </c>
      <c r="F9" s="24">
        <v>3.16</v>
      </c>
      <c r="G9" s="24">
        <f>E9-F9</f>
        <v>5.77</v>
      </c>
      <c r="H9" s="21" t="s">
        <v>289</v>
      </c>
      <c r="I9" s="21">
        <v>1</v>
      </c>
      <c r="J9" s="21">
        <v>6</v>
      </c>
      <c r="K9" s="21">
        <v>0</v>
      </c>
      <c r="L9" s="21">
        <v>6</v>
      </c>
      <c r="M9" s="21">
        <v>0</v>
      </c>
      <c r="P9" s="24">
        <f>J9+L9+N9</f>
        <v>12</v>
      </c>
      <c r="Q9" s="24">
        <f>K9+M9+O9</f>
        <v>0</v>
      </c>
      <c r="R9" s="24">
        <f>P9/(P9+Q9)</f>
        <v>1</v>
      </c>
      <c r="S9" s="21" t="s">
        <v>443</v>
      </c>
      <c r="U9" s="21" t="s">
        <v>287</v>
      </c>
      <c r="V9" s="21" t="s">
        <v>286</v>
      </c>
      <c r="W9" s="21">
        <v>3</v>
      </c>
      <c r="X9" s="21" t="s">
        <v>285</v>
      </c>
      <c r="Y9" s="21" t="s">
        <v>318</v>
      </c>
      <c r="Z9" s="21" t="s">
        <v>317</v>
      </c>
      <c r="AA9" s="21" t="s">
        <v>5</v>
      </c>
      <c r="AB9" s="21">
        <v>1</v>
      </c>
      <c r="AD9" s="24">
        <v>8.08</v>
      </c>
      <c r="AE9" s="24">
        <v>3.88</v>
      </c>
      <c r="AF9" s="21" t="s">
        <v>304</v>
      </c>
      <c r="AG9" s="21" t="s">
        <v>303</v>
      </c>
    </row>
    <row r="10" spans="1:33">
      <c r="A10" s="21" t="s">
        <v>5</v>
      </c>
      <c r="B10" s="21" t="s">
        <v>439</v>
      </c>
      <c r="C10" s="25">
        <v>46107.645833333336</v>
      </c>
      <c r="D10" s="21" t="s">
        <v>129</v>
      </c>
      <c r="E10" s="24">
        <v>8.93</v>
      </c>
      <c r="F10" s="24">
        <v>6.93</v>
      </c>
      <c r="G10" s="24">
        <f>E10-F10</f>
        <v>2</v>
      </c>
      <c r="H10" s="21" t="s">
        <v>294</v>
      </c>
      <c r="I10" s="21">
        <v>0</v>
      </c>
      <c r="J10" s="21">
        <v>1</v>
      </c>
      <c r="K10" s="21">
        <v>6</v>
      </c>
      <c r="L10" s="21">
        <v>7</v>
      </c>
      <c r="M10" s="21">
        <v>6</v>
      </c>
      <c r="N10" s="21">
        <v>0</v>
      </c>
      <c r="O10" s="21">
        <v>1</v>
      </c>
      <c r="P10" s="24">
        <f>J10+L10+N10</f>
        <v>8</v>
      </c>
      <c r="Q10" s="24">
        <f>K10+M10+O10</f>
        <v>13</v>
      </c>
      <c r="R10" s="24">
        <f>P10/(P10+Q10)</f>
        <v>0.38095238095238093</v>
      </c>
      <c r="S10" s="21" t="s">
        <v>198</v>
      </c>
      <c r="U10" s="21" t="s">
        <v>287</v>
      </c>
      <c r="V10" s="21" t="s">
        <v>286</v>
      </c>
      <c r="W10" s="21">
        <v>4</v>
      </c>
      <c r="X10" s="21" t="s">
        <v>285</v>
      </c>
      <c r="Y10" s="21" t="s">
        <v>318</v>
      </c>
      <c r="Z10" s="21" t="s">
        <v>317</v>
      </c>
      <c r="AA10" s="21" t="s">
        <v>5</v>
      </c>
      <c r="AB10" s="21">
        <v>1</v>
      </c>
      <c r="AD10" s="24">
        <v>8.08</v>
      </c>
      <c r="AE10" s="24">
        <v>8.41</v>
      </c>
      <c r="AF10" s="21" t="s">
        <v>304</v>
      </c>
      <c r="AG10" s="21" t="s">
        <v>303</v>
      </c>
    </row>
    <row r="11" spans="1:33">
      <c r="A11" s="21" t="s">
        <v>5</v>
      </c>
      <c r="B11" s="21" t="s">
        <v>439</v>
      </c>
      <c r="C11" s="25">
        <v>46108.645833333336</v>
      </c>
      <c r="D11" s="21" t="s">
        <v>2</v>
      </c>
      <c r="E11" s="24">
        <v>8.93</v>
      </c>
      <c r="F11" s="24">
        <v>7.68</v>
      </c>
      <c r="G11" s="24">
        <f>E11-F11</f>
        <v>1.25</v>
      </c>
      <c r="H11" s="21" t="s">
        <v>289</v>
      </c>
      <c r="I11" s="21">
        <v>1</v>
      </c>
      <c r="J11" s="21">
        <v>6</v>
      </c>
      <c r="K11" s="21">
        <v>0</v>
      </c>
      <c r="L11" s="21">
        <v>6</v>
      </c>
      <c r="M11" s="21">
        <v>0</v>
      </c>
      <c r="P11" s="24">
        <f>J11+L11+N11</f>
        <v>12</v>
      </c>
      <c r="Q11" s="24">
        <f>K11+M11+O11</f>
        <v>0</v>
      </c>
      <c r="R11" s="24">
        <f>P11/(P11+Q11)</f>
        <v>1</v>
      </c>
      <c r="S11" s="21" t="s">
        <v>11</v>
      </c>
      <c r="U11" s="21" t="s">
        <v>287</v>
      </c>
      <c r="V11" s="21" t="s">
        <v>286</v>
      </c>
      <c r="W11" s="21">
        <v>5</v>
      </c>
      <c r="X11" s="21" t="s">
        <v>285</v>
      </c>
      <c r="Y11" s="21" t="s">
        <v>318</v>
      </c>
      <c r="Z11" s="21" t="s">
        <v>317</v>
      </c>
      <c r="AA11" s="21" t="s">
        <v>5</v>
      </c>
      <c r="AB11" s="21">
        <v>1</v>
      </c>
      <c r="AD11" s="24">
        <v>8.08</v>
      </c>
      <c r="AE11" s="24">
        <v>7.1</v>
      </c>
      <c r="AF11" s="21" t="s">
        <v>304</v>
      </c>
      <c r="AG11" s="21" t="s">
        <v>303</v>
      </c>
    </row>
    <row r="12" spans="1:33">
      <c r="A12" s="21" t="s">
        <v>5</v>
      </c>
      <c r="B12" s="21" t="s">
        <v>439</v>
      </c>
      <c r="C12" s="25">
        <v>46111.645833333336</v>
      </c>
      <c r="D12" s="21" t="s">
        <v>67</v>
      </c>
      <c r="E12" s="24">
        <v>8.93</v>
      </c>
      <c r="F12" s="24">
        <v>5.95</v>
      </c>
      <c r="G12" s="24">
        <f>E12-F12</f>
        <v>2.9799999999999995</v>
      </c>
      <c r="H12" s="21" t="s">
        <v>289</v>
      </c>
      <c r="I12" s="21">
        <v>1</v>
      </c>
      <c r="J12" s="21">
        <v>6</v>
      </c>
      <c r="K12" s="21">
        <v>2</v>
      </c>
      <c r="L12" s="21">
        <v>6</v>
      </c>
      <c r="M12" s="21">
        <v>2</v>
      </c>
      <c r="P12" s="24">
        <f>J12+L12+N12</f>
        <v>12</v>
      </c>
      <c r="Q12" s="24">
        <f>K12+M12+O12</f>
        <v>4</v>
      </c>
      <c r="R12" s="24">
        <f>P12/(P12+Q12)</f>
        <v>0.75</v>
      </c>
      <c r="S12" s="21" t="s">
        <v>384</v>
      </c>
      <c r="U12" s="21" t="s">
        <v>287</v>
      </c>
      <c r="V12" s="21" t="s">
        <v>286</v>
      </c>
      <c r="W12" s="21">
        <v>6</v>
      </c>
      <c r="X12" s="21" t="s">
        <v>285</v>
      </c>
      <c r="Y12" s="21" t="s">
        <v>318</v>
      </c>
      <c r="Z12" s="21" t="s">
        <v>317</v>
      </c>
      <c r="AA12" s="21" t="s">
        <v>5</v>
      </c>
      <c r="AB12" s="21">
        <v>1</v>
      </c>
      <c r="AD12" s="24">
        <v>8.08</v>
      </c>
      <c r="AE12" s="24">
        <v>7.1</v>
      </c>
      <c r="AF12" s="21" t="s">
        <v>304</v>
      </c>
      <c r="AG12" s="21" t="s">
        <v>303</v>
      </c>
    </row>
    <row r="13" spans="1:33">
      <c r="A13" s="21" t="s">
        <v>5</v>
      </c>
      <c r="B13" s="21" t="s">
        <v>439</v>
      </c>
      <c r="C13" s="25">
        <v>46121.645833333336</v>
      </c>
      <c r="D13" s="21" t="s">
        <v>135</v>
      </c>
      <c r="E13" s="24">
        <v>8.9600000000000009</v>
      </c>
      <c r="F13" s="24">
        <v>5</v>
      </c>
      <c r="G13" s="24">
        <f>E13-F13</f>
        <v>3.9600000000000009</v>
      </c>
      <c r="H13" s="21" t="s">
        <v>289</v>
      </c>
      <c r="I13" s="21">
        <v>1</v>
      </c>
      <c r="J13" s="21">
        <v>6</v>
      </c>
      <c r="K13" s="21">
        <v>1</v>
      </c>
      <c r="L13" s="21">
        <v>6</v>
      </c>
      <c r="M13" s="21">
        <v>0</v>
      </c>
      <c r="P13" s="24">
        <f>J13+L13+N13</f>
        <v>12</v>
      </c>
      <c r="Q13" s="24">
        <f>K13+M13+O13</f>
        <v>1</v>
      </c>
      <c r="R13" s="24">
        <f>P13/(P13+Q13)</f>
        <v>0.92307692307692313</v>
      </c>
      <c r="S13" s="21" t="s">
        <v>442</v>
      </c>
      <c r="U13" s="21" t="s">
        <v>287</v>
      </c>
      <c r="V13" s="21" t="s">
        <v>286</v>
      </c>
      <c r="W13" s="21">
        <v>7</v>
      </c>
      <c r="X13" s="21" t="s">
        <v>285</v>
      </c>
      <c r="Y13" s="21" t="s">
        <v>318</v>
      </c>
      <c r="Z13" s="21" t="s">
        <v>317</v>
      </c>
      <c r="AA13" s="21" t="s">
        <v>5</v>
      </c>
      <c r="AB13" s="21">
        <v>1</v>
      </c>
      <c r="AD13" s="24">
        <v>8.08</v>
      </c>
      <c r="AE13" s="24">
        <v>5.3</v>
      </c>
      <c r="AF13" s="21" t="s">
        <v>304</v>
      </c>
      <c r="AG13" s="21" t="s">
        <v>303</v>
      </c>
    </row>
    <row r="14" spans="1:33">
      <c r="A14" s="21" t="s">
        <v>5</v>
      </c>
      <c r="B14" s="21" t="s">
        <v>439</v>
      </c>
      <c r="C14" s="25">
        <v>46127.645833333336</v>
      </c>
      <c r="D14" s="21" t="s">
        <v>26</v>
      </c>
      <c r="E14" s="24">
        <v>8.9700000000000006</v>
      </c>
      <c r="F14" s="24">
        <v>7.49</v>
      </c>
      <c r="G14" s="24">
        <f>E14-F14</f>
        <v>1.4800000000000004</v>
      </c>
      <c r="H14" s="21" t="s">
        <v>294</v>
      </c>
      <c r="I14" s="21">
        <v>0</v>
      </c>
      <c r="J14" s="21">
        <v>3</v>
      </c>
      <c r="K14" s="21">
        <v>6</v>
      </c>
      <c r="L14" s="21">
        <v>6</v>
      </c>
      <c r="M14" s="21">
        <v>3</v>
      </c>
      <c r="N14" s="21">
        <v>4</v>
      </c>
      <c r="O14" s="21">
        <v>6</v>
      </c>
      <c r="P14" s="24">
        <f>J14+L14+N14</f>
        <v>13</v>
      </c>
      <c r="Q14" s="24">
        <f>K14+M14+O14</f>
        <v>15</v>
      </c>
      <c r="R14" s="24">
        <f>P14/(P14+Q14)</f>
        <v>0.4642857142857143</v>
      </c>
      <c r="S14" s="21" t="s">
        <v>95</v>
      </c>
      <c r="U14" s="21" t="s">
        <v>287</v>
      </c>
      <c r="V14" s="21" t="s">
        <v>286</v>
      </c>
      <c r="W14" s="21">
        <v>8</v>
      </c>
      <c r="X14" s="21" t="s">
        <v>285</v>
      </c>
      <c r="Y14" s="21" t="s">
        <v>318</v>
      </c>
      <c r="Z14" s="21" t="s">
        <v>317</v>
      </c>
      <c r="AA14" s="21" t="s">
        <v>5</v>
      </c>
      <c r="AB14" s="21">
        <v>1</v>
      </c>
      <c r="AD14" s="24">
        <v>8.08</v>
      </c>
      <c r="AE14" s="24">
        <v>8.09</v>
      </c>
      <c r="AF14" s="21" t="s">
        <v>304</v>
      </c>
      <c r="AG14" s="21" t="s">
        <v>303</v>
      </c>
    </row>
    <row r="15" spans="1:33">
      <c r="A15" s="21" t="s">
        <v>5</v>
      </c>
      <c r="B15" s="21" t="s">
        <v>439</v>
      </c>
      <c r="C15" s="25">
        <v>46128.458333333336</v>
      </c>
      <c r="D15" s="21" t="s">
        <v>67</v>
      </c>
      <c r="E15" s="24">
        <v>8.9700000000000006</v>
      </c>
      <c r="F15" s="24">
        <v>5.76</v>
      </c>
      <c r="G15" s="24">
        <f>E15-F15</f>
        <v>3.2100000000000009</v>
      </c>
      <c r="H15" s="21" t="s">
        <v>289</v>
      </c>
      <c r="I15" s="21">
        <v>1</v>
      </c>
      <c r="J15" s="21">
        <v>8</v>
      </c>
      <c r="K15" s="21">
        <v>3</v>
      </c>
      <c r="P15" s="24">
        <f>J15+L15+N15</f>
        <v>8</v>
      </c>
      <c r="Q15" s="24">
        <f>K15+M15+O15</f>
        <v>3</v>
      </c>
      <c r="R15" s="24">
        <f>P15/(P15+Q15)</f>
        <v>0.72727272727272729</v>
      </c>
      <c r="S15" s="21" t="s">
        <v>29</v>
      </c>
      <c r="T15" s="21" t="s">
        <v>297</v>
      </c>
      <c r="U15" s="21" t="s">
        <v>292</v>
      </c>
      <c r="V15" s="21" t="s">
        <v>286</v>
      </c>
      <c r="W15" s="21">
        <v>9</v>
      </c>
      <c r="X15" s="21" t="s">
        <v>285</v>
      </c>
      <c r="Y15" s="21" t="s">
        <v>318</v>
      </c>
      <c r="Z15" s="21" t="s">
        <v>317</v>
      </c>
      <c r="AA15" s="21" t="s">
        <v>5</v>
      </c>
      <c r="AB15" s="21">
        <v>1</v>
      </c>
      <c r="AD15" s="24">
        <v>8.08</v>
      </c>
      <c r="AE15" s="24">
        <v>7.1</v>
      </c>
      <c r="AF15" s="21" t="s">
        <v>304</v>
      </c>
      <c r="AG15" s="21" t="s">
        <v>303</v>
      </c>
    </row>
    <row r="16" spans="1:33">
      <c r="A16" s="21" t="s">
        <v>5</v>
      </c>
      <c r="B16" s="21" t="s">
        <v>439</v>
      </c>
      <c r="C16" s="25">
        <v>46128.541666666664</v>
      </c>
      <c r="D16" s="21" t="s">
        <v>46</v>
      </c>
      <c r="E16" s="24">
        <v>8.9700000000000006</v>
      </c>
      <c r="F16" s="24">
        <v>7.41</v>
      </c>
      <c r="G16" s="24">
        <f>E16-F16</f>
        <v>1.5600000000000005</v>
      </c>
      <c r="H16" s="21" t="s">
        <v>289</v>
      </c>
      <c r="I16" s="21">
        <v>1</v>
      </c>
      <c r="J16" s="21">
        <v>8</v>
      </c>
      <c r="K16" s="21">
        <v>6</v>
      </c>
      <c r="P16" s="24">
        <f>J16+L16+N16</f>
        <v>8</v>
      </c>
      <c r="Q16" s="24">
        <f>K16+M16+O16</f>
        <v>6</v>
      </c>
      <c r="R16" s="24">
        <f>P16/(P16+Q16)</f>
        <v>0.5714285714285714</v>
      </c>
      <c r="S16" s="21" t="s">
        <v>29</v>
      </c>
      <c r="T16" s="21" t="s">
        <v>296</v>
      </c>
      <c r="U16" s="21" t="s">
        <v>292</v>
      </c>
      <c r="V16" s="21" t="s">
        <v>286</v>
      </c>
      <c r="W16" s="21">
        <v>10</v>
      </c>
      <c r="X16" s="21" t="s">
        <v>285</v>
      </c>
      <c r="Y16" s="21" t="s">
        <v>318</v>
      </c>
      <c r="Z16" s="21" t="s">
        <v>317</v>
      </c>
      <c r="AA16" s="21" t="s">
        <v>5</v>
      </c>
      <c r="AB16" s="21">
        <v>1</v>
      </c>
      <c r="AD16" s="24">
        <v>8.08</v>
      </c>
      <c r="AE16" s="24">
        <v>7.96</v>
      </c>
      <c r="AF16" s="21" t="s">
        <v>304</v>
      </c>
      <c r="AG16" s="21" t="s">
        <v>303</v>
      </c>
    </row>
    <row r="17" spans="1:33">
      <c r="A17" s="21" t="s">
        <v>5</v>
      </c>
      <c r="B17" s="21" t="s">
        <v>439</v>
      </c>
      <c r="C17" s="25">
        <v>46128.625</v>
      </c>
      <c r="D17" s="21" t="s">
        <v>91</v>
      </c>
      <c r="E17" s="24">
        <v>8.9700000000000006</v>
      </c>
      <c r="F17" s="24">
        <v>5.85</v>
      </c>
      <c r="G17" s="24">
        <f>E17-F17</f>
        <v>3.120000000000001</v>
      </c>
      <c r="H17" s="21" t="s">
        <v>289</v>
      </c>
      <c r="I17" s="21">
        <v>1</v>
      </c>
      <c r="J17" s="21">
        <v>7</v>
      </c>
      <c r="K17" s="21">
        <v>6</v>
      </c>
      <c r="L17" s="21">
        <v>6</v>
      </c>
      <c r="M17" s="21">
        <v>3</v>
      </c>
      <c r="P17" s="24">
        <f>J17+L17+N17</f>
        <v>13</v>
      </c>
      <c r="Q17" s="24">
        <f>K17+M17+O17</f>
        <v>9</v>
      </c>
      <c r="R17" s="24">
        <f>P17/(P17+Q17)</f>
        <v>0.59090909090909094</v>
      </c>
      <c r="S17" s="21" t="s">
        <v>29</v>
      </c>
      <c r="T17" s="21" t="s">
        <v>295</v>
      </c>
      <c r="U17" s="21" t="s">
        <v>292</v>
      </c>
      <c r="V17" s="21" t="s">
        <v>286</v>
      </c>
      <c r="W17" s="21">
        <v>11</v>
      </c>
      <c r="X17" s="21" t="s">
        <v>285</v>
      </c>
      <c r="Y17" s="21" t="s">
        <v>318</v>
      </c>
      <c r="Z17" s="21" t="s">
        <v>317</v>
      </c>
      <c r="AA17" s="21" t="s">
        <v>5</v>
      </c>
      <c r="AB17" s="21">
        <v>1</v>
      </c>
      <c r="AD17" s="24">
        <v>8.08</v>
      </c>
      <c r="AE17" s="24">
        <v>6.61</v>
      </c>
      <c r="AF17" s="21" t="s">
        <v>304</v>
      </c>
      <c r="AG17" s="21" t="s">
        <v>303</v>
      </c>
    </row>
    <row r="18" spans="1:33">
      <c r="A18" s="21" t="s">
        <v>5</v>
      </c>
      <c r="B18" s="21" t="s">
        <v>439</v>
      </c>
      <c r="C18" s="25">
        <v>46141.577777777777</v>
      </c>
      <c r="D18" s="21" t="s">
        <v>823</v>
      </c>
      <c r="E18" s="24">
        <v>8.9600000000000009</v>
      </c>
      <c r="F18" s="24">
        <v>6.42</v>
      </c>
      <c r="G18" s="24">
        <f>E18-F18</f>
        <v>2.5400000000000009</v>
      </c>
      <c r="H18" s="21" t="s">
        <v>289</v>
      </c>
      <c r="I18" s="21">
        <v>1</v>
      </c>
      <c r="J18" s="21">
        <v>6</v>
      </c>
      <c r="K18" s="21">
        <v>0</v>
      </c>
      <c r="L18" s="21">
        <v>6</v>
      </c>
      <c r="M18" s="21">
        <v>0</v>
      </c>
      <c r="P18" s="24">
        <f>J18+L18+N18</f>
        <v>12</v>
      </c>
      <c r="Q18" s="24">
        <f>K18+M18+O18</f>
        <v>0</v>
      </c>
      <c r="R18" s="24">
        <f>P18/(P18+Q18)</f>
        <v>1</v>
      </c>
      <c r="S18" s="21" t="s">
        <v>29</v>
      </c>
      <c r="T18" s="21" t="s">
        <v>298</v>
      </c>
      <c r="U18" s="21" t="s">
        <v>292</v>
      </c>
      <c r="V18" s="21" t="s">
        <v>286</v>
      </c>
      <c r="W18" s="21">
        <v>12</v>
      </c>
      <c r="X18" s="21" t="s">
        <v>285</v>
      </c>
      <c r="Y18" s="21" t="s">
        <v>318</v>
      </c>
      <c r="Z18" s="21" t="s">
        <v>317</v>
      </c>
      <c r="AA18" s="21" t="s">
        <v>5</v>
      </c>
      <c r="AB18" s="21">
        <v>1</v>
      </c>
      <c r="AD18" s="24">
        <v>8.08</v>
      </c>
      <c r="AE18" s="24">
        <v>6.42</v>
      </c>
      <c r="AF18" s="21" t="s">
        <v>302</v>
      </c>
      <c r="AG18" s="21" t="s">
        <v>301</v>
      </c>
    </row>
    <row r="19" spans="1:33">
      <c r="A19" s="21" t="s">
        <v>5</v>
      </c>
      <c r="B19" s="21" t="s">
        <v>439</v>
      </c>
      <c r="C19" s="25">
        <v>46141.586805555555</v>
      </c>
      <c r="D19" s="21" t="s">
        <v>143</v>
      </c>
      <c r="E19" s="24">
        <v>8.9600000000000009</v>
      </c>
      <c r="F19" s="24">
        <v>6.58</v>
      </c>
      <c r="G19" s="24">
        <f>E19-F19</f>
        <v>2.3800000000000008</v>
      </c>
      <c r="H19" s="21" t="s">
        <v>289</v>
      </c>
      <c r="I19" s="21">
        <v>1</v>
      </c>
      <c r="J19" s="21">
        <v>6</v>
      </c>
      <c r="K19" s="21">
        <v>3</v>
      </c>
      <c r="L19" s="21">
        <v>6</v>
      </c>
      <c r="M19" s="21">
        <v>4</v>
      </c>
      <c r="P19" s="24">
        <f>J19+L19+N19</f>
        <v>12</v>
      </c>
      <c r="Q19" s="24">
        <f>K19+M19+O19</f>
        <v>7</v>
      </c>
      <c r="R19" s="24">
        <f>P19/(P19+Q19)</f>
        <v>0.63157894736842102</v>
      </c>
      <c r="S19" s="21" t="s">
        <v>29</v>
      </c>
      <c r="T19" s="21" t="s">
        <v>297</v>
      </c>
      <c r="U19" s="21" t="s">
        <v>292</v>
      </c>
      <c r="V19" s="21" t="s">
        <v>286</v>
      </c>
      <c r="W19" s="21">
        <v>13</v>
      </c>
      <c r="X19" s="21" t="s">
        <v>285</v>
      </c>
      <c r="Y19" s="21" t="s">
        <v>318</v>
      </c>
      <c r="Z19" s="21" t="s">
        <v>317</v>
      </c>
      <c r="AA19" s="21" t="s">
        <v>5</v>
      </c>
      <c r="AB19" s="21">
        <v>1</v>
      </c>
      <c r="AD19" s="24">
        <v>8.08</v>
      </c>
      <c r="AE19" s="24">
        <v>7.19</v>
      </c>
      <c r="AF19" s="21" t="s">
        <v>304</v>
      </c>
      <c r="AG19" s="21" t="s">
        <v>303</v>
      </c>
    </row>
    <row r="20" spans="1:33">
      <c r="A20" s="21" t="s">
        <v>5</v>
      </c>
      <c r="B20" s="21" t="s">
        <v>439</v>
      </c>
      <c r="C20" s="25">
        <v>46141.588194444441</v>
      </c>
      <c r="D20" s="21" t="s">
        <v>38</v>
      </c>
      <c r="E20" s="24">
        <v>8.9600000000000009</v>
      </c>
      <c r="F20" s="24">
        <v>10.130000000000001</v>
      </c>
      <c r="G20" s="24">
        <f>E20-F20</f>
        <v>-1.17</v>
      </c>
      <c r="H20" s="21" t="s">
        <v>294</v>
      </c>
      <c r="I20" s="21">
        <v>0</v>
      </c>
      <c r="J20" s="21">
        <v>2</v>
      </c>
      <c r="K20" s="21">
        <v>6</v>
      </c>
      <c r="L20" s="21">
        <v>0</v>
      </c>
      <c r="M20" s="21">
        <v>6</v>
      </c>
      <c r="P20" s="24">
        <f>J20+L20+N20</f>
        <v>2</v>
      </c>
      <c r="Q20" s="24">
        <f>K20+M20+O20</f>
        <v>12</v>
      </c>
      <c r="R20" s="24">
        <f>P20/(P20+Q20)</f>
        <v>0.14285714285714285</v>
      </c>
      <c r="S20" s="21" t="s">
        <v>29</v>
      </c>
      <c r="T20" s="21" t="s">
        <v>296</v>
      </c>
      <c r="U20" s="21" t="s">
        <v>292</v>
      </c>
      <c r="V20" s="21" t="s">
        <v>286</v>
      </c>
      <c r="W20" s="21">
        <v>14</v>
      </c>
      <c r="X20" s="21" t="s">
        <v>285</v>
      </c>
      <c r="Y20" s="21" t="s">
        <v>318</v>
      </c>
      <c r="Z20" s="21" t="s">
        <v>317</v>
      </c>
      <c r="AA20" s="21" t="s">
        <v>5</v>
      </c>
      <c r="AB20" s="21">
        <v>1</v>
      </c>
      <c r="AD20" s="24">
        <v>8.08</v>
      </c>
      <c r="AE20" s="24">
        <v>10.01</v>
      </c>
      <c r="AF20" s="21" t="s">
        <v>304</v>
      </c>
      <c r="AG20" s="21" t="s">
        <v>303</v>
      </c>
    </row>
    <row r="21" spans="1:33">
      <c r="A21" s="21" t="s">
        <v>5</v>
      </c>
      <c r="B21" s="21" t="s">
        <v>439</v>
      </c>
      <c r="C21" s="25">
        <v>46141.60833333333</v>
      </c>
      <c r="D21" s="21" t="s">
        <v>28</v>
      </c>
      <c r="E21" s="24">
        <v>8.9600000000000009</v>
      </c>
      <c r="F21" s="24">
        <v>8.31</v>
      </c>
      <c r="G21" s="24">
        <f>E21-F21</f>
        <v>0.65000000000000036</v>
      </c>
      <c r="H21" s="21" t="s">
        <v>294</v>
      </c>
      <c r="I21" s="21">
        <v>0</v>
      </c>
      <c r="J21" s="21">
        <v>4</v>
      </c>
      <c r="K21" s="21">
        <v>6</v>
      </c>
      <c r="L21" s="21">
        <v>2</v>
      </c>
      <c r="M21" s="21">
        <v>6</v>
      </c>
      <c r="P21" s="24">
        <f>J21+L21+N21</f>
        <v>6</v>
      </c>
      <c r="Q21" s="24">
        <f>K21+M21+O21</f>
        <v>12</v>
      </c>
      <c r="R21" s="24">
        <f>P21/(P21+Q21)</f>
        <v>0.33333333333333331</v>
      </c>
      <c r="S21" s="21" t="s">
        <v>29</v>
      </c>
      <c r="T21" s="21" t="s">
        <v>295</v>
      </c>
      <c r="U21" s="21" t="s">
        <v>292</v>
      </c>
      <c r="V21" s="21" t="s">
        <v>286</v>
      </c>
      <c r="W21" s="21">
        <v>15</v>
      </c>
      <c r="X21" s="21" t="s">
        <v>285</v>
      </c>
      <c r="Y21" s="21" t="s">
        <v>318</v>
      </c>
      <c r="Z21" s="21" t="s">
        <v>317</v>
      </c>
      <c r="AA21" s="21" t="s">
        <v>5</v>
      </c>
      <c r="AB21" s="21">
        <v>1</v>
      </c>
      <c r="AD21" s="24">
        <v>8.08</v>
      </c>
      <c r="AE21" s="24">
        <v>8.57</v>
      </c>
      <c r="AF21" s="21" t="s">
        <v>304</v>
      </c>
      <c r="AG21" s="21" t="s">
        <v>303</v>
      </c>
    </row>
    <row r="22" spans="1:33">
      <c r="A22" s="21" t="s">
        <v>5</v>
      </c>
      <c r="B22" s="21" t="s">
        <v>439</v>
      </c>
      <c r="C22" s="25">
        <v>46141.643055555556</v>
      </c>
      <c r="D22" s="21" t="s">
        <v>147</v>
      </c>
      <c r="E22" s="24">
        <v>8.9600000000000009</v>
      </c>
      <c r="F22" s="24">
        <v>4.87</v>
      </c>
      <c r="G22" s="24">
        <f>E22-F22</f>
        <v>4.0900000000000007</v>
      </c>
      <c r="H22" s="21" t="s">
        <v>289</v>
      </c>
      <c r="I22" s="21">
        <v>1</v>
      </c>
      <c r="J22" s="21">
        <v>6</v>
      </c>
      <c r="K22" s="21">
        <v>0</v>
      </c>
      <c r="L22" s="21">
        <v>6</v>
      </c>
      <c r="M22" s="21">
        <v>0</v>
      </c>
      <c r="P22" s="24">
        <f>J22+L22+N22</f>
        <v>12</v>
      </c>
      <c r="Q22" s="24">
        <f>K22+M22+O22</f>
        <v>0</v>
      </c>
      <c r="R22" s="24">
        <f>P22/(P22+Q22)</f>
        <v>1</v>
      </c>
      <c r="S22" s="21" t="s">
        <v>24</v>
      </c>
      <c r="U22" s="21" t="s">
        <v>287</v>
      </c>
      <c r="V22" s="21" t="s">
        <v>286</v>
      </c>
      <c r="W22" s="21">
        <v>16</v>
      </c>
      <c r="X22" s="21" t="s">
        <v>285</v>
      </c>
      <c r="Y22" s="21" t="s">
        <v>318</v>
      </c>
      <c r="Z22" s="21" t="s">
        <v>317</v>
      </c>
      <c r="AA22" s="21" t="s">
        <v>5</v>
      </c>
      <c r="AB22" s="21">
        <v>1</v>
      </c>
      <c r="AD22" s="24">
        <v>8.08</v>
      </c>
      <c r="AE22" s="24">
        <v>5.78</v>
      </c>
      <c r="AF22" s="21" t="s">
        <v>304</v>
      </c>
      <c r="AG22" s="21" t="s">
        <v>341</v>
      </c>
    </row>
    <row r="23" spans="1:33">
      <c r="A23" s="21" t="s">
        <v>5</v>
      </c>
      <c r="B23" s="21" t="s">
        <v>439</v>
      </c>
      <c r="C23" s="25">
        <v>46142.666666666664</v>
      </c>
      <c r="D23" s="21" t="s">
        <v>114</v>
      </c>
      <c r="E23" s="24">
        <v>8.9600000000000009</v>
      </c>
      <c r="F23" s="24">
        <v>7.92</v>
      </c>
      <c r="G23" s="24">
        <f>E23-F23</f>
        <v>1.0400000000000009</v>
      </c>
      <c r="H23" s="21" t="s">
        <v>294</v>
      </c>
      <c r="I23" s="21">
        <v>0</v>
      </c>
      <c r="J23" s="21">
        <v>4</v>
      </c>
      <c r="K23" s="21">
        <v>6</v>
      </c>
      <c r="L23" s="21">
        <v>4</v>
      </c>
      <c r="M23" s="21">
        <v>6</v>
      </c>
      <c r="P23" s="24">
        <f>J23+L23+N23</f>
        <v>8</v>
      </c>
      <c r="Q23" s="24">
        <f>K23+M23+O23</f>
        <v>12</v>
      </c>
      <c r="R23" s="24">
        <f>P23/(P23+Q23)</f>
        <v>0.4</v>
      </c>
      <c r="S23" s="21" t="s">
        <v>24</v>
      </c>
      <c r="U23" s="21" t="s">
        <v>287</v>
      </c>
      <c r="V23" s="21" t="s">
        <v>286</v>
      </c>
      <c r="W23" s="21">
        <v>17</v>
      </c>
      <c r="X23" s="21" t="s">
        <v>285</v>
      </c>
      <c r="Y23" s="21" t="s">
        <v>318</v>
      </c>
      <c r="Z23" s="21" t="s">
        <v>317</v>
      </c>
      <c r="AA23" s="21" t="s">
        <v>5</v>
      </c>
      <c r="AB23" s="21">
        <v>1</v>
      </c>
      <c r="AD23" s="24">
        <v>8.08</v>
      </c>
      <c r="AE23" s="24">
        <v>8.2799999999999994</v>
      </c>
      <c r="AF23" s="21" t="s">
        <v>304</v>
      </c>
      <c r="AG23" s="21" t="s">
        <v>303</v>
      </c>
    </row>
    <row r="24" spans="1:33">
      <c r="A24" s="21" t="s">
        <v>5</v>
      </c>
      <c r="B24" s="21" t="s">
        <v>439</v>
      </c>
      <c r="C24" s="25">
        <v>46146.6875</v>
      </c>
      <c r="D24" s="21" t="s">
        <v>2</v>
      </c>
      <c r="E24" s="24">
        <v>8.9600000000000009</v>
      </c>
      <c r="F24" s="24">
        <v>7.54</v>
      </c>
      <c r="G24" s="24">
        <f>E24-F24</f>
        <v>1.4200000000000008</v>
      </c>
      <c r="H24" s="21" t="s">
        <v>289</v>
      </c>
      <c r="I24" s="21">
        <v>1</v>
      </c>
      <c r="J24" s="21">
        <v>6</v>
      </c>
      <c r="K24" s="21">
        <v>1</v>
      </c>
      <c r="L24" s="21">
        <v>6</v>
      </c>
      <c r="M24" s="21">
        <v>1</v>
      </c>
      <c r="P24" s="24">
        <f>J24+L24+N24</f>
        <v>12</v>
      </c>
      <c r="Q24" s="24">
        <f>K24+M24+O24</f>
        <v>2</v>
      </c>
      <c r="R24" s="24">
        <f>P24/(P24+Q24)</f>
        <v>0.8571428571428571</v>
      </c>
      <c r="S24" s="21" t="s">
        <v>11</v>
      </c>
      <c r="U24" s="21" t="s">
        <v>287</v>
      </c>
      <c r="V24" s="21" t="s">
        <v>286</v>
      </c>
      <c r="W24" s="21">
        <v>18</v>
      </c>
      <c r="X24" s="21" t="s">
        <v>285</v>
      </c>
      <c r="Y24" s="21" t="s">
        <v>318</v>
      </c>
      <c r="Z24" s="21" t="s">
        <v>317</v>
      </c>
      <c r="AA24" s="21" t="s">
        <v>5</v>
      </c>
      <c r="AB24" s="21">
        <v>1</v>
      </c>
      <c r="AD24" s="24">
        <v>8.08</v>
      </c>
      <c r="AE24" s="24">
        <v>7.1</v>
      </c>
      <c r="AF24" s="21" t="s">
        <v>304</v>
      </c>
      <c r="AG24" s="21" t="s">
        <v>303</v>
      </c>
    </row>
    <row r="25" spans="1:33">
      <c r="A25" s="21" t="s">
        <v>5</v>
      </c>
      <c r="B25" s="21" t="s">
        <v>439</v>
      </c>
      <c r="C25" s="25">
        <v>46147.708333333336</v>
      </c>
      <c r="D25" s="21" t="s">
        <v>6</v>
      </c>
      <c r="E25" s="24">
        <v>8.93</v>
      </c>
      <c r="F25" s="24">
        <v>8.6300000000000008</v>
      </c>
      <c r="G25" s="24">
        <f>E25-F25</f>
        <v>0.29999999999999893</v>
      </c>
      <c r="H25" s="21" t="s">
        <v>294</v>
      </c>
      <c r="I25" s="21">
        <v>0</v>
      </c>
      <c r="J25" s="21">
        <v>4</v>
      </c>
      <c r="K25" s="21">
        <v>6</v>
      </c>
      <c r="L25" s="21">
        <v>3</v>
      </c>
      <c r="M25" s="21">
        <v>6</v>
      </c>
      <c r="P25" s="24">
        <f>J25+L25+N25</f>
        <v>7</v>
      </c>
      <c r="Q25" s="24">
        <f>K25+M25+O25</f>
        <v>12</v>
      </c>
      <c r="R25" s="24">
        <f>P25/(P25+Q25)</f>
        <v>0.36842105263157893</v>
      </c>
      <c r="S25" s="21" t="s">
        <v>7</v>
      </c>
      <c r="U25" s="21" t="s">
        <v>287</v>
      </c>
      <c r="V25" s="21" t="s">
        <v>286</v>
      </c>
      <c r="W25" s="21">
        <v>19</v>
      </c>
      <c r="X25" s="21" t="s">
        <v>285</v>
      </c>
      <c r="Y25" s="21" t="s">
        <v>318</v>
      </c>
      <c r="Z25" s="21" t="s">
        <v>317</v>
      </c>
      <c r="AA25" s="21" t="s">
        <v>5</v>
      </c>
      <c r="AB25" s="21">
        <v>1</v>
      </c>
      <c r="AD25" s="24">
        <v>8.08</v>
      </c>
      <c r="AE25" s="24">
        <v>8.9700000000000006</v>
      </c>
      <c r="AF25" s="21" t="s">
        <v>304</v>
      </c>
      <c r="AG25" s="21" t="s">
        <v>303</v>
      </c>
    </row>
    <row r="26" spans="1:33">
      <c r="A26" s="21" t="s">
        <v>525</v>
      </c>
      <c r="B26" s="21" t="s">
        <v>613</v>
      </c>
      <c r="C26" s="25">
        <v>46105.645833333336</v>
      </c>
      <c r="D26" s="21" t="s">
        <v>84</v>
      </c>
      <c r="E26" s="24">
        <v>3.23</v>
      </c>
      <c r="F26" s="24">
        <v>6.29</v>
      </c>
      <c r="G26" s="24">
        <f>E26-F26</f>
        <v>-3.06</v>
      </c>
      <c r="H26" s="21" t="s">
        <v>294</v>
      </c>
      <c r="I26" s="21">
        <v>0</v>
      </c>
      <c r="J26" s="21">
        <v>2</v>
      </c>
      <c r="K26" s="21">
        <v>6</v>
      </c>
      <c r="L26" s="21">
        <v>1</v>
      </c>
      <c r="M26" s="21">
        <v>6</v>
      </c>
      <c r="P26" s="24">
        <f>J26+L26+N26</f>
        <v>3</v>
      </c>
      <c r="Q26" s="24">
        <f>K26+M26+O26</f>
        <v>12</v>
      </c>
      <c r="R26" s="24">
        <f>P26/(P26+Q26)</f>
        <v>0.2</v>
      </c>
      <c r="S26" s="21" t="s">
        <v>217</v>
      </c>
      <c r="U26" s="21" t="s">
        <v>287</v>
      </c>
      <c r="V26" s="21" t="s">
        <v>286</v>
      </c>
      <c r="W26" s="21">
        <v>0</v>
      </c>
      <c r="X26" s="21" t="s">
        <v>312</v>
      </c>
      <c r="Y26" s="21" t="s">
        <v>326</v>
      </c>
      <c r="Z26" s="21" t="s">
        <v>325</v>
      </c>
      <c r="AA26" s="21" t="s">
        <v>525</v>
      </c>
      <c r="AB26" s="21">
        <v>1</v>
      </c>
      <c r="AD26" s="24">
        <v>3.89</v>
      </c>
      <c r="AE26" s="24">
        <v>6.97</v>
      </c>
      <c r="AF26" s="21" t="s">
        <v>304</v>
      </c>
      <c r="AG26" s="21" t="s">
        <v>341</v>
      </c>
    </row>
    <row r="27" spans="1:33">
      <c r="A27" s="21" t="s">
        <v>525</v>
      </c>
      <c r="B27" s="21" t="s">
        <v>613</v>
      </c>
      <c r="C27" s="25">
        <v>46111.333333333336</v>
      </c>
      <c r="D27" s="21" t="s">
        <v>781</v>
      </c>
      <c r="E27" s="24">
        <v>3.23</v>
      </c>
      <c r="F27" s="24">
        <v>3.08</v>
      </c>
      <c r="G27" s="24">
        <f>E27-F27</f>
        <v>0.14999999999999991</v>
      </c>
      <c r="H27" s="21" t="s">
        <v>289</v>
      </c>
      <c r="I27" s="21">
        <v>1</v>
      </c>
      <c r="J27" s="21">
        <v>6</v>
      </c>
      <c r="K27" s="21">
        <v>0</v>
      </c>
      <c r="L27" s="21">
        <v>6</v>
      </c>
      <c r="M27" s="21">
        <v>0</v>
      </c>
      <c r="P27" s="24">
        <f>J27+L27+N27</f>
        <v>12</v>
      </c>
      <c r="Q27" s="24">
        <f>K27+M27+O27</f>
        <v>0</v>
      </c>
      <c r="R27" s="24">
        <f>P27/(P27+Q27)</f>
        <v>1</v>
      </c>
      <c r="S27" s="21" t="s">
        <v>822</v>
      </c>
      <c r="U27" s="21" t="s">
        <v>287</v>
      </c>
      <c r="V27" s="21" t="s">
        <v>286</v>
      </c>
      <c r="W27" s="21">
        <v>2</v>
      </c>
      <c r="X27" s="21" t="s">
        <v>310</v>
      </c>
      <c r="Y27" s="21" t="s">
        <v>326</v>
      </c>
      <c r="Z27" s="21" t="s">
        <v>325</v>
      </c>
      <c r="AA27" s="21" t="s">
        <v>525</v>
      </c>
      <c r="AB27" s="21">
        <v>1</v>
      </c>
      <c r="AD27" s="24">
        <v>3.89</v>
      </c>
      <c r="AE27" s="24">
        <v>3.08</v>
      </c>
      <c r="AF27" s="21" t="s">
        <v>304</v>
      </c>
      <c r="AG27" s="21" t="s">
        <v>341</v>
      </c>
    </row>
    <row r="28" spans="1:33">
      <c r="A28" s="21" t="s">
        <v>525</v>
      </c>
      <c r="B28" s="21" t="s">
        <v>613</v>
      </c>
      <c r="C28" s="25">
        <v>46111.458333333336</v>
      </c>
      <c r="D28" s="21" t="s">
        <v>783</v>
      </c>
      <c r="E28" s="24">
        <v>3.23</v>
      </c>
      <c r="F28" s="24">
        <v>3.64</v>
      </c>
      <c r="G28" s="24">
        <f>E28-F28</f>
        <v>-0.41000000000000014</v>
      </c>
      <c r="H28" s="21" t="s">
        <v>289</v>
      </c>
      <c r="I28" s="21">
        <v>1</v>
      </c>
      <c r="J28" s="21">
        <v>6</v>
      </c>
      <c r="K28" s="21">
        <v>4</v>
      </c>
      <c r="L28" s="21">
        <v>7</v>
      </c>
      <c r="M28" s="21">
        <v>5</v>
      </c>
      <c r="P28" s="24">
        <f>J28+L28+N28</f>
        <v>13</v>
      </c>
      <c r="Q28" s="24">
        <f>K28+M28+O28</f>
        <v>9</v>
      </c>
      <c r="R28" s="24">
        <f>P28/(P28+Q28)</f>
        <v>0.59090909090909094</v>
      </c>
      <c r="S28" s="21" t="s">
        <v>185</v>
      </c>
      <c r="U28" s="21" t="s">
        <v>287</v>
      </c>
      <c r="V28" s="21" t="s">
        <v>286</v>
      </c>
      <c r="W28" s="21">
        <v>3</v>
      </c>
      <c r="X28" s="21" t="s">
        <v>285</v>
      </c>
      <c r="Y28" s="21" t="s">
        <v>326</v>
      </c>
      <c r="Z28" s="21" t="s">
        <v>325</v>
      </c>
      <c r="AA28" s="21" t="s">
        <v>525</v>
      </c>
      <c r="AB28" s="21">
        <v>1</v>
      </c>
      <c r="AD28" s="24">
        <v>3.89</v>
      </c>
      <c r="AE28" s="24">
        <v>3.64</v>
      </c>
      <c r="AF28" s="21" t="s">
        <v>302</v>
      </c>
      <c r="AG28" s="21" t="s">
        <v>301</v>
      </c>
    </row>
    <row r="29" spans="1:33">
      <c r="A29" s="21" t="s">
        <v>525</v>
      </c>
      <c r="B29" s="21" t="s">
        <v>613</v>
      </c>
      <c r="C29" s="25">
        <v>46111.458333333336</v>
      </c>
      <c r="D29" s="21" t="s">
        <v>589</v>
      </c>
      <c r="E29" s="24">
        <v>3.23</v>
      </c>
      <c r="F29" s="24">
        <v>5.38</v>
      </c>
      <c r="G29" s="24">
        <f>E29-F29</f>
        <v>-2.15</v>
      </c>
      <c r="H29" s="21" t="s">
        <v>294</v>
      </c>
      <c r="I29" s="21">
        <v>0</v>
      </c>
      <c r="J29" s="21">
        <v>1</v>
      </c>
      <c r="K29" s="21">
        <v>6</v>
      </c>
      <c r="L29" s="21">
        <v>2</v>
      </c>
      <c r="M29" s="21">
        <v>6</v>
      </c>
      <c r="P29" s="24">
        <f>J29+L29+N29</f>
        <v>3</v>
      </c>
      <c r="Q29" s="24">
        <f>K29+M29+O29</f>
        <v>12</v>
      </c>
      <c r="R29" s="24">
        <f>P29/(P29+Q29)</f>
        <v>0.2</v>
      </c>
      <c r="S29" s="21" t="s">
        <v>821</v>
      </c>
      <c r="U29" s="21" t="s">
        <v>287</v>
      </c>
      <c r="V29" s="21" t="s">
        <v>286</v>
      </c>
      <c r="W29" s="21">
        <v>3</v>
      </c>
      <c r="X29" s="21" t="s">
        <v>285</v>
      </c>
      <c r="Y29" s="21" t="s">
        <v>326</v>
      </c>
      <c r="Z29" s="21" t="s">
        <v>325</v>
      </c>
      <c r="AA29" s="21" t="s">
        <v>525</v>
      </c>
      <c r="AB29" s="21">
        <v>1</v>
      </c>
      <c r="AD29" s="24">
        <v>3.89</v>
      </c>
      <c r="AE29" s="24">
        <v>5.38</v>
      </c>
      <c r="AF29" s="21" t="s">
        <v>302</v>
      </c>
      <c r="AG29" s="21" t="s">
        <v>301</v>
      </c>
    </row>
    <row r="30" spans="1:33">
      <c r="A30" s="21" t="s">
        <v>525</v>
      </c>
      <c r="B30" s="21" t="s">
        <v>613</v>
      </c>
      <c r="C30" s="25">
        <v>46111.645833333336</v>
      </c>
      <c r="D30" s="21" t="s">
        <v>635</v>
      </c>
      <c r="E30" s="24">
        <v>3.23</v>
      </c>
      <c r="F30" s="24">
        <v>4.6100000000000003</v>
      </c>
      <c r="G30" s="24">
        <f>E30-F30</f>
        <v>-1.3800000000000003</v>
      </c>
      <c r="H30" s="21" t="s">
        <v>294</v>
      </c>
      <c r="I30" s="21">
        <v>0</v>
      </c>
      <c r="J30" s="21">
        <v>1</v>
      </c>
      <c r="K30" s="21">
        <v>6</v>
      </c>
      <c r="L30" s="21">
        <v>3</v>
      </c>
      <c r="M30" s="21">
        <v>6</v>
      </c>
      <c r="P30" s="24">
        <f>J30+L30+N30</f>
        <v>4</v>
      </c>
      <c r="Q30" s="24">
        <f>K30+M30+O30</f>
        <v>12</v>
      </c>
      <c r="R30" s="24">
        <f>P30/(P30+Q30)</f>
        <v>0.25</v>
      </c>
      <c r="S30" s="21" t="s">
        <v>614</v>
      </c>
      <c r="U30" s="21" t="s">
        <v>287</v>
      </c>
      <c r="V30" s="21" t="s">
        <v>286</v>
      </c>
      <c r="W30" s="21">
        <v>5</v>
      </c>
      <c r="X30" s="21" t="s">
        <v>285</v>
      </c>
      <c r="Y30" s="21" t="s">
        <v>326</v>
      </c>
      <c r="Z30" s="21" t="s">
        <v>325</v>
      </c>
      <c r="AA30" s="21" t="s">
        <v>525</v>
      </c>
      <c r="AB30" s="21">
        <v>1</v>
      </c>
      <c r="AD30" s="24">
        <v>3.89</v>
      </c>
      <c r="AE30" s="24">
        <v>4.6100000000000003</v>
      </c>
      <c r="AF30" s="21" t="s">
        <v>302</v>
      </c>
      <c r="AG30" s="21" t="s">
        <v>301</v>
      </c>
    </row>
    <row r="31" spans="1:33">
      <c r="A31" s="21" t="s">
        <v>525</v>
      </c>
      <c r="B31" s="21" t="s">
        <v>613</v>
      </c>
      <c r="C31" s="25">
        <v>46119.645833333336</v>
      </c>
      <c r="D31" s="21" t="s">
        <v>114</v>
      </c>
      <c r="E31" s="24">
        <v>3.5</v>
      </c>
      <c r="F31" s="24">
        <v>7.74</v>
      </c>
      <c r="G31" s="24">
        <f>E31-F31</f>
        <v>-4.24</v>
      </c>
      <c r="H31" s="21" t="s">
        <v>294</v>
      </c>
      <c r="I31" s="21">
        <v>0</v>
      </c>
      <c r="J31" s="21">
        <v>0</v>
      </c>
      <c r="K31" s="21">
        <v>6</v>
      </c>
      <c r="L31" s="21">
        <v>0</v>
      </c>
      <c r="M31" s="21">
        <v>6</v>
      </c>
      <c r="P31" s="24">
        <f>J31+L31+N31</f>
        <v>0</v>
      </c>
      <c r="Q31" s="24">
        <f>K31+M31+O31</f>
        <v>12</v>
      </c>
      <c r="R31" s="24">
        <f>P31/(P31+Q31)</f>
        <v>0</v>
      </c>
      <c r="S31" s="21" t="s">
        <v>158</v>
      </c>
      <c r="U31" s="21" t="s">
        <v>287</v>
      </c>
      <c r="V31" s="21" t="s">
        <v>286</v>
      </c>
      <c r="W31" s="21">
        <v>6</v>
      </c>
      <c r="X31" s="21" t="s">
        <v>285</v>
      </c>
      <c r="Y31" s="21" t="s">
        <v>326</v>
      </c>
      <c r="Z31" s="21" t="s">
        <v>325</v>
      </c>
      <c r="AA31" s="21" t="s">
        <v>525</v>
      </c>
      <c r="AB31" s="21">
        <v>1</v>
      </c>
      <c r="AD31" s="24">
        <v>3.89</v>
      </c>
      <c r="AE31" s="24">
        <v>8.2799999999999994</v>
      </c>
      <c r="AF31" s="21" t="s">
        <v>302</v>
      </c>
      <c r="AG31" s="21" t="s">
        <v>301</v>
      </c>
    </row>
    <row r="32" spans="1:33">
      <c r="A32" s="21" t="s">
        <v>525</v>
      </c>
      <c r="B32" s="21" t="s">
        <v>613</v>
      </c>
      <c r="C32" s="25">
        <v>46120.645833333336</v>
      </c>
      <c r="D32" s="21" t="s">
        <v>171</v>
      </c>
      <c r="E32" s="24">
        <v>3.5</v>
      </c>
      <c r="F32" s="24">
        <v>5.3</v>
      </c>
      <c r="G32" s="24">
        <f>E32-F32</f>
        <v>-1.7999999999999998</v>
      </c>
      <c r="H32" s="21" t="s">
        <v>294</v>
      </c>
      <c r="I32" s="21">
        <v>0</v>
      </c>
      <c r="J32" s="21">
        <v>1</v>
      </c>
      <c r="K32" s="21">
        <v>6</v>
      </c>
      <c r="L32" s="21">
        <v>1</v>
      </c>
      <c r="M32" s="21">
        <v>6</v>
      </c>
      <c r="P32" s="24">
        <f>J32+L32+N32</f>
        <v>2</v>
      </c>
      <c r="Q32" s="24">
        <f>K32+M32+O32</f>
        <v>12</v>
      </c>
      <c r="R32" s="24">
        <f>P32/(P32+Q32)</f>
        <v>0.14285714285714285</v>
      </c>
      <c r="S32" s="21" t="s">
        <v>330</v>
      </c>
      <c r="U32" s="21" t="s">
        <v>287</v>
      </c>
      <c r="V32" s="21" t="s">
        <v>286</v>
      </c>
      <c r="W32" s="21">
        <v>7</v>
      </c>
      <c r="X32" s="21" t="s">
        <v>285</v>
      </c>
      <c r="Y32" s="21" t="s">
        <v>326</v>
      </c>
      <c r="Z32" s="21" t="s">
        <v>325</v>
      </c>
      <c r="AA32" s="21" t="s">
        <v>525</v>
      </c>
      <c r="AB32" s="21">
        <v>1</v>
      </c>
      <c r="AD32" s="24">
        <v>3.89</v>
      </c>
      <c r="AE32" s="24">
        <v>5.3</v>
      </c>
      <c r="AF32" s="21" t="s">
        <v>304</v>
      </c>
      <c r="AG32" s="21" t="s">
        <v>303</v>
      </c>
    </row>
    <row r="33" spans="1:33">
      <c r="A33" s="21" t="s">
        <v>525</v>
      </c>
      <c r="B33" s="21" t="s">
        <v>613</v>
      </c>
      <c r="C33" s="25">
        <v>46126.645833333336</v>
      </c>
      <c r="D33" s="21" t="s">
        <v>170</v>
      </c>
      <c r="E33" s="24">
        <v>3.42</v>
      </c>
      <c r="F33" s="24">
        <v>5.68</v>
      </c>
      <c r="G33" s="24">
        <f>E33-F33</f>
        <v>-2.2599999999999998</v>
      </c>
      <c r="H33" s="21" t="s">
        <v>294</v>
      </c>
      <c r="I33" s="21">
        <v>0</v>
      </c>
      <c r="J33" s="21">
        <v>0</v>
      </c>
      <c r="K33" s="21">
        <v>6</v>
      </c>
      <c r="L33" s="21">
        <v>0</v>
      </c>
      <c r="M33" s="21">
        <v>6</v>
      </c>
      <c r="P33" s="24">
        <f>J33+L33+N33</f>
        <v>0</v>
      </c>
      <c r="Q33" s="24">
        <f>K33+M33+O33</f>
        <v>12</v>
      </c>
      <c r="R33" s="24">
        <f>P33/(P33+Q33)</f>
        <v>0</v>
      </c>
      <c r="S33" s="21" t="s">
        <v>108</v>
      </c>
      <c r="U33" s="21" t="s">
        <v>287</v>
      </c>
      <c r="V33" s="21" t="s">
        <v>286</v>
      </c>
      <c r="W33" s="21">
        <v>8</v>
      </c>
      <c r="X33" s="21" t="s">
        <v>285</v>
      </c>
      <c r="Y33" s="21" t="s">
        <v>326</v>
      </c>
      <c r="Z33" s="21" t="s">
        <v>325</v>
      </c>
      <c r="AA33" s="21" t="s">
        <v>525</v>
      </c>
      <c r="AB33" s="21">
        <v>1</v>
      </c>
      <c r="AD33" s="24">
        <v>3.89</v>
      </c>
      <c r="AE33" s="24">
        <v>6.27</v>
      </c>
      <c r="AF33" s="21" t="s">
        <v>302</v>
      </c>
      <c r="AG33" s="21" t="s">
        <v>301</v>
      </c>
    </row>
    <row r="34" spans="1:33">
      <c r="A34" s="21" t="s">
        <v>525</v>
      </c>
      <c r="B34" s="21" t="s">
        <v>613</v>
      </c>
      <c r="C34" s="25">
        <v>46127.645833333336</v>
      </c>
      <c r="D34" s="21" t="s">
        <v>820</v>
      </c>
      <c r="E34" s="24">
        <v>3.42</v>
      </c>
      <c r="F34" s="24">
        <v>5.22</v>
      </c>
      <c r="G34" s="24">
        <f>E34-F34</f>
        <v>-1.7999999999999998</v>
      </c>
      <c r="H34" s="21" t="s">
        <v>294</v>
      </c>
      <c r="I34" s="21">
        <v>0</v>
      </c>
      <c r="J34" s="21">
        <v>0</v>
      </c>
      <c r="K34" s="21">
        <v>6</v>
      </c>
      <c r="L34" s="21">
        <v>1</v>
      </c>
      <c r="M34" s="21">
        <v>6</v>
      </c>
      <c r="P34" s="24">
        <f>J34+L34+N34</f>
        <v>1</v>
      </c>
      <c r="Q34" s="24">
        <f>K34+M34+O34</f>
        <v>12</v>
      </c>
      <c r="R34" s="24">
        <f>P34/(P34+Q34)</f>
        <v>7.6923076923076927E-2</v>
      </c>
      <c r="S34" s="21" t="s">
        <v>586</v>
      </c>
      <c r="U34" s="21" t="s">
        <v>287</v>
      </c>
      <c r="V34" s="21" t="s">
        <v>286</v>
      </c>
      <c r="W34" s="21">
        <v>9</v>
      </c>
      <c r="X34" s="21" t="s">
        <v>285</v>
      </c>
      <c r="Y34" s="21" t="s">
        <v>326</v>
      </c>
      <c r="Z34" s="21" t="s">
        <v>325</v>
      </c>
      <c r="AA34" s="21" t="s">
        <v>525</v>
      </c>
      <c r="AB34" s="21">
        <v>1</v>
      </c>
      <c r="AD34" s="24">
        <v>3.89</v>
      </c>
      <c r="AE34" s="24">
        <v>5.34</v>
      </c>
      <c r="AF34" s="21" t="s">
        <v>304</v>
      </c>
      <c r="AG34" s="21" t="s">
        <v>303</v>
      </c>
    </row>
    <row r="35" spans="1:33">
      <c r="A35" s="21" t="s">
        <v>525</v>
      </c>
      <c r="B35" s="21" t="s">
        <v>613</v>
      </c>
      <c r="C35" s="25">
        <v>46131.776388888888</v>
      </c>
      <c r="D35" s="21" t="s">
        <v>84</v>
      </c>
      <c r="E35" s="24">
        <v>3.42</v>
      </c>
      <c r="F35" s="24">
        <v>6.46</v>
      </c>
      <c r="G35" s="24">
        <f>E35-F35</f>
        <v>-3.04</v>
      </c>
      <c r="H35" s="21" t="s">
        <v>294</v>
      </c>
      <c r="I35" s="21">
        <v>0</v>
      </c>
      <c r="J35" s="21">
        <v>0</v>
      </c>
      <c r="K35" s="21">
        <v>6</v>
      </c>
      <c r="L35" s="21">
        <v>1</v>
      </c>
      <c r="M35" s="21">
        <v>6</v>
      </c>
      <c r="P35" s="24">
        <f>J35+L35+N35</f>
        <v>1</v>
      </c>
      <c r="Q35" s="24">
        <f>K35+M35+O35</f>
        <v>12</v>
      </c>
      <c r="R35" s="24">
        <f>P35/(P35+Q35)</f>
        <v>7.6923076923076927E-2</v>
      </c>
      <c r="S35" s="21" t="s">
        <v>59</v>
      </c>
      <c r="U35" s="21" t="s">
        <v>287</v>
      </c>
      <c r="V35" s="21" t="s">
        <v>286</v>
      </c>
      <c r="W35" s="21">
        <v>10</v>
      </c>
      <c r="X35" s="21" t="s">
        <v>285</v>
      </c>
      <c r="Y35" s="21" t="s">
        <v>326</v>
      </c>
      <c r="Z35" s="21" t="s">
        <v>325</v>
      </c>
      <c r="AA35" s="21" t="s">
        <v>525</v>
      </c>
      <c r="AB35" s="21">
        <v>1</v>
      </c>
      <c r="AD35" s="24">
        <v>3.89</v>
      </c>
      <c r="AE35" s="24">
        <v>6.97</v>
      </c>
      <c r="AF35" s="21" t="s">
        <v>304</v>
      </c>
      <c r="AG35" s="21" t="s">
        <v>341</v>
      </c>
    </row>
    <row r="36" spans="1:33">
      <c r="A36" s="21" t="s">
        <v>525</v>
      </c>
      <c r="B36" s="21" t="s">
        <v>613</v>
      </c>
      <c r="C36" s="25">
        <v>46134.645833333336</v>
      </c>
      <c r="D36" s="21" t="s">
        <v>34</v>
      </c>
      <c r="E36" s="24">
        <v>3.5</v>
      </c>
      <c r="F36" s="24">
        <v>5.14</v>
      </c>
      <c r="G36" s="24">
        <f>E36-F36</f>
        <v>-1.6399999999999997</v>
      </c>
      <c r="H36" s="21" t="s">
        <v>294</v>
      </c>
      <c r="I36" s="21">
        <v>0</v>
      </c>
      <c r="J36" s="21">
        <v>1</v>
      </c>
      <c r="K36" s="21">
        <v>6</v>
      </c>
      <c r="L36" s="21">
        <v>0</v>
      </c>
      <c r="M36" s="21">
        <v>6</v>
      </c>
      <c r="P36" s="24">
        <f>J36+L36+N36</f>
        <v>1</v>
      </c>
      <c r="Q36" s="24">
        <f>K36+M36+O36</f>
        <v>12</v>
      </c>
      <c r="R36" s="24">
        <f>P36/(P36+Q36)</f>
        <v>7.6923076923076927E-2</v>
      </c>
      <c r="S36" s="21" t="s">
        <v>59</v>
      </c>
      <c r="U36" s="21" t="s">
        <v>287</v>
      </c>
      <c r="V36" s="21" t="s">
        <v>286</v>
      </c>
      <c r="W36" s="21">
        <v>11</v>
      </c>
      <c r="X36" s="21" t="s">
        <v>285</v>
      </c>
      <c r="Y36" s="21" t="s">
        <v>326</v>
      </c>
      <c r="Z36" s="21" t="s">
        <v>325</v>
      </c>
      <c r="AA36" s="21" t="s">
        <v>525</v>
      </c>
      <c r="AB36" s="21">
        <v>1</v>
      </c>
      <c r="AD36" s="24">
        <v>3.89</v>
      </c>
      <c r="AE36" s="24">
        <v>5.28</v>
      </c>
      <c r="AF36" s="21" t="s">
        <v>304</v>
      </c>
      <c r="AG36" s="21" t="s">
        <v>303</v>
      </c>
    </row>
    <row r="37" spans="1:33">
      <c r="A37" s="21" t="s">
        <v>54</v>
      </c>
      <c r="B37" s="21" t="s">
        <v>485</v>
      </c>
      <c r="C37" s="25">
        <v>46060.708333333336</v>
      </c>
      <c r="D37" s="21" t="s">
        <v>819</v>
      </c>
      <c r="E37" s="24">
        <v>4.7300000000000004</v>
      </c>
      <c r="F37" s="24">
        <v>4.9400000000000004</v>
      </c>
      <c r="G37" s="24">
        <f>E37-F37</f>
        <v>-0.20999999999999996</v>
      </c>
      <c r="H37" s="21" t="s">
        <v>289</v>
      </c>
      <c r="I37" s="21">
        <v>1</v>
      </c>
      <c r="J37" s="21">
        <v>6</v>
      </c>
      <c r="K37" s="21">
        <v>3</v>
      </c>
      <c r="L37" s="21">
        <v>6</v>
      </c>
      <c r="M37" s="21">
        <v>4</v>
      </c>
      <c r="P37" s="24">
        <f>J37+L37+N37</f>
        <v>12</v>
      </c>
      <c r="Q37" s="24">
        <f>K37+M37+O37</f>
        <v>7</v>
      </c>
      <c r="R37" s="24">
        <f>P37/(P37+Q37)</f>
        <v>0.63157894736842102</v>
      </c>
      <c r="S37" s="21" t="s">
        <v>445</v>
      </c>
      <c r="U37" s="21" t="s">
        <v>287</v>
      </c>
      <c r="V37" s="21" t="s">
        <v>286</v>
      </c>
      <c r="W37" s="21">
        <v>0</v>
      </c>
      <c r="X37" s="21" t="s">
        <v>312</v>
      </c>
      <c r="Y37" s="21" t="s">
        <v>284</v>
      </c>
      <c r="Z37" s="21" t="s">
        <v>283</v>
      </c>
      <c r="AA37" s="21" t="s">
        <v>54</v>
      </c>
      <c r="AB37" s="21">
        <v>1</v>
      </c>
      <c r="AD37" s="24">
        <v>4.7300000000000004</v>
      </c>
      <c r="AE37" s="24">
        <v>4.9400000000000004</v>
      </c>
      <c r="AF37" s="21" t="s">
        <v>304</v>
      </c>
      <c r="AG37" s="21" t="s">
        <v>303</v>
      </c>
    </row>
    <row r="38" spans="1:33">
      <c r="A38" s="21" t="s">
        <v>54</v>
      </c>
      <c r="B38" s="21" t="s">
        <v>485</v>
      </c>
      <c r="C38" s="25">
        <v>46060.75</v>
      </c>
      <c r="D38" s="21" t="s">
        <v>818</v>
      </c>
      <c r="E38" s="24">
        <v>4.7300000000000004</v>
      </c>
      <c r="F38" s="24">
        <v>5.48</v>
      </c>
      <c r="G38" s="24">
        <f>E38-F38</f>
        <v>-0.75</v>
      </c>
      <c r="H38" s="21" t="s">
        <v>294</v>
      </c>
      <c r="I38" s="21">
        <v>0</v>
      </c>
      <c r="J38" s="21">
        <v>0</v>
      </c>
      <c r="K38" s="21">
        <v>6</v>
      </c>
      <c r="L38" s="21">
        <v>1</v>
      </c>
      <c r="M38" s="21">
        <v>6</v>
      </c>
      <c r="P38" s="24">
        <f>J38+L38+N38</f>
        <v>1</v>
      </c>
      <c r="Q38" s="24">
        <f>K38+M38+O38</f>
        <v>12</v>
      </c>
      <c r="R38" s="24">
        <f>P38/(P38+Q38)</f>
        <v>7.6923076923076927E-2</v>
      </c>
      <c r="S38" s="21" t="s">
        <v>445</v>
      </c>
      <c r="U38" s="21" t="s">
        <v>287</v>
      </c>
      <c r="V38" s="21" t="s">
        <v>286</v>
      </c>
      <c r="W38" s="21">
        <v>1</v>
      </c>
      <c r="X38" s="21" t="s">
        <v>323</v>
      </c>
      <c r="Y38" s="21" t="s">
        <v>284</v>
      </c>
      <c r="Z38" s="21" t="s">
        <v>283</v>
      </c>
      <c r="AA38" s="21" t="s">
        <v>54</v>
      </c>
      <c r="AB38" s="21">
        <v>1</v>
      </c>
      <c r="AD38" s="24">
        <v>4.7300000000000004</v>
      </c>
      <c r="AE38" s="24">
        <v>5.48</v>
      </c>
      <c r="AF38" s="21" t="s">
        <v>322</v>
      </c>
      <c r="AG38" s="21" t="s">
        <v>301</v>
      </c>
    </row>
    <row r="39" spans="1:33">
      <c r="A39" s="21" t="s">
        <v>54</v>
      </c>
      <c r="B39" s="21" t="s">
        <v>485</v>
      </c>
      <c r="C39" s="25">
        <v>46098.645833333336</v>
      </c>
      <c r="D39" s="21" t="s">
        <v>37</v>
      </c>
      <c r="E39" s="24">
        <v>4.54</v>
      </c>
      <c r="F39" s="24">
        <v>9.94</v>
      </c>
      <c r="G39" s="24">
        <f>E39-F39</f>
        <v>-5.3999999999999995</v>
      </c>
      <c r="H39" s="21" t="s">
        <v>294</v>
      </c>
      <c r="I39" s="21">
        <v>0</v>
      </c>
      <c r="J39" s="21">
        <v>1</v>
      </c>
      <c r="K39" s="21">
        <v>6</v>
      </c>
      <c r="L39" s="21">
        <v>2</v>
      </c>
      <c r="M39" s="21">
        <v>6</v>
      </c>
      <c r="P39" s="24">
        <f>J39+L39+N39</f>
        <v>3</v>
      </c>
      <c r="Q39" s="24">
        <f>K39+M39+O39</f>
        <v>12</v>
      </c>
      <c r="R39" s="24">
        <f>P39/(P39+Q39)</f>
        <v>0.2</v>
      </c>
      <c r="S39" s="21" t="s">
        <v>445</v>
      </c>
      <c r="U39" s="21" t="s">
        <v>287</v>
      </c>
      <c r="V39" s="21" t="s">
        <v>286</v>
      </c>
      <c r="W39" s="21">
        <v>2</v>
      </c>
      <c r="X39" s="21" t="s">
        <v>310</v>
      </c>
      <c r="Y39" s="21" t="s">
        <v>284</v>
      </c>
      <c r="Z39" s="21" t="s">
        <v>283</v>
      </c>
      <c r="AA39" s="21" t="s">
        <v>54</v>
      </c>
      <c r="AB39" s="21">
        <v>1</v>
      </c>
      <c r="AD39" s="24">
        <v>4.7300000000000004</v>
      </c>
      <c r="AE39" s="24">
        <v>10.19</v>
      </c>
      <c r="AF39" s="21" t="s">
        <v>322</v>
      </c>
      <c r="AG39" s="21" t="s">
        <v>301</v>
      </c>
    </row>
    <row r="40" spans="1:33">
      <c r="A40" s="21" t="s">
        <v>54</v>
      </c>
      <c r="B40" s="21" t="s">
        <v>485</v>
      </c>
      <c r="C40" s="25">
        <v>46099.645833333336</v>
      </c>
      <c r="D40" s="21" t="s">
        <v>427</v>
      </c>
      <c r="E40" s="24">
        <v>4.54</v>
      </c>
      <c r="F40" s="24">
        <v>2.33</v>
      </c>
      <c r="G40" s="24">
        <f>E40-F40</f>
        <v>2.21</v>
      </c>
      <c r="H40" s="21" t="s">
        <v>289</v>
      </c>
      <c r="I40" s="21">
        <v>1</v>
      </c>
      <c r="J40" s="21">
        <v>6</v>
      </c>
      <c r="K40" s="21">
        <v>1</v>
      </c>
      <c r="L40" s="21">
        <v>6</v>
      </c>
      <c r="M40" s="21">
        <v>2</v>
      </c>
      <c r="P40" s="24">
        <f>J40+L40+N40</f>
        <v>12</v>
      </c>
      <c r="Q40" s="24">
        <f>K40+M40+O40</f>
        <v>3</v>
      </c>
      <c r="R40" s="24">
        <f>P40/(P40+Q40)</f>
        <v>0.8</v>
      </c>
      <c r="S40" s="21" t="s">
        <v>491</v>
      </c>
      <c r="U40" s="21" t="s">
        <v>287</v>
      </c>
      <c r="V40" s="21" t="s">
        <v>286</v>
      </c>
      <c r="W40" s="21">
        <v>3</v>
      </c>
      <c r="X40" s="21" t="s">
        <v>285</v>
      </c>
      <c r="Y40" s="21" t="s">
        <v>284</v>
      </c>
      <c r="Z40" s="21" t="s">
        <v>283</v>
      </c>
      <c r="AA40" s="21" t="s">
        <v>54</v>
      </c>
      <c r="AB40" s="21">
        <v>1</v>
      </c>
      <c r="AD40" s="24">
        <v>4.7300000000000004</v>
      </c>
      <c r="AE40" s="24">
        <v>2.5099999999999998</v>
      </c>
      <c r="AF40" s="21" t="s">
        <v>304</v>
      </c>
      <c r="AG40" s="21" t="s">
        <v>303</v>
      </c>
    </row>
    <row r="41" spans="1:33">
      <c r="A41" s="21" t="s">
        <v>54</v>
      </c>
      <c r="B41" s="21" t="s">
        <v>485</v>
      </c>
      <c r="C41" s="25">
        <v>46105.645833333336</v>
      </c>
      <c r="D41" s="21" t="s">
        <v>91</v>
      </c>
      <c r="E41" s="24">
        <v>4.54</v>
      </c>
      <c r="F41" s="24">
        <v>5.31</v>
      </c>
      <c r="G41" s="24">
        <f>E41-F41</f>
        <v>-0.76999999999999957</v>
      </c>
      <c r="H41" s="21" t="s">
        <v>294</v>
      </c>
      <c r="I41" s="21">
        <v>0</v>
      </c>
      <c r="J41" s="21">
        <v>1</v>
      </c>
      <c r="K41" s="21">
        <v>6</v>
      </c>
      <c r="L41" s="21">
        <v>3</v>
      </c>
      <c r="M41" s="21">
        <v>6</v>
      </c>
      <c r="P41" s="24">
        <f>J41+L41+N41</f>
        <v>4</v>
      </c>
      <c r="Q41" s="24">
        <f>K41+M41+O41</f>
        <v>12</v>
      </c>
      <c r="R41" s="24">
        <f>P41/(P41+Q41)</f>
        <v>0.25</v>
      </c>
      <c r="S41" s="21" t="s">
        <v>213</v>
      </c>
      <c r="U41" s="21" t="s">
        <v>287</v>
      </c>
      <c r="V41" s="21" t="s">
        <v>286</v>
      </c>
      <c r="W41" s="21">
        <v>4</v>
      </c>
      <c r="X41" s="21" t="s">
        <v>285</v>
      </c>
      <c r="Y41" s="21" t="s">
        <v>284</v>
      </c>
      <c r="Z41" s="21" t="s">
        <v>283</v>
      </c>
      <c r="AA41" s="21" t="s">
        <v>54</v>
      </c>
      <c r="AB41" s="21">
        <v>1</v>
      </c>
      <c r="AD41" s="24">
        <v>4.7300000000000004</v>
      </c>
      <c r="AE41" s="24">
        <v>6.44</v>
      </c>
      <c r="AF41" s="21" t="s">
        <v>304</v>
      </c>
      <c r="AG41" s="21" t="s">
        <v>303</v>
      </c>
    </row>
    <row r="42" spans="1:33">
      <c r="A42" s="21" t="s">
        <v>54</v>
      </c>
      <c r="B42" s="21" t="s">
        <v>485</v>
      </c>
      <c r="C42" s="25">
        <v>46106.645833333336</v>
      </c>
      <c r="D42" s="21" t="s">
        <v>70</v>
      </c>
      <c r="E42" s="24">
        <v>4.54</v>
      </c>
      <c r="F42" s="24">
        <v>8.18</v>
      </c>
      <c r="G42" s="24">
        <f>E42-F42</f>
        <v>-3.6399999999999997</v>
      </c>
      <c r="H42" s="21" t="s">
        <v>294</v>
      </c>
      <c r="I42" s="21">
        <v>0</v>
      </c>
      <c r="J42" s="21">
        <v>1</v>
      </c>
      <c r="K42" s="21">
        <v>6</v>
      </c>
      <c r="L42" s="21">
        <v>1</v>
      </c>
      <c r="M42" s="21">
        <v>6</v>
      </c>
      <c r="P42" s="24">
        <f>J42+L42+N42</f>
        <v>2</v>
      </c>
      <c r="Q42" s="24">
        <f>K42+M42+O42</f>
        <v>12</v>
      </c>
      <c r="R42" s="24">
        <f>P42/(P42+Q42)</f>
        <v>0.14285714285714285</v>
      </c>
      <c r="S42" s="21" t="s">
        <v>321</v>
      </c>
      <c r="U42" s="21" t="s">
        <v>287</v>
      </c>
      <c r="V42" s="21" t="s">
        <v>286</v>
      </c>
      <c r="W42" s="21">
        <v>5</v>
      </c>
      <c r="X42" s="21" t="s">
        <v>285</v>
      </c>
      <c r="Y42" s="21" t="s">
        <v>284</v>
      </c>
      <c r="Z42" s="21" t="s">
        <v>283</v>
      </c>
      <c r="AA42" s="21" t="s">
        <v>54</v>
      </c>
      <c r="AB42" s="21">
        <v>1</v>
      </c>
      <c r="AD42" s="24">
        <v>4.7300000000000004</v>
      </c>
      <c r="AE42" s="24">
        <v>7.22</v>
      </c>
      <c r="AF42" s="21" t="s">
        <v>304</v>
      </c>
      <c r="AG42" s="21" t="s">
        <v>303</v>
      </c>
    </row>
    <row r="43" spans="1:33">
      <c r="A43" s="21" t="s">
        <v>54</v>
      </c>
      <c r="B43" s="21" t="s">
        <v>485</v>
      </c>
      <c r="C43" s="25">
        <v>46111.645833333336</v>
      </c>
      <c r="D43" s="21" t="s">
        <v>46</v>
      </c>
      <c r="E43" s="24">
        <v>4.54</v>
      </c>
      <c r="F43" s="24">
        <v>7.33</v>
      </c>
      <c r="G43" s="24">
        <f>E43-F43</f>
        <v>-2.79</v>
      </c>
      <c r="H43" s="21" t="s">
        <v>294</v>
      </c>
      <c r="I43" s="21">
        <v>0</v>
      </c>
      <c r="J43" s="21">
        <v>0</v>
      </c>
      <c r="K43" s="21">
        <v>6</v>
      </c>
      <c r="L43" s="21">
        <v>1</v>
      </c>
      <c r="M43" s="21">
        <v>6</v>
      </c>
      <c r="P43" s="24">
        <f>J43+L43+N43</f>
        <v>1</v>
      </c>
      <c r="Q43" s="24">
        <f>K43+M43+O43</f>
        <v>12</v>
      </c>
      <c r="R43" s="24">
        <f>P43/(P43+Q43)</f>
        <v>7.6923076923076927E-2</v>
      </c>
      <c r="S43" s="21" t="s">
        <v>182</v>
      </c>
      <c r="U43" s="21" t="s">
        <v>287</v>
      </c>
      <c r="V43" s="21" t="s">
        <v>286</v>
      </c>
      <c r="W43" s="21">
        <v>6</v>
      </c>
      <c r="X43" s="21" t="s">
        <v>285</v>
      </c>
      <c r="Y43" s="21" t="s">
        <v>284</v>
      </c>
      <c r="Z43" s="21" t="s">
        <v>283</v>
      </c>
      <c r="AA43" s="21" t="s">
        <v>54</v>
      </c>
      <c r="AB43" s="21">
        <v>1</v>
      </c>
      <c r="AD43" s="24">
        <v>4.7300000000000004</v>
      </c>
      <c r="AE43" s="24">
        <v>7.82</v>
      </c>
      <c r="AF43" s="21" t="s">
        <v>304</v>
      </c>
      <c r="AG43" s="21" t="s">
        <v>303</v>
      </c>
    </row>
    <row r="44" spans="1:33">
      <c r="A44" s="21" t="s">
        <v>54</v>
      </c>
      <c r="B44" s="21" t="s">
        <v>485</v>
      </c>
      <c r="C44" s="25">
        <v>46119.645833333336</v>
      </c>
      <c r="D44" s="21" t="s">
        <v>163</v>
      </c>
      <c r="E44" s="24">
        <v>4.63</v>
      </c>
      <c r="F44" s="24">
        <v>4.3499999999999996</v>
      </c>
      <c r="G44" s="24">
        <f>E44-F44</f>
        <v>0.28000000000000025</v>
      </c>
      <c r="H44" s="21" t="s">
        <v>289</v>
      </c>
      <c r="I44" s="21">
        <v>1</v>
      </c>
      <c r="J44" s="21">
        <v>6</v>
      </c>
      <c r="K44" s="21">
        <v>3</v>
      </c>
      <c r="L44" s="21">
        <v>6</v>
      </c>
      <c r="M44" s="21">
        <v>3</v>
      </c>
      <c r="P44" s="24">
        <f>J44+L44+N44</f>
        <v>12</v>
      </c>
      <c r="Q44" s="24">
        <f>K44+M44+O44</f>
        <v>6</v>
      </c>
      <c r="R44" s="24">
        <f>P44/(P44+Q44)</f>
        <v>0.66666666666666663</v>
      </c>
      <c r="S44" s="21" t="s">
        <v>164</v>
      </c>
      <c r="U44" s="21" t="s">
        <v>287</v>
      </c>
      <c r="V44" s="21" t="s">
        <v>286</v>
      </c>
      <c r="W44" s="21">
        <v>7</v>
      </c>
      <c r="X44" s="21" t="s">
        <v>285</v>
      </c>
      <c r="Y44" s="21" t="s">
        <v>284</v>
      </c>
      <c r="Z44" s="21" t="s">
        <v>283</v>
      </c>
      <c r="AA44" s="21" t="s">
        <v>54</v>
      </c>
      <c r="AB44" s="21">
        <v>1</v>
      </c>
      <c r="AD44" s="24">
        <v>4.7300000000000004</v>
      </c>
      <c r="AE44" s="24">
        <v>4.3499999999999996</v>
      </c>
      <c r="AF44" s="21" t="s">
        <v>304</v>
      </c>
      <c r="AG44" s="21" t="s">
        <v>303</v>
      </c>
    </row>
    <row r="45" spans="1:33">
      <c r="A45" s="21" t="s">
        <v>54</v>
      </c>
      <c r="B45" s="21" t="s">
        <v>485</v>
      </c>
      <c r="C45" s="25">
        <v>46120.645833333336</v>
      </c>
      <c r="D45" s="21" t="s">
        <v>641</v>
      </c>
      <c r="E45" s="24">
        <v>4.63</v>
      </c>
      <c r="F45" s="24">
        <v>4.38</v>
      </c>
      <c r="G45" s="24">
        <f>E45-F45</f>
        <v>0.25</v>
      </c>
      <c r="H45" s="21" t="s">
        <v>289</v>
      </c>
      <c r="I45" s="21">
        <v>1</v>
      </c>
      <c r="J45" s="21">
        <v>6</v>
      </c>
      <c r="K45" s="21">
        <v>7</v>
      </c>
      <c r="L45" s="21">
        <v>6</v>
      </c>
      <c r="M45" s="21">
        <v>4</v>
      </c>
      <c r="N45" s="21">
        <v>1</v>
      </c>
      <c r="O45" s="21">
        <v>0</v>
      </c>
      <c r="P45" s="24">
        <f>J45+L45+N45</f>
        <v>13</v>
      </c>
      <c r="Q45" s="24">
        <f>K45+M45+O45</f>
        <v>11</v>
      </c>
      <c r="R45" s="24">
        <f>P45/(P45+Q45)</f>
        <v>0.54166666666666663</v>
      </c>
      <c r="S45" s="21" t="s">
        <v>489</v>
      </c>
      <c r="U45" s="21" t="s">
        <v>287</v>
      </c>
      <c r="V45" s="21" t="s">
        <v>286</v>
      </c>
      <c r="W45" s="21">
        <v>8</v>
      </c>
      <c r="X45" s="21" t="s">
        <v>285</v>
      </c>
      <c r="Y45" s="21" t="s">
        <v>284</v>
      </c>
      <c r="Z45" s="21" t="s">
        <v>283</v>
      </c>
      <c r="AA45" s="21" t="s">
        <v>54</v>
      </c>
      <c r="AB45" s="21">
        <v>1</v>
      </c>
      <c r="AD45" s="24">
        <v>4.7300000000000004</v>
      </c>
      <c r="AE45" s="24">
        <v>4.38</v>
      </c>
      <c r="AF45" s="21" t="s">
        <v>302</v>
      </c>
      <c r="AG45" s="21" t="s">
        <v>301</v>
      </c>
    </row>
    <row r="46" spans="1:33">
      <c r="A46" s="21" t="s">
        <v>54</v>
      </c>
      <c r="B46" s="21" t="s">
        <v>485</v>
      </c>
      <c r="C46" s="25">
        <v>46125.645833333336</v>
      </c>
      <c r="D46" s="21" t="s">
        <v>585</v>
      </c>
      <c r="E46" s="24">
        <v>4.63</v>
      </c>
      <c r="F46" s="24">
        <v>4.37</v>
      </c>
      <c r="G46" s="24">
        <f>E46-F46</f>
        <v>0.25999999999999979</v>
      </c>
      <c r="H46" s="21" t="s">
        <v>289</v>
      </c>
      <c r="I46" s="21">
        <v>1</v>
      </c>
      <c r="J46" s="21">
        <v>6</v>
      </c>
      <c r="K46" s="21">
        <v>4</v>
      </c>
      <c r="L46" s="21">
        <v>6</v>
      </c>
      <c r="M46" s="21">
        <v>3</v>
      </c>
      <c r="P46" s="24">
        <f>J46+L46+N46</f>
        <v>12</v>
      </c>
      <c r="Q46" s="24">
        <f>K46+M46+O46</f>
        <v>7</v>
      </c>
      <c r="R46" s="24">
        <f>P46/(P46+Q46)</f>
        <v>0.63157894736842102</v>
      </c>
      <c r="S46" s="21" t="s">
        <v>487</v>
      </c>
      <c r="U46" s="21" t="s">
        <v>287</v>
      </c>
      <c r="V46" s="21" t="s">
        <v>286</v>
      </c>
      <c r="W46" s="21">
        <v>9</v>
      </c>
      <c r="X46" s="21" t="s">
        <v>285</v>
      </c>
      <c r="Y46" s="21" t="s">
        <v>284</v>
      </c>
      <c r="Z46" s="21" t="s">
        <v>283</v>
      </c>
      <c r="AA46" s="21" t="s">
        <v>54</v>
      </c>
      <c r="AB46" s="21">
        <v>1</v>
      </c>
      <c r="AD46" s="24">
        <v>4.7300000000000004</v>
      </c>
      <c r="AE46" s="24">
        <v>4.37</v>
      </c>
      <c r="AF46" s="21" t="s">
        <v>302</v>
      </c>
      <c r="AG46" s="21" t="s">
        <v>301</v>
      </c>
    </row>
    <row r="47" spans="1:33">
      <c r="A47" s="21" t="s">
        <v>54</v>
      </c>
      <c r="B47" s="21" t="s">
        <v>485</v>
      </c>
      <c r="C47" s="25">
        <v>46126.645833333336</v>
      </c>
      <c r="D47" s="21" t="s">
        <v>17</v>
      </c>
      <c r="E47" s="24">
        <v>4.6900000000000004</v>
      </c>
      <c r="F47" s="24">
        <v>8.44</v>
      </c>
      <c r="G47" s="24">
        <f>E47-F47</f>
        <v>-3.7499999999999991</v>
      </c>
      <c r="H47" s="21" t="s">
        <v>294</v>
      </c>
      <c r="I47" s="21">
        <v>0</v>
      </c>
      <c r="J47" s="21">
        <v>0</v>
      </c>
      <c r="K47" s="21">
        <v>6</v>
      </c>
      <c r="L47" s="21">
        <v>3</v>
      </c>
      <c r="M47" s="21">
        <v>6</v>
      </c>
      <c r="P47" s="24">
        <f>J47+L47+N47</f>
        <v>3</v>
      </c>
      <c r="Q47" s="24">
        <f>K47+M47+O47</f>
        <v>12</v>
      </c>
      <c r="R47" s="24">
        <f>P47/(P47+Q47)</f>
        <v>0.2</v>
      </c>
      <c r="S47" s="21" t="s">
        <v>486</v>
      </c>
      <c r="U47" s="21" t="s">
        <v>287</v>
      </c>
      <c r="V47" s="21" t="s">
        <v>286</v>
      </c>
      <c r="W47" s="21">
        <v>10</v>
      </c>
      <c r="X47" s="21" t="s">
        <v>285</v>
      </c>
      <c r="Y47" s="21" t="s">
        <v>284</v>
      </c>
      <c r="Z47" s="21" t="s">
        <v>283</v>
      </c>
      <c r="AA47" s="21" t="s">
        <v>54</v>
      </c>
      <c r="AB47" s="21">
        <v>1</v>
      </c>
      <c r="AD47" s="24">
        <v>4.7300000000000004</v>
      </c>
      <c r="AE47" s="24">
        <v>8.31</v>
      </c>
      <c r="AF47" s="21" t="s">
        <v>302</v>
      </c>
      <c r="AG47" s="21" t="s">
        <v>301</v>
      </c>
    </row>
    <row r="48" spans="1:33">
      <c r="A48" s="21" t="s">
        <v>54</v>
      </c>
      <c r="B48" s="21" t="s">
        <v>485</v>
      </c>
      <c r="C48" s="25">
        <v>46128.458333333336</v>
      </c>
      <c r="D48" s="21" t="s">
        <v>181</v>
      </c>
      <c r="E48" s="24">
        <v>4.6900000000000004</v>
      </c>
      <c r="F48" s="24">
        <v>5.99</v>
      </c>
      <c r="G48" s="24">
        <f>E48-F48</f>
        <v>-1.2999999999999998</v>
      </c>
      <c r="H48" s="21" t="s">
        <v>294</v>
      </c>
      <c r="I48" s="21">
        <v>0</v>
      </c>
      <c r="J48" s="21">
        <v>3</v>
      </c>
      <c r="K48" s="21">
        <v>8</v>
      </c>
      <c r="P48" s="24">
        <f>J48+L48+N48</f>
        <v>3</v>
      </c>
      <c r="Q48" s="24">
        <f>K48+M48+O48</f>
        <v>8</v>
      </c>
      <c r="R48" s="24">
        <f>P48/(P48+Q48)</f>
        <v>0.27272727272727271</v>
      </c>
      <c r="S48" s="21" t="s">
        <v>74</v>
      </c>
      <c r="T48" s="21" t="s">
        <v>297</v>
      </c>
      <c r="U48" s="21" t="s">
        <v>287</v>
      </c>
      <c r="V48" s="21" t="s">
        <v>286</v>
      </c>
      <c r="W48" s="21">
        <v>11</v>
      </c>
      <c r="X48" s="21" t="s">
        <v>285</v>
      </c>
      <c r="Y48" s="21" t="s">
        <v>284</v>
      </c>
      <c r="Z48" s="21" t="s">
        <v>283</v>
      </c>
      <c r="AA48" s="21" t="s">
        <v>54</v>
      </c>
      <c r="AB48" s="21">
        <v>1</v>
      </c>
      <c r="AD48" s="24">
        <v>4.7300000000000004</v>
      </c>
      <c r="AE48" s="24">
        <v>6.07</v>
      </c>
      <c r="AF48" s="21" t="s">
        <v>304</v>
      </c>
      <c r="AG48" s="21" t="s">
        <v>303</v>
      </c>
    </row>
    <row r="49" spans="1:33">
      <c r="A49" s="21" t="s">
        <v>54</v>
      </c>
      <c r="B49" s="21" t="s">
        <v>485</v>
      </c>
      <c r="C49" s="25">
        <v>46133.645833333336</v>
      </c>
      <c r="D49" s="21" t="s">
        <v>76</v>
      </c>
      <c r="E49" s="24">
        <v>4.78</v>
      </c>
      <c r="F49" s="24">
        <v>4.9400000000000004</v>
      </c>
      <c r="G49" s="24">
        <f>E49-F49</f>
        <v>-0.16000000000000014</v>
      </c>
      <c r="H49" s="21" t="s">
        <v>289</v>
      </c>
      <c r="I49" s="21">
        <v>1</v>
      </c>
      <c r="J49" s="21">
        <v>6</v>
      </c>
      <c r="K49" s="21">
        <v>7</v>
      </c>
      <c r="L49" s="21">
        <v>6</v>
      </c>
      <c r="M49" s="21">
        <v>2</v>
      </c>
      <c r="N49" s="21">
        <v>6</v>
      </c>
      <c r="O49" s="21">
        <v>1</v>
      </c>
      <c r="P49" s="24">
        <f>J49+L49+N49</f>
        <v>18</v>
      </c>
      <c r="Q49" s="24">
        <f>K49+M49+O49</f>
        <v>10</v>
      </c>
      <c r="R49" s="24">
        <f>P49/(P49+Q49)</f>
        <v>0.6428571428571429</v>
      </c>
      <c r="S49" s="21" t="s">
        <v>74</v>
      </c>
      <c r="U49" s="21" t="s">
        <v>287</v>
      </c>
      <c r="V49" s="21" t="s">
        <v>286</v>
      </c>
      <c r="W49" s="21">
        <v>12</v>
      </c>
      <c r="X49" s="21" t="s">
        <v>285</v>
      </c>
      <c r="Y49" s="21" t="s">
        <v>284</v>
      </c>
      <c r="Z49" s="21" t="s">
        <v>283</v>
      </c>
      <c r="AA49" s="21" t="s">
        <v>54</v>
      </c>
      <c r="AB49" s="21">
        <v>1</v>
      </c>
      <c r="AD49" s="24">
        <v>4.7300000000000004</v>
      </c>
      <c r="AE49" s="24">
        <v>5.08</v>
      </c>
      <c r="AF49" s="21" t="s">
        <v>304</v>
      </c>
      <c r="AG49" s="21" t="s">
        <v>303</v>
      </c>
    </row>
    <row r="50" spans="1:33">
      <c r="A50" s="21" t="s">
        <v>54</v>
      </c>
      <c r="B50" s="21" t="s">
        <v>485</v>
      </c>
      <c r="C50" s="25">
        <v>46136.645833333336</v>
      </c>
      <c r="D50" s="21" t="s">
        <v>53</v>
      </c>
      <c r="E50" s="24">
        <v>4.78</v>
      </c>
      <c r="F50" s="24">
        <v>4.8099999999999996</v>
      </c>
      <c r="G50" s="24">
        <f>E50-F50</f>
        <v>-2.9999999999999361E-2</v>
      </c>
      <c r="H50" s="21" t="s">
        <v>294</v>
      </c>
      <c r="I50" s="21">
        <v>0</v>
      </c>
      <c r="J50" s="21">
        <v>7</v>
      </c>
      <c r="K50" s="21">
        <v>6</v>
      </c>
      <c r="L50" s="21">
        <v>0</v>
      </c>
      <c r="M50" s="21">
        <v>6</v>
      </c>
      <c r="N50" s="21">
        <v>0</v>
      </c>
      <c r="O50" s="21">
        <v>1</v>
      </c>
      <c r="P50" s="24">
        <f>J50+L50+N50</f>
        <v>7</v>
      </c>
      <c r="Q50" s="24">
        <f>K50+M50+O50</f>
        <v>13</v>
      </c>
      <c r="R50" s="24">
        <f>P50/(P50+Q50)</f>
        <v>0.35</v>
      </c>
      <c r="S50" s="21" t="s">
        <v>55</v>
      </c>
      <c r="U50" s="21" t="s">
        <v>287</v>
      </c>
      <c r="V50" s="21" t="s">
        <v>286</v>
      </c>
      <c r="W50" s="21">
        <v>13</v>
      </c>
      <c r="X50" s="21" t="s">
        <v>285</v>
      </c>
      <c r="Y50" s="21" t="s">
        <v>284</v>
      </c>
      <c r="Z50" s="21" t="s">
        <v>283</v>
      </c>
      <c r="AA50" s="21" t="s">
        <v>54</v>
      </c>
      <c r="AB50" s="21">
        <v>1</v>
      </c>
      <c r="AD50" s="24">
        <v>4.7300000000000004</v>
      </c>
      <c r="AE50" s="24">
        <v>4.8099999999999996</v>
      </c>
      <c r="AF50" s="21" t="s">
        <v>304</v>
      </c>
      <c r="AG50" s="21" t="s">
        <v>303</v>
      </c>
    </row>
    <row r="51" spans="1:33">
      <c r="A51" s="21" t="s">
        <v>61</v>
      </c>
      <c r="B51" s="21" t="s">
        <v>732</v>
      </c>
      <c r="C51" s="25">
        <v>46053</v>
      </c>
      <c r="D51" s="21" t="s">
        <v>18</v>
      </c>
      <c r="E51" s="24">
        <v>6.96</v>
      </c>
      <c r="F51" s="24">
        <v>8.6</v>
      </c>
      <c r="G51" s="24">
        <f>E51-F51</f>
        <v>-1.6399999999999997</v>
      </c>
      <c r="H51" s="21" t="s">
        <v>294</v>
      </c>
      <c r="I51" s="21">
        <v>0</v>
      </c>
      <c r="J51" s="21">
        <v>1</v>
      </c>
      <c r="K51" s="21">
        <v>8</v>
      </c>
      <c r="P51" s="24">
        <f>J51+L51+N51</f>
        <v>1</v>
      </c>
      <c r="Q51" s="24">
        <f>K51+M51+O51</f>
        <v>8</v>
      </c>
      <c r="R51" s="24">
        <f>P51/(P51+Q51)</f>
        <v>0.1111111111111111</v>
      </c>
      <c r="S51" s="21" t="s">
        <v>533</v>
      </c>
      <c r="U51" s="21" t="s">
        <v>287</v>
      </c>
      <c r="V51" s="21" t="s">
        <v>286</v>
      </c>
      <c r="W51" s="21">
        <v>0</v>
      </c>
      <c r="X51" s="21" t="s">
        <v>312</v>
      </c>
      <c r="Y51" s="21" t="s">
        <v>284</v>
      </c>
      <c r="Z51" s="21" t="s">
        <v>283</v>
      </c>
      <c r="AA51" s="21" t="s">
        <v>61</v>
      </c>
      <c r="AB51" s="21">
        <v>1</v>
      </c>
      <c r="AD51" s="24">
        <v>6.96</v>
      </c>
      <c r="AE51" s="24">
        <v>8.6</v>
      </c>
      <c r="AF51" s="21" t="s">
        <v>302</v>
      </c>
      <c r="AG51" s="21" t="s">
        <v>301</v>
      </c>
    </row>
    <row r="52" spans="1:33">
      <c r="A52" s="21" t="s">
        <v>61</v>
      </c>
      <c r="B52" s="21" t="s">
        <v>732</v>
      </c>
      <c r="C52" s="25">
        <v>46091.145833333336</v>
      </c>
      <c r="D52" s="21" t="s">
        <v>38</v>
      </c>
      <c r="E52" s="24">
        <v>7.09</v>
      </c>
      <c r="F52" s="24">
        <v>10.11</v>
      </c>
      <c r="G52" s="24">
        <f>E52-F52</f>
        <v>-3.0199999999999996</v>
      </c>
      <c r="H52" s="21" t="s">
        <v>294</v>
      </c>
      <c r="I52" s="21">
        <v>0</v>
      </c>
      <c r="J52" s="21">
        <v>0</v>
      </c>
      <c r="K52" s="21">
        <v>6</v>
      </c>
      <c r="L52" s="21">
        <v>0</v>
      </c>
      <c r="M52" s="21">
        <v>6</v>
      </c>
      <c r="P52" s="24">
        <f>J52+L52+N52</f>
        <v>0</v>
      </c>
      <c r="Q52" s="24">
        <f>K52+M52+O52</f>
        <v>12</v>
      </c>
      <c r="R52" s="24">
        <f>P52/(P52+Q52)</f>
        <v>0</v>
      </c>
      <c r="S52" s="21" t="s">
        <v>533</v>
      </c>
      <c r="U52" s="21" t="s">
        <v>287</v>
      </c>
      <c r="V52" s="21" t="s">
        <v>286</v>
      </c>
      <c r="W52" s="21">
        <v>1</v>
      </c>
      <c r="X52" s="21" t="s">
        <v>323</v>
      </c>
      <c r="Y52" s="21" t="s">
        <v>284</v>
      </c>
      <c r="Z52" s="21" t="s">
        <v>283</v>
      </c>
      <c r="AA52" s="21" t="s">
        <v>61</v>
      </c>
      <c r="AB52" s="21">
        <v>1</v>
      </c>
      <c r="AD52" s="24">
        <v>6.96</v>
      </c>
      <c r="AE52" s="24">
        <v>10.050000000000001</v>
      </c>
      <c r="AF52" s="21" t="s">
        <v>322</v>
      </c>
      <c r="AG52" s="21" t="s">
        <v>301</v>
      </c>
    </row>
    <row r="53" spans="1:33">
      <c r="A53" s="21" t="s">
        <v>61</v>
      </c>
      <c r="B53" s="21" t="s">
        <v>732</v>
      </c>
      <c r="C53" s="25">
        <v>46092.625</v>
      </c>
      <c r="D53" s="21" t="s">
        <v>184</v>
      </c>
      <c r="E53" s="24">
        <v>7.09</v>
      </c>
      <c r="F53" s="24">
        <v>4.38</v>
      </c>
      <c r="G53" s="24">
        <f>E53-F53</f>
        <v>2.71</v>
      </c>
      <c r="H53" s="21" t="s">
        <v>289</v>
      </c>
      <c r="I53" s="21">
        <v>1</v>
      </c>
      <c r="J53" s="21">
        <v>6</v>
      </c>
      <c r="K53" s="21">
        <v>0</v>
      </c>
      <c r="L53" s="21">
        <v>6</v>
      </c>
      <c r="M53" s="21">
        <v>1</v>
      </c>
      <c r="P53" s="24">
        <f>J53+L53+N53</f>
        <v>12</v>
      </c>
      <c r="Q53" s="24">
        <f>K53+M53+O53</f>
        <v>1</v>
      </c>
      <c r="R53" s="24">
        <f>P53/(P53+Q53)</f>
        <v>0.92307692307692313</v>
      </c>
      <c r="S53" s="21" t="s">
        <v>524</v>
      </c>
      <c r="U53" s="21" t="s">
        <v>287</v>
      </c>
      <c r="V53" s="21" t="s">
        <v>286</v>
      </c>
      <c r="W53" s="21">
        <v>2</v>
      </c>
      <c r="X53" s="21" t="s">
        <v>310</v>
      </c>
      <c r="Y53" s="21" t="s">
        <v>284</v>
      </c>
      <c r="Z53" s="21" t="s">
        <v>283</v>
      </c>
      <c r="AA53" s="21" t="s">
        <v>61</v>
      </c>
      <c r="AB53" s="21">
        <v>1</v>
      </c>
      <c r="AD53" s="24">
        <v>6.96</v>
      </c>
      <c r="AE53" s="24">
        <v>4.84</v>
      </c>
      <c r="AF53" s="21" t="s">
        <v>304</v>
      </c>
      <c r="AG53" s="21" t="s">
        <v>303</v>
      </c>
    </row>
    <row r="54" spans="1:33">
      <c r="A54" s="21" t="s">
        <v>61</v>
      </c>
      <c r="B54" s="21" t="s">
        <v>732</v>
      </c>
      <c r="C54" s="25">
        <v>46094.645833333336</v>
      </c>
      <c r="D54" s="21" t="s">
        <v>65</v>
      </c>
      <c r="E54" s="24">
        <v>7.09</v>
      </c>
      <c r="F54" s="24">
        <v>6.11</v>
      </c>
      <c r="G54" s="24">
        <f>E54-F54</f>
        <v>0.97999999999999954</v>
      </c>
      <c r="H54" s="21" t="s">
        <v>289</v>
      </c>
      <c r="I54" s="21">
        <v>1</v>
      </c>
      <c r="J54" s="21">
        <v>1</v>
      </c>
      <c r="K54" s="21">
        <v>6</v>
      </c>
      <c r="L54" s="21">
        <v>6</v>
      </c>
      <c r="M54" s="21">
        <v>2</v>
      </c>
      <c r="N54" s="21">
        <v>7</v>
      </c>
      <c r="O54" s="21">
        <v>6</v>
      </c>
      <c r="P54" s="24">
        <f>J54+L54+N54</f>
        <v>14</v>
      </c>
      <c r="Q54" s="24">
        <f>K54+M54+O54</f>
        <v>14</v>
      </c>
      <c r="R54" s="24">
        <f>P54/(P54+Q54)</f>
        <v>0.5</v>
      </c>
      <c r="S54" s="21" t="s">
        <v>245</v>
      </c>
      <c r="U54" s="21" t="s">
        <v>287</v>
      </c>
      <c r="V54" s="21" t="s">
        <v>286</v>
      </c>
      <c r="W54" s="21">
        <v>3</v>
      </c>
      <c r="X54" s="21" t="s">
        <v>285</v>
      </c>
      <c r="Y54" s="21" t="s">
        <v>284</v>
      </c>
      <c r="Z54" s="21" t="s">
        <v>283</v>
      </c>
      <c r="AA54" s="21" t="s">
        <v>61</v>
      </c>
      <c r="AB54" s="21">
        <v>1</v>
      </c>
      <c r="AD54" s="24">
        <v>6.96</v>
      </c>
      <c r="AE54" s="24">
        <v>8.08</v>
      </c>
      <c r="AF54" s="21" t="s">
        <v>304</v>
      </c>
      <c r="AG54" s="21" t="s">
        <v>341</v>
      </c>
    </row>
    <row r="55" spans="1:33">
      <c r="A55" s="21" t="s">
        <v>61</v>
      </c>
      <c r="B55" s="21" t="s">
        <v>732</v>
      </c>
      <c r="C55" s="25">
        <v>46099.645833333336</v>
      </c>
      <c r="D55" s="21" t="s">
        <v>14</v>
      </c>
      <c r="E55" s="24">
        <v>7.07</v>
      </c>
      <c r="F55" s="24">
        <v>6.64</v>
      </c>
      <c r="G55" s="24">
        <f>E55-F55</f>
        <v>0.4300000000000006</v>
      </c>
      <c r="H55" s="21" t="s">
        <v>294</v>
      </c>
      <c r="I55" s="21">
        <v>0</v>
      </c>
      <c r="J55" s="21">
        <v>4</v>
      </c>
      <c r="K55" s="21">
        <v>6</v>
      </c>
      <c r="L55" s="21">
        <v>3</v>
      </c>
      <c r="M55" s="21">
        <v>6</v>
      </c>
      <c r="P55" s="24">
        <f>J55+L55+N55</f>
        <v>7</v>
      </c>
      <c r="Q55" s="24">
        <f>K55+M55+O55</f>
        <v>12</v>
      </c>
      <c r="R55" s="24">
        <f>P55/(P55+Q55)</f>
        <v>0.36842105263157893</v>
      </c>
      <c r="S55" s="21" t="s">
        <v>237</v>
      </c>
      <c r="U55" s="21" t="s">
        <v>287</v>
      </c>
      <c r="V55" s="21" t="s">
        <v>286</v>
      </c>
      <c r="W55" s="21">
        <v>4</v>
      </c>
      <c r="X55" s="21" t="s">
        <v>285</v>
      </c>
      <c r="Y55" s="21" t="s">
        <v>284</v>
      </c>
      <c r="Z55" s="21" t="s">
        <v>283</v>
      </c>
      <c r="AA55" s="21" t="s">
        <v>61</v>
      </c>
      <c r="AB55" s="21">
        <v>1</v>
      </c>
      <c r="AD55" s="24">
        <v>6.96</v>
      </c>
      <c r="AE55" s="24">
        <v>7.87</v>
      </c>
      <c r="AF55" s="21" t="s">
        <v>304</v>
      </c>
      <c r="AG55" s="21" t="s">
        <v>341</v>
      </c>
    </row>
    <row r="56" spans="1:33">
      <c r="A56" s="21" t="s">
        <v>61</v>
      </c>
      <c r="B56" s="21" t="s">
        <v>732</v>
      </c>
      <c r="C56" s="25">
        <v>46101.645833333336</v>
      </c>
      <c r="D56" s="21" t="s">
        <v>636</v>
      </c>
      <c r="E56" s="24">
        <v>7.07</v>
      </c>
      <c r="F56" s="24">
        <v>4.84</v>
      </c>
      <c r="G56" s="24">
        <f>E56-F56</f>
        <v>2.2300000000000004</v>
      </c>
      <c r="H56" s="21" t="s">
        <v>289</v>
      </c>
      <c r="I56" s="21">
        <v>1</v>
      </c>
      <c r="J56" s="21">
        <v>6</v>
      </c>
      <c r="K56" s="21">
        <v>1</v>
      </c>
      <c r="L56" s="21">
        <v>6</v>
      </c>
      <c r="M56" s="21">
        <v>1</v>
      </c>
      <c r="P56" s="24">
        <f>J56+L56+N56</f>
        <v>12</v>
      </c>
      <c r="Q56" s="24">
        <f>K56+M56+O56</f>
        <v>2</v>
      </c>
      <c r="R56" s="24">
        <f>P56/(P56+Q56)</f>
        <v>0.8571428571428571</v>
      </c>
      <c r="S56" s="21" t="s">
        <v>223</v>
      </c>
      <c r="U56" s="21" t="s">
        <v>287</v>
      </c>
      <c r="V56" s="21" t="s">
        <v>286</v>
      </c>
      <c r="W56" s="21">
        <v>5</v>
      </c>
      <c r="X56" s="21" t="s">
        <v>285</v>
      </c>
      <c r="Y56" s="21" t="s">
        <v>284</v>
      </c>
      <c r="Z56" s="21" t="s">
        <v>283</v>
      </c>
      <c r="AA56" s="21" t="s">
        <v>61</v>
      </c>
      <c r="AB56" s="21">
        <v>1</v>
      </c>
      <c r="AD56" s="24">
        <v>6.96</v>
      </c>
      <c r="AE56" s="24">
        <v>4.84</v>
      </c>
      <c r="AF56" s="21" t="s">
        <v>304</v>
      </c>
      <c r="AG56" s="21" t="s">
        <v>303</v>
      </c>
    </row>
    <row r="57" spans="1:33">
      <c r="A57" s="21" t="s">
        <v>61</v>
      </c>
      <c r="B57" s="21" t="s">
        <v>732</v>
      </c>
      <c r="C57" s="25">
        <v>46105.645833333336</v>
      </c>
      <c r="D57" s="21" t="s">
        <v>155</v>
      </c>
      <c r="E57" s="24">
        <v>6.65</v>
      </c>
      <c r="F57" s="24">
        <v>4.6900000000000004</v>
      </c>
      <c r="G57" s="24">
        <f>E57-F57</f>
        <v>1.96</v>
      </c>
      <c r="H57" s="21" t="s">
        <v>289</v>
      </c>
      <c r="I57" s="21">
        <v>1</v>
      </c>
      <c r="J57" s="21">
        <v>6</v>
      </c>
      <c r="K57" s="21">
        <v>1</v>
      </c>
      <c r="L57" s="21">
        <v>6</v>
      </c>
      <c r="M57" s="21">
        <v>1</v>
      </c>
      <c r="P57" s="24">
        <f>J57+L57+N57</f>
        <v>12</v>
      </c>
      <c r="Q57" s="24">
        <f>K57+M57+O57</f>
        <v>2</v>
      </c>
      <c r="R57" s="24">
        <f>P57/(P57+Q57)</f>
        <v>0.8571428571428571</v>
      </c>
      <c r="S57" s="21" t="s">
        <v>220</v>
      </c>
      <c r="U57" s="21" t="s">
        <v>287</v>
      </c>
      <c r="V57" s="21" t="s">
        <v>286</v>
      </c>
      <c r="W57" s="21">
        <v>6</v>
      </c>
      <c r="X57" s="21" t="s">
        <v>285</v>
      </c>
      <c r="Y57" s="21" t="s">
        <v>284</v>
      </c>
      <c r="Z57" s="21" t="s">
        <v>283</v>
      </c>
      <c r="AA57" s="21" t="s">
        <v>61</v>
      </c>
      <c r="AB57" s="21">
        <v>1</v>
      </c>
      <c r="AD57" s="24">
        <v>6.96</v>
      </c>
      <c r="AE57" s="24">
        <v>4.6900000000000004</v>
      </c>
      <c r="AF57" s="21" t="s">
        <v>302</v>
      </c>
      <c r="AG57" s="21" t="s">
        <v>301</v>
      </c>
    </row>
    <row r="58" spans="1:33">
      <c r="A58" s="21" t="s">
        <v>61</v>
      </c>
      <c r="B58" s="21" t="s">
        <v>732</v>
      </c>
      <c r="C58" s="25">
        <v>46111.645833333336</v>
      </c>
      <c r="D58" s="21" t="s">
        <v>124</v>
      </c>
      <c r="E58" s="24">
        <v>6.65</v>
      </c>
      <c r="F58" s="24">
        <v>4.4000000000000004</v>
      </c>
      <c r="G58" s="24">
        <f>E58-F58</f>
        <v>2.25</v>
      </c>
      <c r="H58" s="21" t="s">
        <v>289</v>
      </c>
      <c r="I58" s="21">
        <v>1</v>
      </c>
      <c r="J58" s="21">
        <v>6</v>
      </c>
      <c r="K58" s="21">
        <v>2</v>
      </c>
      <c r="L58" s="21">
        <v>6</v>
      </c>
      <c r="M58" s="21">
        <v>2</v>
      </c>
      <c r="P58" s="24">
        <f>J58+L58+N58</f>
        <v>12</v>
      </c>
      <c r="Q58" s="24">
        <f>K58+M58+O58</f>
        <v>4</v>
      </c>
      <c r="R58" s="24">
        <f>P58/(P58+Q58)</f>
        <v>0.75</v>
      </c>
      <c r="S58" s="21" t="s">
        <v>188</v>
      </c>
      <c r="U58" s="21" t="s">
        <v>287</v>
      </c>
      <c r="V58" s="21" t="s">
        <v>286</v>
      </c>
      <c r="W58" s="21">
        <v>7</v>
      </c>
      <c r="X58" s="21" t="s">
        <v>285</v>
      </c>
      <c r="Y58" s="21" t="s">
        <v>284</v>
      </c>
      <c r="Z58" s="21" t="s">
        <v>283</v>
      </c>
      <c r="AA58" s="21" t="s">
        <v>61</v>
      </c>
      <c r="AB58" s="21">
        <v>1</v>
      </c>
      <c r="AD58" s="24">
        <v>6.96</v>
      </c>
      <c r="AE58" s="24">
        <v>6.19</v>
      </c>
      <c r="AF58" s="21" t="s">
        <v>302</v>
      </c>
      <c r="AG58" s="21" t="s">
        <v>301</v>
      </c>
    </row>
    <row r="59" spans="1:33">
      <c r="A59" s="21" t="s">
        <v>61</v>
      </c>
      <c r="B59" s="21" t="s">
        <v>732</v>
      </c>
      <c r="C59" s="25">
        <v>46112.333333333336</v>
      </c>
      <c r="D59" s="21" t="s">
        <v>143</v>
      </c>
      <c r="E59" s="24">
        <v>6.41</v>
      </c>
      <c r="F59" s="24">
        <v>6.4</v>
      </c>
      <c r="G59" s="24">
        <f>E59-F59</f>
        <v>9.9999999999997868E-3</v>
      </c>
      <c r="H59" s="21" t="s">
        <v>294</v>
      </c>
      <c r="I59" s="21">
        <v>0</v>
      </c>
      <c r="J59" s="21">
        <v>3</v>
      </c>
      <c r="K59" s="21">
        <v>6</v>
      </c>
      <c r="L59" s="21">
        <v>6</v>
      </c>
      <c r="M59" s="21">
        <v>7</v>
      </c>
      <c r="P59" s="24">
        <f>J59+L59+N59</f>
        <v>9</v>
      </c>
      <c r="Q59" s="24">
        <f>K59+M59+O59</f>
        <v>13</v>
      </c>
      <c r="R59" s="24">
        <f>P59/(P59+Q59)</f>
        <v>0.40909090909090912</v>
      </c>
      <c r="S59" s="21" t="s">
        <v>179</v>
      </c>
      <c r="U59" s="21" t="s">
        <v>287</v>
      </c>
      <c r="V59" s="21" t="s">
        <v>286</v>
      </c>
      <c r="W59" s="21">
        <v>8</v>
      </c>
      <c r="X59" s="21" t="s">
        <v>285</v>
      </c>
      <c r="Y59" s="21" t="s">
        <v>284</v>
      </c>
      <c r="Z59" s="21" t="s">
        <v>283</v>
      </c>
      <c r="AA59" s="21" t="s">
        <v>61</v>
      </c>
      <c r="AB59" s="21">
        <v>1</v>
      </c>
      <c r="AD59" s="24">
        <v>6.96</v>
      </c>
      <c r="AE59" s="24">
        <v>7.44</v>
      </c>
      <c r="AF59" s="21" t="s">
        <v>304</v>
      </c>
      <c r="AG59" s="21" t="s">
        <v>341</v>
      </c>
    </row>
    <row r="60" spans="1:33">
      <c r="A60" s="21" t="s">
        <v>61</v>
      </c>
      <c r="B60" s="21" t="s">
        <v>732</v>
      </c>
      <c r="C60" s="25">
        <v>46118.645833333336</v>
      </c>
      <c r="D60" s="21" t="s">
        <v>228</v>
      </c>
      <c r="E60" s="24">
        <v>6.41</v>
      </c>
      <c r="F60" s="24">
        <v>9.09</v>
      </c>
      <c r="G60" s="24">
        <f>E60-F60</f>
        <v>-2.6799999999999997</v>
      </c>
      <c r="H60" s="21" t="s">
        <v>294</v>
      </c>
      <c r="I60" s="21">
        <v>0</v>
      </c>
      <c r="J60" s="21">
        <v>0</v>
      </c>
      <c r="K60" s="21">
        <v>6</v>
      </c>
      <c r="L60" s="21">
        <v>2</v>
      </c>
      <c r="M60" s="21">
        <v>6</v>
      </c>
      <c r="P60" s="24">
        <f>J60+L60+N60</f>
        <v>2</v>
      </c>
      <c r="Q60" s="24">
        <f>K60+M60+O60</f>
        <v>12</v>
      </c>
      <c r="R60" s="24">
        <f>P60/(P60+Q60)</f>
        <v>0.14285714285714285</v>
      </c>
      <c r="S60" s="21" t="s">
        <v>172</v>
      </c>
      <c r="U60" s="21" t="s">
        <v>287</v>
      </c>
      <c r="V60" s="21" t="s">
        <v>286</v>
      </c>
      <c r="W60" s="21">
        <v>9</v>
      </c>
      <c r="X60" s="21" t="s">
        <v>285</v>
      </c>
      <c r="Y60" s="21" t="s">
        <v>284</v>
      </c>
      <c r="Z60" s="21" t="s">
        <v>283</v>
      </c>
      <c r="AA60" s="21" t="s">
        <v>61</v>
      </c>
      <c r="AB60" s="21">
        <v>1</v>
      </c>
      <c r="AD60" s="24">
        <v>6.96</v>
      </c>
      <c r="AE60" s="24">
        <v>8.81</v>
      </c>
      <c r="AF60" s="21" t="s">
        <v>304</v>
      </c>
      <c r="AG60" s="21" t="s">
        <v>303</v>
      </c>
    </row>
    <row r="61" spans="1:33">
      <c r="A61" s="21" t="s">
        <v>61</v>
      </c>
      <c r="B61" s="21" t="s">
        <v>732</v>
      </c>
      <c r="C61" s="25">
        <v>46121.645833333336</v>
      </c>
      <c r="D61" s="21" t="s">
        <v>78</v>
      </c>
      <c r="E61" s="24">
        <v>6.4</v>
      </c>
      <c r="F61" s="24">
        <v>10.44</v>
      </c>
      <c r="G61" s="24">
        <f>E61-F61</f>
        <v>-4.0399999999999991</v>
      </c>
      <c r="H61" s="21" t="s">
        <v>294</v>
      </c>
      <c r="I61" s="21">
        <v>0</v>
      </c>
      <c r="J61" s="21">
        <v>0</v>
      </c>
      <c r="K61" s="21">
        <v>6</v>
      </c>
      <c r="L61" s="21">
        <v>6</v>
      </c>
      <c r="M61" s="21">
        <v>7</v>
      </c>
      <c r="P61" s="24">
        <f>J61+L61+N61</f>
        <v>6</v>
      </c>
      <c r="Q61" s="24">
        <f>K61+M61+O61</f>
        <v>13</v>
      </c>
      <c r="R61" s="24">
        <f>P61/(P61+Q61)</f>
        <v>0.31578947368421051</v>
      </c>
      <c r="S61" s="21" t="s">
        <v>673</v>
      </c>
      <c r="U61" s="21" t="s">
        <v>287</v>
      </c>
      <c r="V61" s="21" t="s">
        <v>286</v>
      </c>
      <c r="W61" s="21">
        <v>10</v>
      </c>
      <c r="X61" s="21" t="s">
        <v>285</v>
      </c>
      <c r="Y61" s="21" t="s">
        <v>284</v>
      </c>
      <c r="Z61" s="21" t="s">
        <v>283</v>
      </c>
      <c r="AA61" s="21" t="s">
        <v>61</v>
      </c>
      <c r="AB61" s="21">
        <v>1</v>
      </c>
      <c r="AD61" s="24">
        <v>6.96</v>
      </c>
      <c r="AE61" s="24">
        <v>9.9700000000000006</v>
      </c>
      <c r="AF61" s="21" t="s">
        <v>304</v>
      </c>
      <c r="AG61" s="21" t="s">
        <v>303</v>
      </c>
    </row>
    <row r="62" spans="1:33">
      <c r="A62" s="21" t="s">
        <v>61</v>
      </c>
      <c r="B62" s="21" t="s">
        <v>732</v>
      </c>
      <c r="C62" s="25">
        <v>46126.645833333336</v>
      </c>
      <c r="D62" s="21" t="s">
        <v>107</v>
      </c>
      <c r="E62" s="24">
        <v>6.31</v>
      </c>
      <c r="F62" s="24">
        <v>5.63</v>
      </c>
      <c r="G62" s="24">
        <f>E62-F62</f>
        <v>0.67999999999999972</v>
      </c>
      <c r="H62" s="21" t="s">
        <v>289</v>
      </c>
      <c r="I62" s="21">
        <v>1</v>
      </c>
      <c r="J62" s="21">
        <v>6</v>
      </c>
      <c r="K62" s="21">
        <v>2</v>
      </c>
      <c r="L62" s="21">
        <v>6</v>
      </c>
      <c r="M62" s="21">
        <v>2</v>
      </c>
      <c r="P62" s="24">
        <f>J62+L62+N62</f>
        <v>12</v>
      </c>
      <c r="Q62" s="24">
        <f>K62+M62+O62</f>
        <v>4</v>
      </c>
      <c r="R62" s="24">
        <f>P62/(P62+Q62)</f>
        <v>0.75</v>
      </c>
      <c r="S62" s="21" t="s">
        <v>108</v>
      </c>
      <c r="U62" s="21" t="s">
        <v>287</v>
      </c>
      <c r="V62" s="21" t="s">
        <v>286</v>
      </c>
      <c r="W62" s="21">
        <v>11</v>
      </c>
      <c r="X62" s="21" t="s">
        <v>285</v>
      </c>
      <c r="Y62" s="21" t="s">
        <v>284</v>
      </c>
      <c r="Z62" s="21" t="s">
        <v>283</v>
      </c>
      <c r="AA62" s="21" t="s">
        <v>61</v>
      </c>
      <c r="AB62" s="21">
        <v>1</v>
      </c>
      <c r="AD62" s="24">
        <v>6.96</v>
      </c>
      <c r="AE62" s="24">
        <v>6.03</v>
      </c>
      <c r="AF62" s="21" t="s">
        <v>304</v>
      </c>
      <c r="AG62" s="21" t="s">
        <v>303</v>
      </c>
    </row>
    <row r="63" spans="1:33">
      <c r="A63" s="21" t="s">
        <v>61</v>
      </c>
      <c r="B63" s="21" t="s">
        <v>732</v>
      </c>
      <c r="C63" s="25">
        <v>46134.625</v>
      </c>
      <c r="D63" s="21" t="s">
        <v>13</v>
      </c>
      <c r="E63" s="24">
        <v>6.37</v>
      </c>
      <c r="F63" s="24">
        <v>7.23</v>
      </c>
      <c r="G63" s="24">
        <f>E63-F63</f>
        <v>-0.86000000000000032</v>
      </c>
      <c r="H63" s="21" t="s">
        <v>294</v>
      </c>
      <c r="I63" s="21">
        <v>0</v>
      </c>
      <c r="J63" s="21">
        <v>5</v>
      </c>
      <c r="K63" s="21">
        <v>7</v>
      </c>
      <c r="L63" s="21">
        <v>1</v>
      </c>
      <c r="M63" s="21">
        <v>6</v>
      </c>
      <c r="P63" s="24">
        <f>J63+L63+N63</f>
        <v>6</v>
      </c>
      <c r="Q63" s="24">
        <f>K63+M63+O63</f>
        <v>13</v>
      </c>
      <c r="R63" s="24">
        <f>P63/(P63+Q63)</f>
        <v>0.31578947368421051</v>
      </c>
      <c r="S63" s="21" t="s">
        <v>62</v>
      </c>
      <c r="U63" s="21" t="s">
        <v>287</v>
      </c>
      <c r="V63" s="21" t="s">
        <v>286</v>
      </c>
      <c r="W63" s="21">
        <v>12</v>
      </c>
      <c r="X63" s="21" t="s">
        <v>285</v>
      </c>
      <c r="Y63" s="21" t="s">
        <v>284</v>
      </c>
      <c r="Z63" s="21" t="s">
        <v>283</v>
      </c>
      <c r="AA63" s="21" t="s">
        <v>61</v>
      </c>
      <c r="AB63" s="21">
        <v>1</v>
      </c>
      <c r="AD63" s="24">
        <v>6.96</v>
      </c>
      <c r="AE63" s="24">
        <v>7.46</v>
      </c>
      <c r="AF63" s="21" t="s">
        <v>304</v>
      </c>
      <c r="AG63" s="21" t="s">
        <v>303</v>
      </c>
    </row>
    <row r="64" spans="1:33">
      <c r="A64" s="21" t="s">
        <v>53</v>
      </c>
      <c r="B64" s="21" t="s">
        <v>814</v>
      </c>
      <c r="C64" s="25">
        <v>46108.666666666664</v>
      </c>
      <c r="D64" s="21" t="s">
        <v>624</v>
      </c>
      <c r="E64" s="24">
        <v>5.16</v>
      </c>
      <c r="F64" s="24">
        <v>7.95</v>
      </c>
      <c r="G64" s="24">
        <f>E64-F64</f>
        <v>-2.79</v>
      </c>
      <c r="H64" s="21" t="s">
        <v>294</v>
      </c>
      <c r="I64" s="21">
        <v>0</v>
      </c>
      <c r="J64" s="21">
        <v>1</v>
      </c>
      <c r="K64" s="21">
        <v>6</v>
      </c>
      <c r="L64" s="21">
        <v>0</v>
      </c>
      <c r="M64" s="21">
        <v>6</v>
      </c>
      <c r="P64" s="24">
        <f>J64+L64+N64</f>
        <v>1</v>
      </c>
      <c r="Q64" s="24">
        <f>K64+M64+O64</f>
        <v>12</v>
      </c>
      <c r="R64" s="24">
        <f>P64/(P64+Q64)</f>
        <v>7.6923076923076927E-2</v>
      </c>
      <c r="S64" s="21" t="s">
        <v>817</v>
      </c>
      <c r="U64" s="21" t="s">
        <v>287</v>
      </c>
      <c r="V64" s="21" t="s">
        <v>286</v>
      </c>
      <c r="W64" s="21">
        <v>0</v>
      </c>
      <c r="X64" s="21" t="s">
        <v>312</v>
      </c>
      <c r="Y64" s="21" t="s">
        <v>603</v>
      </c>
      <c r="Z64" s="21" t="s">
        <v>602</v>
      </c>
      <c r="AA64" s="21" t="s">
        <v>53</v>
      </c>
      <c r="AB64" s="21">
        <v>1</v>
      </c>
      <c r="AD64" s="24">
        <v>5.16</v>
      </c>
      <c r="AE64" s="24">
        <v>7.95</v>
      </c>
      <c r="AF64" s="21" t="s">
        <v>304</v>
      </c>
      <c r="AG64" s="21" t="s">
        <v>303</v>
      </c>
    </row>
    <row r="65" spans="1:33">
      <c r="A65" s="21" t="s">
        <v>53</v>
      </c>
      <c r="B65" s="21" t="s">
        <v>814</v>
      </c>
      <c r="C65" s="25">
        <v>46122.645833333336</v>
      </c>
      <c r="D65" s="21" t="s">
        <v>503</v>
      </c>
      <c r="E65" s="24">
        <v>5.16</v>
      </c>
      <c r="F65" s="24">
        <v>6.95</v>
      </c>
      <c r="G65" s="24">
        <f>E65-F65</f>
        <v>-1.79</v>
      </c>
      <c r="H65" s="21" t="s">
        <v>294</v>
      </c>
      <c r="I65" s="21">
        <v>0</v>
      </c>
      <c r="J65" s="21">
        <v>1</v>
      </c>
      <c r="K65" s="21">
        <v>6</v>
      </c>
      <c r="L65" s="21">
        <v>0</v>
      </c>
      <c r="M65" s="21">
        <v>6</v>
      </c>
      <c r="P65" s="24">
        <f>J65+L65+N65</f>
        <v>1</v>
      </c>
      <c r="Q65" s="24">
        <f>K65+M65+O65</f>
        <v>12</v>
      </c>
      <c r="R65" s="24">
        <f>P65/(P65+Q65)</f>
        <v>7.6923076923076927E-2</v>
      </c>
      <c r="S65" s="21" t="s">
        <v>816</v>
      </c>
      <c r="U65" s="21" t="s">
        <v>287</v>
      </c>
      <c r="V65" s="21" t="s">
        <v>286</v>
      </c>
      <c r="W65" s="21">
        <v>1</v>
      </c>
      <c r="X65" s="21" t="s">
        <v>323</v>
      </c>
      <c r="Y65" s="21" t="s">
        <v>603</v>
      </c>
      <c r="Z65" s="21" t="s">
        <v>602</v>
      </c>
      <c r="AA65" s="21" t="s">
        <v>53</v>
      </c>
      <c r="AB65" s="21">
        <v>1</v>
      </c>
      <c r="AC65" s="21" t="s">
        <v>815</v>
      </c>
      <c r="AD65" s="24">
        <v>5.16</v>
      </c>
      <c r="AE65" s="24">
        <v>6.95</v>
      </c>
      <c r="AF65" s="21" t="s">
        <v>322</v>
      </c>
      <c r="AG65" s="21" t="s">
        <v>301</v>
      </c>
    </row>
    <row r="66" spans="1:33">
      <c r="A66" s="21" t="s">
        <v>53</v>
      </c>
      <c r="B66" s="21" t="s">
        <v>814</v>
      </c>
      <c r="C66" s="25">
        <v>46133.333333333336</v>
      </c>
      <c r="D66" s="21" t="s">
        <v>134</v>
      </c>
      <c r="E66" s="24">
        <v>5.16</v>
      </c>
      <c r="F66" s="24">
        <v>5.91</v>
      </c>
      <c r="G66" s="24">
        <f>E66-F66</f>
        <v>-0.75</v>
      </c>
      <c r="H66" s="21" t="s">
        <v>289</v>
      </c>
      <c r="I66" s="21">
        <v>1</v>
      </c>
      <c r="J66" s="21">
        <v>1</v>
      </c>
      <c r="K66" s="21">
        <v>6</v>
      </c>
      <c r="L66" s="21">
        <v>6</v>
      </c>
      <c r="M66" s="21">
        <v>4</v>
      </c>
      <c r="N66" s="21">
        <v>1</v>
      </c>
      <c r="O66" s="21">
        <v>0</v>
      </c>
      <c r="P66" s="24">
        <f>J66+L66+N66</f>
        <v>8</v>
      </c>
      <c r="Q66" s="24">
        <f>K66+M66+O66</f>
        <v>10</v>
      </c>
      <c r="R66" s="24">
        <f>P66/(P66+Q66)</f>
        <v>0.44444444444444442</v>
      </c>
      <c r="S66" s="21" t="s">
        <v>796</v>
      </c>
      <c r="U66" s="21" t="s">
        <v>287</v>
      </c>
      <c r="V66" s="21" t="s">
        <v>286</v>
      </c>
      <c r="W66" s="21">
        <v>2</v>
      </c>
      <c r="X66" s="21" t="s">
        <v>310</v>
      </c>
      <c r="Y66" s="21" t="s">
        <v>603</v>
      </c>
      <c r="Z66" s="21" t="s">
        <v>602</v>
      </c>
      <c r="AA66" s="21" t="s">
        <v>53</v>
      </c>
      <c r="AB66" s="21">
        <v>1</v>
      </c>
      <c r="AC66" s="21" t="s">
        <v>813</v>
      </c>
      <c r="AD66" s="24">
        <v>5.16</v>
      </c>
      <c r="AE66" s="24">
        <v>5.91</v>
      </c>
      <c r="AF66" s="21" t="s">
        <v>304</v>
      </c>
      <c r="AG66" s="21" t="s">
        <v>303</v>
      </c>
    </row>
    <row r="67" spans="1:33">
      <c r="A67" s="21" t="s">
        <v>2</v>
      </c>
      <c r="B67" s="21" t="s">
        <v>473</v>
      </c>
      <c r="C67" s="25">
        <v>46034.820833333331</v>
      </c>
      <c r="D67" s="21" t="s">
        <v>514</v>
      </c>
      <c r="E67" s="24">
        <v>7.1</v>
      </c>
      <c r="F67" s="24">
        <v>6.88</v>
      </c>
      <c r="G67" s="24">
        <f>E67-F67</f>
        <v>0.21999999999999975</v>
      </c>
      <c r="H67" s="21" t="s">
        <v>289</v>
      </c>
      <c r="I67" s="21">
        <v>1</v>
      </c>
      <c r="J67" s="21">
        <v>2</v>
      </c>
      <c r="K67" s="21">
        <v>6</v>
      </c>
      <c r="L67" s="21">
        <v>6</v>
      </c>
      <c r="M67" s="21">
        <v>3</v>
      </c>
      <c r="N67" s="21">
        <v>1</v>
      </c>
      <c r="O67" s="21">
        <v>0</v>
      </c>
      <c r="P67" s="24">
        <f>J67+L67+N67</f>
        <v>9</v>
      </c>
      <c r="Q67" s="24">
        <f>K67+M67+O67</f>
        <v>9</v>
      </c>
      <c r="R67" s="24">
        <f>P67/(P67+Q67)</f>
        <v>0.5</v>
      </c>
      <c r="S67" s="21" t="s">
        <v>812</v>
      </c>
      <c r="U67" s="21" t="s">
        <v>412</v>
      </c>
      <c r="V67" s="21" t="s">
        <v>286</v>
      </c>
      <c r="W67" s="21">
        <v>0</v>
      </c>
      <c r="X67" s="21" t="s">
        <v>312</v>
      </c>
      <c r="Y67" s="21" t="s">
        <v>318</v>
      </c>
      <c r="Z67" s="21" t="s">
        <v>317</v>
      </c>
      <c r="AA67" s="21" t="s">
        <v>2</v>
      </c>
      <c r="AB67" s="21">
        <v>1</v>
      </c>
      <c r="AD67" s="24">
        <v>7.1</v>
      </c>
      <c r="AE67" s="24">
        <v>6.88</v>
      </c>
      <c r="AF67" s="21" t="s">
        <v>304</v>
      </c>
      <c r="AG67" s="21" t="s">
        <v>303</v>
      </c>
    </row>
    <row r="68" spans="1:33">
      <c r="A68" s="21" t="s">
        <v>2</v>
      </c>
      <c r="B68" s="21" t="s">
        <v>473</v>
      </c>
      <c r="C68" s="25">
        <v>46094.645833333336</v>
      </c>
      <c r="D68" s="21" t="s">
        <v>114</v>
      </c>
      <c r="E68" s="24">
        <v>7.78</v>
      </c>
      <c r="F68" s="24">
        <v>7.55</v>
      </c>
      <c r="G68" s="24">
        <f>E68-F68</f>
        <v>0.23000000000000043</v>
      </c>
      <c r="H68" s="21" t="s">
        <v>294</v>
      </c>
      <c r="I68" s="21">
        <v>0</v>
      </c>
      <c r="J68" s="21">
        <v>6</v>
      </c>
      <c r="K68" s="21">
        <v>4</v>
      </c>
      <c r="L68" s="21">
        <v>4</v>
      </c>
      <c r="M68" s="21">
        <v>6</v>
      </c>
      <c r="N68" s="21">
        <v>4</v>
      </c>
      <c r="O68" s="21">
        <v>6</v>
      </c>
      <c r="P68" s="24">
        <f>J68+L68+N68</f>
        <v>14</v>
      </c>
      <c r="Q68" s="24">
        <f>K68+M68+O68</f>
        <v>16</v>
      </c>
      <c r="R68" s="24">
        <f>P68/(P68+Q68)</f>
        <v>0.46666666666666667</v>
      </c>
      <c r="S68" s="21" t="s">
        <v>383</v>
      </c>
      <c r="U68" s="21" t="s">
        <v>287</v>
      </c>
      <c r="V68" s="21" t="s">
        <v>286</v>
      </c>
      <c r="W68" s="21">
        <v>1</v>
      </c>
      <c r="X68" s="21" t="s">
        <v>323</v>
      </c>
      <c r="Y68" s="21" t="s">
        <v>318</v>
      </c>
      <c r="Z68" s="21" t="s">
        <v>317</v>
      </c>
      <c r="AA68" s="21" t="s">
        <v>2</v>
      </c>
      <c r="AB68" s="21">
        <v>1</v>
      </c>
      <c r="AD68" s="24">
        <v>7.1</v>
      </c>
      <c r="AE68" s="24">
        <v>8.2799999999999994</v>
      </c>
      <c r="AF68" s="21" t="s">
        <v>304</v>
      </c>
      <c r="AG68" s="21" t="s">
        <v>303</v>
      </c>
    </row>
    <row r="69" spans="1:33">
      <c r="A69" s="21" t="s">
        <v>2</v>
      </c>
      <c r="B69" s="21" t="s">
        <v>473</v>
      </c>
      <c r="C69" s="25">
        <v>46098.645833333336</v>
      </c>
      <c r="D69" s="21" t="s">
        <v>234</v>
      </c>
      <c r="E69" s="24">
        <v>7.76</v>
      </c>
      <c r="F69" s="24">
        <v>4.1900000000000004</v>
      </c>
      <c r="G69" s="24">
        <f>E69-F69</f>
        <v>3.5699999999999994</v>
      </c>
      <c r="H69" s="21" t="s">
        <v>289</v>
      </c>
      <c r="I69" s="21">
        <v>1</v>
      </c>
      <c r="J69" s="21">
        <v>6</v>
      </c>
      <c r="K69" s="21">
        <v>0</v>
      </c>
      <c r="L69" s="21">
        <v>6</v>
      </c>
      <c r="M69" s="21">
        <v>0</v>
      </c>
      <c r="P69" s="24">
        <f>J69+L69+N69</f>
        <v>12</v>
      </c>
      <c r="Q69" s="24">
        <f>K69+M69+O69</f>
        <v>0</v>
      </c>
      <c r="R69" s="24">
        <f>P69/(P69+Q69)</f>
        <v>1</v>
      </c>
      <c r="S69" s="21" t="s">
        <v>334</v>
      </c>
      <c r="U69" s="21" t="s">
        <v>287</v>
      </c>
      <c r="V69" s="21" t="s">
        <v>286</v>
      </c>
      <c r="W69" s="21">
        <v>2</v>
      </c>
      <c r="X69" s="21" t="s">
        <v>310</v>
      </c>
      <c r="Y69" s="21" t="s">
        <v>318</v>
      </c>
      <c r="Z69" s="21" t="s">
        <v>317</v>
      </c>
      <c r="AA69" s="21" t="s">
        <v>2</v>
      </c>
      <c r="AB69" s="21">
        <v>1</v>
      </c>
      <c r="AD69" s="24">
        <v>7.1</v>
      </c>
      <c r="AE69" s="24">
        <v>4.54</v>
      </c>
      <c r="AF69" s="21" t="s">
        <v>304</v>
      </c>
      <c r="AG69" s="21" t="s">
        <v>303</v>
      </c>
    </row>
    <row r="70" spans="1:33">
      <c r="A70" s="21" t="s">
        <v>2</v>
      </c>
      <c r="B70" s="21" t="s">
        <v>473</v>
      </c>
      <c r="C70" s="25">
        <v>46099.645833333336</v>
      </c>
      <c r="D70" s="21" t="s">
        <v>115</v>
      </c>
      <c r="E70" s="24">
        <v>7.76</v>
      </c>
      <c r="F70" s="24">
        <v>5.03</v>
      </c>
      <c r="G70" s="24">
        <f>E70-F70</f>
        <v>2.7299999999999995</v>
      </c>
      <c r="H70" s="21" t="s">
        <v>289</v>
      </c>
      <c r="I70" s="21">
        <v>1</v>
      </c>
      <c r="J70" s="21">
        <v>6</v>
      </c>
      <c r="K70" s="21">
        <v>3</v>
      </c>
      <c r="L70" s="21">
        <v>6</v>
      </c>
      <c r="M70" s="21">
        <v>1</v>
      </c>
      <c r="P70" s="24">
        <f>J70+L70+N70</f>
        <v>12</v>
      </c>
      <c r="Q70" s="24">
        <f>K70+M70+O70</f>
        <v>4</v>
      </c>
      <c r="R70" s="24">
        <f>P70/(P70+Q70)</f>
        <v>0.75</v>
      </c>
      <c r="S70" s="21" t="s">
        <v>237</v>
      </c>
      <c r="U70" s="21" t="s">
        <v>287</v>
      </c>
      <c r="V70" s="21" t="s">
        <v>286</v>
      </c>
      <c r="W70" s="21">
        <v>3</v>
      </c>
      <c r="X70" s="21" t="s">
        <v>285</v>
      </c>
      <c r="Y70" s="21" t="s">
        <v>318</v>
      </c>
      <c r="Z70" s="21" t="s">
        <v>317</v>
      </c>
      <c r="AA70" s="21" t="s">
        <v>2</v>
      </c>
      <c r="AB70" s="21">
        <v>1</v>
      </c>
      <c r="AD70" s="24">
        <v>7.1</v>
      </c>
      <c r="AE70" s="24">
        <v>5.52</v>
      </c>
      <c r="AF70" s="21" t="s">
        <v>304</v>
      </c>
      <c r="AG70" s="21" t="s">
        <v>303</v>
      </c>
    </row>
    <row r="71" spans="1:33">
      <c r="A71" s="21" t="s">
        <v>2</v>
      </c>
      <c r="B71" s="21" t="s">
        <v>473</v>
      </c>
      <c r="C71" s="25">
        <v>46106.645833333336</v>
      </c>
      <c r="D71" s="21" t="s">
        <v>84</v>
      </c>
      <c r="E71" s="24">
        <v>7.68</v>
      </c>
      <c r="F71" s="24">
        <v>6.29</v>
      </c>
      <c r="G71" s="24">
        <f>E71-F71</f>
        <v>1.3899999999999997</v>
      </c>
      <c r="H71" s="21" t="s">
        <v>294</v>
      </c>
      <c r="I71" s="21">
        <v>0</v>
      </c>
      <c r="J71" s="21">
        <v>3</v>
      </c>
      <c r="K71" s="21">
        <v>6</v>
      </c>
      <c r="L71" s="21">
        <v>6</v>
      </c>
      <c r="M71" s="21">
        <v>2</v>
      </c>
      <c r="N71" s="21">
        <v>6</v>
      </c>
      <c r="O71" s="21">
        <v>7</v>
      </c>
      <c r="P71" s="24">
        <f>J71+L71+N71</f>
        <v>15</v>
      </c>
      <c r="Q71" s="24">
        <f>K71+M71+O71</f>
        <v>15</v>
      </c>
      <c r="R71" s="24">
        <f>P71/(P71+Q71)</f>
        <v>0.5</v>
      </c>
      <c r="S71" s="21" t="s">
        <v>209</v>
      </c>
      <c r="U71" s="21" t="s">
        <v>287</v>
      </c>
      <c r="V71" s="21" t="s">
        <v>286</v>
      </c>
      <c r="W71" s="21">
        <v>4</v>
      </c>
      <c r="X71" s="21" t="s">
        <v>285</v>
      </c>
      <c r="Y71" s="21" t="s">
        <v>318</v>
      </c>
      <c r="Z71" s="21" t="s">
        <v>317</v>
      </c>
      <c r="AA71" s="21" t="s">
        <v>2</v>
      </c>
      <c r="AB71" s="21">
        <v>1</v>
      </c>
      <c r="AD71" s="24">
        <v>7.1</v>
      </c>
      <c r="AE71" s="24">
        <v>6.97</v>
      </c>
      <c r="AF71" s="21" t="s">
        <v>304</v>
      </c>
      <c r="AG71" s="21" t="s">
        <v>303</v>
      </c>
    </row>
    <row r="72" spans="1:33">
      <c r="A72" s="21" t="s">
        <v>2</v>
      </c>
      <c r="B72" s="21" t="s">
        <v>473</v>
      </c>
      <c r="C72" s="25">
        <v>46107.645833333336</v>
      </c>
      <c r="D72" s="21" t="s">
        <v>1</v>
      </c>
      <c r="E72" s="24">
        <v>7.68</v>
      </c>
      <c r="F72" s="24">
        <v>7.89</v>
      </c>
      <c r="G72" s="24">
        <f>E72-F72</f>
        <v>-0.20999999999999996</v>
      </c>
      <c r="H72" s="21" t="s">
        <v>294</v>
      </c>
      <c r="I72" s="21">
        <v>0</v>
      </c>
      <c r="J72" s="21">
        <v>5</v>
      </c>
      <c r="K72" s="21">
        <v>7</v>
      </c>
      <c r="L72" s="21">
        <v>4</v>
      </c>
      <c r="M72" s="21">
        <v>6</v>
      </c>
      <c r="P72" s="24">
        <f>J72+L72+N72</f>
        <v>9</v>
      </c>
      <c r="Q72" s="24">
        <f>K72+M72+O72</f>
        <v>13</v>
      </c>
      <c r="R72" s="24">
        <f>P72/(P72+Q72)</f>
        <v>0.40909090909090912</v>
      </c>
      <c r="S72" s="21" t="s">
        <v>202</v>
      </c>
      <c r="U72" s="21" t="s">
        <v>287</v>
      </c>
      <c r="V72" s="21" t="s">
        <v>286</v>
      </c>
      <c r="W72" s="21">
        <v>5</v>
      </c>
      <c r="X72" s="21" t="s">
        <v>285</v>
      </c>
      <c r="Y72" s="21" t="s">
        <v>318</v>
      </c>
      <c r="Z72" s="21" t="s">
        <v>317</v>
      </c>
      <c r="AA72" s="21" t="s">
        <v>2</v>
      </c>
      <c r="AB72" s="21">
        <v>1</v>
      </c>
      <c r="AD72" s="24">
        <v>7.1</v>
      </c>
      <c r="AE72" s="24">
        <v>7.98</v>
      </c>
      <c r="AF72" s="21" t="s">
        <v>304</v>
      </c>
      <c r="AG72" s="21" t="s">
        <v>303</v>
      </c>
    </row>
    <row r="73" spans="1:33">
      <c r="A73" s="21" t="s">
        <v>2</v>
      </c>
      <c r="B73" s="21" t="s">
        <v>473</v>
      </c>
      <c r="C73" s="25">
        <v>46108.645833333336</v>
      </c>
      <c r="D73" s="21" t="s">
        <v>5</v>
      </c>
      <c r="E73" s="24">
        <v>7.68</v>
      </c>
      <c r="F73" s="24">
        <v>8.93</v>
      </c>
      <c r="G73" s="24">
        <f>E73-F73</f>
        <v>-1.25</v>
      </c>
      <c r="H73" s="21" t="s">
        <v>294</v>
      </c>
      <c r="I73" s="21">
        <v>0</v>
      </c>
      <c r="J73" s="21">
        <v>0</v>
      </c>
      <c r="K73" s="21">
        <v>6</v>
      </c>
      <c r="L73" s="21">
        <v>0</v>
      </c>
      <c r="M73" s="21">
        <v>6</v>
      </c>
      <c r="P73" s="24">
        <f>J73+L73+N73</f>
        <v>0</v>
      </c>
      <c r="Q73" s="24">
        <f>K73+M73+O73</f>
        <v>12</v>
      </c>
      <c r="R73" s="24">
        <f>P73/(P73+Q73)</f>
        <v>0</v>
      </c>
      <c r="S73" s="21" t="s">
        <v>11</v>
      </c>
      <c r="U73" s="21" t="s">
        <v>287</v>
      </c>
      <c r="V73" s="21" t="s">
        <v>286</v>
      </c>
      <c r="W73" s="21">
        <v>6</v>
      </c>
      <c r="X73" s="21" t="s">
        <v>285</v>
      </c>
      <c r="Y73" s="21" t="s">
        <v>318</v>
      </c>
      <c r="Z73" s="21" t="s">
        <v>317</v>
      </c>
      <c r="AA73" s="21" t="s">
        <v>2</v>
      </c>
      <c r="AB73" s="21">
        <v>1</v>
      </c>
      <c r="AD73" s="24">
        <v>7.1</v>
      </c>
      <c r="AE73" s="24">
        <v>8.08</v>
      </c>
      <c r="AF73" s="21" t="s">
        <v>302</v>
      </c>
      <c r="AG73" s="21" t="s">
        <v>301</v>
      </c>
    </row>
    <row r="74" spans="1:33">
      <c r="A74" s="21" t="s">
        <v>2</v>
      </c>
      <c r="B74" s="21" t="s">
        <v>473</v>
      </c>
      <c r="C74" s="25">
        <v>46118.625</v>
      </c>
      <c r="D74" s="21" t="s">
        <v>155</v>
      </c>
      <c r="E74" s="24">
        <v>7.63</v>
      </c>
      <c r="F74" s="24">
        <v>4.95</v>
      </c>
      <c r="G74" s="24">
        <f>E74-F74</f>
        <v>2.6799999999999997</v>
      </c>
      <c r="H74" s="21" t="s">
        <v>289</v>
      </c>
      <c r="I74" s="21">
        <v>1</v>
      </c>
      <c r="J74" s="21">
        <v>6</v>
      </c>
      <c r="K74" s="21">
        <v>2</v>
      </c>
      <c r="L74" s="21">
        <v>6</v>
      </c>
      <c r="M74" s="21">
        <v>0</v>
      </c>
      <c r="P74" s="24">
        <f>J74+L74+N74</f>
        <v>12</v>
      </c>
      <c r="Q74" s="24">
        <f>K74+M74+O74</f>
        <v>2</v>
      </c>
      <c r="R74" s="24">
        <f>P74/(P74+Q74)</f>
        <v>0.8571428571428571</v>
      </c>
      <c r="S74" s="21" t="s">
        <v>166</v>
      </c>
      <c r="U74" s="21" t="s">
        <v>287</v>
      </c>
      <c r="V74" s="21" t="s">
        <v>286</v>
      </c>
      <c r="W74" s="21">
        <v>7</v>
      </c>
      <c r="X74" s="21" t="s">
        <v>285</v>
      </c>
      <c r="Y74" s="21" t="s">
        <v>318</v>
      </c>
      <c r="Z74" s="21" t="s">
        <v>317</v>
      </c>
      <c r="AA74" s="21" t="s">
        <v>2</v>
      </c>
      <c r="AB74" s="21">
        <v>1</v>
      </c>
      <c r="AD74" s="24">
        <v>7.1</v>
      </c>
      <c r="AE74" s="24">
        <v>4.8499999999999996</v>
      </c>
      <c r="AF74" s="21" t="s">
        <v>304</v>
      </c>
      <c r="AG74" s="21" t="s">
        <v>341</v>
      </c>
    </row>
    <row r="75" spans="1:33">
      <c r="A75" s="21" t="s">
        <v>2</v>
      </c>
      <c r="B75" s="21" t="s">
        <v>473</v>
      </c>
      <c r="C75" s="25">
        <v>46122.645833333336</v>
      </c>
      <c r="D75" s="21" t="s">
        <v>349</v>
      </c>
      <c r="E75" s="24">
        <v>7.52</v>
      </c>
      <c r="F75" s="24">
        <v>4.22</v>
      </c>
      <c r="G75" s="24">
        <f>E75-F75</f>
        <v>3.3</v>
      </c>
      <c r="H75" s="21" t="s">
        <v>289</v>
      </c>
      <c r="I75" s="21">
        <v>1</v>
      </c>
      <c r="J75" s="21">
        <v>6</v>
      </c>
      <c r="K75" s="21">
        <v>2</v>
      </c>
      <c r="L75" s="21">
        <v>6</v>
      </c>
      <c r="M75" s="21">
        <v>0</v>
      </c>
      <c r="P75" s="24">
        <f>J75+L75+N75</f>
        <v>12</v>
      </c>
      <c r="Q75" s="24">
        <f>K75+M75+O75</f>
        <v>2</v>
      </c>
      <c r="R75" s="24">
        <f>P75/(P75+Q75)</f>
        <v>0.8571428571428571</v>
      </c>
      <c r="S75" s="21" t="s">
        <v>476</v>
      </c>
      <c r="U75" s="21" t="s">
        <v>287</v>
      </c>
      <c r="V75" s="21" t="s">
        <v>286</v>
      </c>
      <c r="W75" s="21">
        <v>8</v>
      </c>
      <c r="X75" s="21" t="s">
        <v>285</v>
      </c>
      <c r="Y75" s="21" t="s">
        <v>318</v>
      </c>
      <c r="Z75" s="21" t="s">
        <v>317</v>
      </c>
      <c r="AA75" s="21" t="s">
        <v>2</v>
      </c>
      <c r="AB75" s="21">
        <v>1</v>
      </c>
      <c r="AD75" s="24">
        <v>7.1</v>
      </c>
      <c r="AE75" s="24">
        <v>4.22</v>
      </c>
      <c r="AF75" s="21" t="s">
        <v>304</v>
      </c>
      <c r="AG75" s="21" t="s">
        <v>303</v>
      </c>
    </row>
    <row r="76" spans="1:33">
      <c r="A76" s="21" t="s">
        <v>2</v>
      </c>
      <c r="B76" s="21" t="s">
        <v>473</v>
      </c>
      <c r="C76" s="25">
        <v>46131.775694444441</v>
      </c>
      <c r="D76" s="21" t="s">
        <v>58</v>
      </c>
      <c r="E76" s="24">
        <v>7.56</v>
      </c>
      <c r="F76" s="24">
        <v>4.51</v>
      </c>
      <c r="G76" s="24">
        <f>E76-F76</f>
        <v>3.05</v>
      </c>
      <c r="H76" s="21" t="s">
        <v>289</v>
      </c>
      <c r="I76" s="21">
        <v>1</v>
      </c>
      <c r="J76" s="21">
        <v>6</v>
      </c>
      <c r="K76" s="21">
        <v>0</v>
      </c>
      <c r="L76" s="21">
        <v>6</v>
      </c>
      <c r="M76" s="21">
        <v>1</v>
      </c>
      <c r="P76" s="24">
        <f>J76+L76+N76</f>
        <v>12</v>
      </c>
      <c r="Q76" s="24">
        <f>K76+M76+O76</f>
        <v>1</v>
      </c>
      <c r="R76" s="24">
        <f>P76/(P76+Q76)</f>
        <v>0.92307692307692313</v>
      </c>
      <c r="S76" s="21" t="s">
        <v>810</v>
      </c>
      <c r="U76" s="21" t="s">
        <v>412</v>
      </c>
      <c r="V76" s="21" t="s">
        <v>286</v>
      </c>
      <c r="W76" s="21">
        <v>9</v>
      </c>
      <c r="X76" s="21" t="s">
        <v>285</v>
      </c>
      <c r="Y76" s="21" t="s">
        <v>318</v>
      </c>
      <c r="Z76" s="21" t="s">
        <v>317</v>
      </c>
      <c r="AA76" s="21" t="s">
        <v>2</v>
      </c>
      <c r="AB76" s="21">
        <v>1</v>
      </c>
      <c r="AD76" s="24">
        <v>7.1</v>
      </c>
      <c r="AE76" s="24">
        <v>4.9000000000000004</v>
      </c>
      <c r="AF76" s="21" t="s">
        <v>302</v>
      </c>
      <c r="AG76" s="21" t="s">
        <v>301</v>
      </c>
    </row>
    <row r="77" spans="1:33">
      <c r="A77" s="21" t="s">
        <v>2</v>
      </c>
      <c r="B77" s="21" t="s">
        <v>473</v>
      </c>
      <c r="C77" s="25">
        <v>46131.779166666667</v>
      </c>
      <c r="D77" s="21" t="s">
        <v>107</v>
      </c>
      <c r="E77" s="24">
        <v>7.56</v>
      </c>
      <c r="F77" s="24">
        <v>5.63</v>
      </c>
      <c r="G77" s="24">
        <f>E77-F77</f>
        <v>1.9299999999999997</v>
      </c>
      <c r="H77" s="21" t="s">
        <v>294</v>
      </c>
      <c r="I77" s="21">
        <v>0</v>
      </c>
      <c r="J77" s="21">
        <v>4</v>
      </c>
      <c r="K77" s="21">
        <v>6</v>
      </c>
      <c r="L77" s="21">
        <v>3</v>
      </c>
      <c r="M77" s="21">
        <v>6</v>
      </c>
      <c r="P77" s="24">
        <f>J77+L77+N77</f>
        <v>7</v>
      </c>
      <c r="Q77" s="24">
        <f>K77+M77+O77</f>
        <v>12</v>
      </c>
      <c r="R77" s="24">
        <f>P77/(P77+Q77)</f>
        <v>0.36842105263157893</v>
      </c>
      <c r="S77" s="21" t="s">
        <v>810</v>
      </c>
      <c r="U77" s="21" t="s">
        <v>412</v>
      </c>
      <c r="V77" s="21" t="s">
        <v>286</v>
      </c>
      <c r="W77" s="21">
        <v>10</v>
      </c>
      <c r="X77" s="21" t="s">
        <v>285</v>
      </c>
      <c r="Y77" s="21" t="s">
        <v>318</v>
      </c>
      <c r="Z77" s="21" t="s">
        <v>317</v>
      </c>
      <c r="AA77" s="21" t="s">
        <v>2</v>
      </c>
      <c r="AB77" s="21">
        <v>1</v>
      </c>
      <c r="AD77" s="24">
        <v>7.1</v>
      </c>
      <c r="AE77" s="24">
        <v>6</v>
      </c>
      <c r="AF77" s="21" t="s">
        <v>304</v>
      </c>
      <c r="AG77" s="21" t="s">
        <v>303</v>
      </c>
    </row>
    <row r="78" spans="1:33">
      <c r="A78" s="21" t="s">
        <v>2</v>
      </c>
      <c r="B78" s="21" t="s">
        <v>473</v>
      </c>
      <c r="C78" s="25">
        <v>46131.869444444441</v>
      </c>
      <c r="D78" s="21" t="s">
        <v>811</v>
      </c>
      <c r="E78" s="24">
        <v>7.56</v>
      </c>
      <c r="F78" s="24">
        <v>8.39</v>
      </c>
      <c r="G78" s="24">
        <f>E78-F78</f>
        <v>-0.83000000000000096</v>
      </c>
      <c r="H78" s="21" t="s">
        <v>294</v>
      </c>
      <c r="I78" s="21">
        <v>0</v>
      </c>
      <c r="J78" s="21">
        <v>1</v>
      </c>
      <c r="K78" s="21">
        <v>6</v>
      </c>
      <c r="L78" s="21">
        <v>0</v>
      </c>
      <c r="M78" s="21">
        <v>6</v>
      </c>
      <c r="P78" s="24">
        <f>J78+L78+N78</f>
        <v>1</v>
      </c>
      <c r="Q78" s="24">
        <f>K78+M78+O78</f>
        <v>12</v>
      </c>
      <c r="R78" s="24">
        <f>P78/(P78+Q78)</f>
        <v>7.6923076923076927E-2</v>
      </c>
      <c r="S78" s="21" t="s">
        <v>810</v>
      </c>
      <c r="U78" s="21" t="s">
        <v>412</v>
      </c>
      <c r="V78" s="21" t="s">
        <v>286</v>
      </c>
      <c r="W78" s="21">
        <v>11</v>
      </c>
      <c r="X78" s="21" t="s">
        <v>285</v>
      </c>
      <c r="Y78" s="21" t="s">
        <v>318</v>
      </c>
      <c r="Z78" s="21" t="s">
        <v>317</v>
      </c>
      <c r="AA78" s="21" t="s">
        <v>2</v>
      </c>
      <c r="AB78" s="21">
        <v>1</v>
      </c>
      <c r="AD78" s="24">
        <v>7.1</v>
      </c>
      <c r="AE78" s="24">
        <v>8.39</v>
      </c>
      <c r="AF78" s="21" t="s">
        <v>302</v>
      </c>
      <c r="AG78" s="21" t="s">
        <v>301</v>
      </c>
    </row>
    <row r="79" spans="1:33">
      <c r="A79" s="21" t="s">
        <v>2</v>
      </c>
      <c r="B79" s="21" t="s">
        <v>473</v>
      </c>
      <c r="C79" s="25">
        <v>46133.645833333336</v>
      </c>
      <c r="D79" s="21" t="s">
        <v>6</v>
      </c>
      <c r="E79" s="24">
        <v>7.58</v>
      </c>
      <c r="F79" s="24">
        <v>8.61</v>
      </c>
      <c r="G79" s="24">
        <f>E79-F79</f>
        <v>-1.0299999999999994</v>
      </c>
      <c r="H79" s="21" t="s">
        <v>294</v>
      </c>
      <c r="I79" s="21">
        <v>0</v>
      </c>
      <c r="J79" s="21">
        <v>4</v>
      </c>
      <c r="K79" s="21">
        <v>6</v>
      </c>
      <c r="L79" s="21">
        <v>2</v>
      </c>
      <c r="M79" s="21">
        <v>6</v>
      </c>
      <c r="P79" s="24">
        <f>J79+L79+N79</f>
        <v>6</v>
      </c>
      <c r="Q79" s="24">
        <f>K79+M79+O79</f>
        <v>12</v>
      </c>
      <c r="R79" s="24">
        <f>P79/(P79+Q79)</f>
        <v>0.33333333333333331</v>
      </c>
      <c r="S79" s="21" t="s">
        <v>63</v>
      </c>
      <c r="U79" s="21" t="s">
        <v>287</v>
      </c>
      <c r="V79" s="21" t="s">
        <v>286</v>
      </c>
      <c r="W79" s="21">
        <v>12</v>
      </c>
      <c r="X79" s="21" t="s">
        <v>285</v>
      </c>
      <c r="Y79" s="21" t="s">
        <v>318</v>
      </c>
      <c r="Z79" s="21" t="s">
        <v>317</v>
      </c>
      <c r="AA79" s="21" t="s">
        <v>2</v>
      </c>
      <c r="AB79" s="21">
        <v>1</v>
      </c>
      <c r="AD79" s="24">
        <v>7.1</v>
      </c>
      <c r="AE79" s="24">
        <v>8.9700000000000006</v>
      </c>
      <c r="AF79" s="21" t="s">
        <v>304</v>
      </c>
      <c r="AG79" s="21" t="s">
        <v>303</v>
      </c>
    </row>
    <row r="80" spans="1:33">
      <c r="A80" s="21" t="s">
        <v>2</v>
      </c>
      <c r="B80" s="21" t="s">
        <v>473</v>
      </c>
      <c r="C80" s="25">
        <v>46141.479166666664</v>
      </c>
      <c r="D80" s="21" t="s">
        <v>809</v>
      </c>
      <c r="E80" s="24">
        <v>7.54</v>
      </c>
      <c r="F80" s="24">
        <v>3.64</v>
      </c>
      <c r="G80" s="24">
        <f>E80-F80</f>
        <v>3.9</v>
      </c>
      <c r="H80" s="21" t="s">
        <v>289</v>
      </c>
      <c r="I80" s="21">
        <v>1</v>
      </c>
      <c r="J80" s="21">
        <v>6</v>
      </c>
      <c r="K80" s="21">
        <v>0</v>
      </c>
      <c r="L80" s="21">
        <v>6</v>
      </c>
      <c r="M80" s="21">
        <v>1</v>
      </c>
      <c r="P80" s="24">
        <f>J80+L80+N80</f>
        <v>12</v>
      </c>
      <c r="Q80" s="24">
        <f>K80+M80+O80</f>
        <v>1</v>
      </c>
      <c r="R80" s="24">
        <f>P80/(P80+Q80)</f>
        <v>0.92307692307692313</v>
      </c>
      <c r="S80" s="21" t="s">
        <v>474</v>
      </c>
      <c r="U80" s="21" t="s">
        <v>287</v>
      </c>
      <c r="V80" s="21" t="s">
        <v>286</v>
      </c>
      <c r="W80" s="21">
        <v>13</v>
      </c>
      <c r="X80" s="21" t="s">
        <v>285</v>
      </c>
      <c r="Y80" s="21" t="s">
        <v>318</v>
      </c>
      <c r="Z80" s="21" t="s">
        <v>317</v>
      </c>
      <c r="AA80" s="21" t="s">
        <v>2</v>
      </c>
      <c r="AB80" s="21">
        <v>1</v>
      </c>
      <c r="AD80" s="24">
        <v>7.1</v>
      </c>
      <c r="AE80" s="24">
        <v>3.64</v>
      </c>
      <c r="AF80" s="21" t="s">
        <v>304</v>
      </c>
      <c r="AG80" s="21" t="s">
        <v>303</v>
      </c>
    </row>
    <row r="81" spans="1:33">
      <c r="A81" s="21" t="s">
        <v>2</v>
      </c>
      <c r="B81" s="21" t="s">
        <v>473</v>
      </c>
      <c r="C81" s="25">
        <v>46142.645833333336</v>
      </c>
      <c r="D81" s="21" t="s">
        <v>26</v>
      </c>
      <c r="E81" s="24">
        <v>7.54</v>
      </c>
      <c r="F81" s="24">
        <v>7.56</v>
      </c>
      <c r="G81" s="24">
        <f>E81-F81</f>
        <v>-1.9999999999999574E-2</v>
      </c>
      <c r="H81" s="21" t="s">
        <v>294</v>
      </c>
      <c r="I81" s="21">
        <v>0</v>
      </c>
      <c r="J81" s="21">
        <v>3</v>
      </c>
      <c r="K81" s="21">
        <v>6</v>
      </c>
      <c r="L81" s="21">
        <v>2</v>
      </c>
      <c r="M81" s="21">
        <v>6</v>
      </c>
      <c r="P81" s="24">
        <f>J81+L81+N81</f>
        <v>5</v>
      </c>
      <c r="Q81" s="24">
        <f>K81+M81+O81</f>
        <v>12</v>
      </c>
      <c r="R81" s="24">
        <f>P81/(P81+Q81)</f>
        <v>0.29411764705882354</v>
      </c>
      <c r="S81" s="21" t="s">
        <v>15</v>
      </c>
      <c r="U81" s="21" t="s">
        <v>287</v>
      </c>
      <c r="V81" s="21" t="s">
        <v>286</v>
      </c>
      <c r="W81" s="21">
        <v>14</v>
      </c>
      <c r="X81" s="21" t="s">
        <v>285</v>
      </c>
      <c r="Y81" s="21" t="s">
        <v>318</v>
      </c>
      <c r="Z81" s="21" t="s">
        <v>317</v>
      </c>
      <c r="AA81" s="21" t="s">
        <v>2</v>
      </c>
      <c r="AB81" s="21">
        <v>1</v>
      </c>
      <c r="AD81" s="24">
        <v>7.1</v>
      </c>
      <c r="AE81" s="24">
        <v>8.09</v>
      </c>
      <c r="AF81" s="21" t="s">
        <v>304</v>
      </c>
      <c r="AG81" s="21" t="s">
        <v>303</v>
      </c>
    </row>
    <row r="82" spans="1:33">
      <c r="A82" s="21" t="s">
        <v>2</v>
      </c>
      <c r="B82" s="21" t="s">
        <v>473</v>
      </c>
      <c r="C82" s="25">
        <v>46146.6875</v>
      </c>
      <c r="D82" s="21" t="s">
        <v>5</v>
      </c>
      <c r="E82" s="24">
        <v>7.54</v>
      </c>
      <c r="F82" s="24">
        <v>8.9600000000000009</v>
      </c>
      <c r="G82" s="24">
        <f>E82-F82</f>
        <v>-1.4200000000000008</v>
      </c>
      <c r="H82" s="21" t="s">
        <v>294</v>
      </c>
      <c r="I82" s="21">
        <v>0</v>
      </c>
      <c r="J82" s="21">
        <v>1</v>
      </c>
      <c r="K82" s="21">
        <v>6</v>
      </c>
      <c r="L82" s="21">
        <v>1</v>
      </c>
      <c r="M82" s="21">
        <v>6</v>
      </c>
      <c r="P82" s="24">
        <f>J82+L82+N82</f>
        <v>2</v>
      </c>
      <c r="Q82" s="24">
        <f>K82+M82+O82</f>
        <v>12</v>
      </c>
      <c r="R82" s="24">
        <f>P82/(P82+Q82)</f>
        <v>0.14285714285714285</v>
      </c>
      <c r="S82" s="21" t="s">
        <v>11</v>
      </c>
      <c r="U82" s="21" t="s">
        <v>287</v>
      </c>
      <c r="V82" s="21" t="s">
        <v>286</v>
      </c>
      <c r="W82" s="21">
        <v>15</v>
      </c>
      <c r="X82" s="21" t="s">
        <v>285</v>
      </c>
      <c r="Y82" s="21" t="s">
        <v>318</v>
      </c>
      <c r="Z82" s="21" t="s">
        <v>317</v>
      </c>
      <c r="AA82" s="21" t="s">
        <v>2</v>
      </c>
      <c r="AB82" s="21">
        <v>1</v>
      </c>
      <c r="AD82" s="24">
        <v>7.1</v>
      </c>
      <c r="AE82" s="24">
        <v>8.08</v>
      </c>
      <c r="AF82" s="21" t="s">
        <v>304</v>
      </c>
      <c r="AG82" s="21" t="s">
        <v>341</v>
      </c>
    </row>
    <row r="83" spans="1:33">
      <c r="A83" s="21" t="s">
        <v>2</v>
      </c>
      <c r="B83" s="21" t="s">
        <v>473</v>
      </c>
      <c r="C83" s="25">
        <v>46147.708333333336</v>
      </c>
      <c r="D83" s="21" t="s">
        <v>1</v>
      </c>
      <c r="E83" s="24">
        <v>7.52</v>
      </c>
      <c r="F83" s="24">
        <v>7.84</v>
      </c>
      <c r="G83" s="24">
        <f>E83-F83</f>
        <v>-0.32000000000000028</v>
      </c>
      <c r="H83" s="21" t="s">
        <v>294</v>
      </c>
      <c r="I83" s="21">
        <v>0</v>
      </c>
      <c r="J83" s="21">
        <v>0</v>
      </c>
      <c r="K83" s="21">
        <v>6</v>
      </c>
      <c r="L83" s="21">
        <v>2</v>
      </c>
      <c r="M83" s="21">
        <v>6</v>
      </c>
      <c r="P83" s="24">
        <f>J83+L83+N83</f>
        <v>2</v>
      </c>
      <c r="Q83" s="24">
        <f>K83+M83+O83</f>
        <v>12</v>
      </c>
      <c r="R83" s="24">
        <f>P83/(P83+Q83)</f>
        <v>0.14285714285714285</v>
      </c>
      <c r="S83" s="21" t="s">
        <v>3</v>
      </c>
      <c r="U83" s="21" t="s">
        <v>287</v>
      </c>
      <c r="V83" s="21" t="s">
        <v>286</v>
      </c>
      <c r="W83" s="21">
        <v>16</v>
      </c>
      <c r="X83" s="21" t="s">
        <v>285</v>
      </c>
      <c r="Y83" s="21" t="s">
        <v>318</v>
      </c>
      <c r="Z83" s="21" t="s">
        <v>317</v>
      </c>
      <c r="AA83" s="21" t="s">
        <v>2</v>
      </c>
      <c r="AB83" s="21">
        <v>1</v>
      </c>
      <c r="AD83" s="24">
        <v>7.1</v>
      </c>
      <c r="AE83" s="24">
        <v>7.98</v>
      </c>
      <c r="AF83" s="21" t="s">
        <v>304</v>
      </c>
      <c r="AG83" s="21" t="s">
        <v>341</v>
      </c>
    </row>
    <row r="84" spans="1:33">
      <c r="A84" s="21" t="s">
        <v>147</v>
      </c>
      <c r="B84" s="21" t="s">
        <v>808</v>
      </c>
      <c r="C84" s="25">
        <v>46100.333333333336</v>
      </c>
      <c r="D84" s="21" t="s">
        <v>134</v>
      </c>
      <c r="E84" s="24">
        <v>4.87</v>
      </c>
      <c r="F84" s="24">
        <v>5.46</v>
      </c>
      <c r="G84" s="24">
        <f>E84-F84</f>
        <v>-0.58999999999999986</v>
      </c>
      <c r="H84" s="21" t="s">
        <v>294</v>
      </c>
      <c r="I84" s="21">
        <v>0</v>
      </c>
      <c r="J84" s="21">
        <v>4</v>
      </c>
      <c r="K84" s="21">
        <v>6</v>
      </c>
      <c r="L84" s="21">
        <v>4</v>
      </c>
      <c r="M84" s="21">
        <v>6</v>
      </c>
      <c r="P84" s="24">
        <f>J84+L84+N84</f>
        <v>8</v>
      </c>
      <c r="Q84" s="24">
        <f>K84+M84+O84</f>
        <v>12</v>
      </c>
      <c r="R84" s="24">
        <f>P84/(P84+Q84)</f>
        <v>0.4</v>
      </c>
      <c r="S84" s="21" t="s">
        <v>726</v>
      </c>
      <c r="U84" s="21" t="s">
        <v>287</v>
      </c>
      <c r="V84" s="21" t="s">
        <v>286</v>
      </c>
      <c r="W84" s="21">
        <v>0</v>
      </c>
      <c r="X84" s="21" t="s">
        <v>312</v>
      </c>
      <c r="Y84" s="21" t="s">
        <v>326</v>
      </c>
      <c r="Z84" s="21" t="s">
        <v>325</v>
      </c>
      <c r="AA84" s="21" t="s">
        <v>147</v>
      </c>
      <c r="AB84" s="21">
        <v>1</v>
      </c>
      <c r="AD84" s="24">
        <v>5.78</v>
      </c>
      <c r="AE84" s="24">
        <v>6.03</v>
      </c>
      <c r="AF84" s="21" t="s">
        <v>304</v>
      </c>
      <c r="AG84" s="21" t="s">
        <v>341</v>
      </c>
    </row>
    <row r="85" spans="1:33">
      <c r="A85" s="21" t="s">
        <v>147</v>
      </c>
      <c r="B85" s="21" t="s">
        <v>808</v>
      </c>
      <c r="C85" s="25">
        <v>46120.333333333336</v>
      </c>
      <c r="D85" s="21" t="s">
        <v>203</v>
      </c>
      <c r="E85" s="24">
        <v>4.87</v>
      </c>
      <c r="F85" s="24">
        <v>4.88</v>
      </c>
      <c r="G85" s="24">
        <f>E85-F85</f>
        <v>-9.9999999999997868E-3</v>
      </c>
      <c r="H85" s="21" t="s">
        <v>289</v>
      </c>
      <c r="I85" s="21">
        <v>1</v>
      </c>
      <c r="J85" s="21">
        <v>6</v>
      </c>
      <c r="K85" s="21">
        <v>4</v>
      </c>
      <c r="L85" s="21">
        <v>6</v>
      </c>
      <c r="M85" s="21">
        <v>0</v>
      </c>
      <c r="P85" s="24">
        <f>J85+L85+N85</f>
        <v>12</v>
      </c>
      <c r="Q85" s="24">
        <f>K85+M85+O85</f>
        <v>4</v>
      </c>
      <c r="R85" s="24">
        <f>P85/(P85+Q85)</f>
        <v>0.75</v>
      </c>
      <c r="S85" s="21" t="s">
        <v>393</v>
      </c>
      <c r="U85" s="21" t="s">
        <v>287</v>
      </c>
      <c r="V85" s="21" t="s">
        <v>286</v>
      </c>
      <c r="W85" s="21">
        <v>1</v>
      </c>
      <c r="X85" s="21" t="s">
        <v>323</v>
      </c>
      <c r="Y85" s="21" t="s">
        <v>326</v>
      </c>
      <c r="Z85" s="21" t="s">
        <v>325</v>
      </c>
      <c r="AA85" s="21" t="s">
        <v>147</v>
      </c>
      <c r="AB85" s="21">
        <v>1</v>
      </c>
      <c r="AD85" s="24">
        <v>5.78</v>
      </c>
      <c r="AE85" s="24">
        <v>5.96</v>
      </c>
      <c r="AF85" s="21" t="s">
        <v>304</v>
      </c>
      <c r="AG85" s="21" t="s">
        <v>341</v>
      </c>
    </row>
    <row r="86" spans="1:33">
      <c r="A86" s="21" t="s">
        <v>147</v>
      </c>
      <c r="B86" s="21" t="s">
        <v>808</v>
      </c>
      <c r="C86" s="25">
        <v>46121.645833333336</v>
      </c>
      <c r="D86" s="21" t="s">
        <v>121</v>
      </c>
      <c r="E86" s="24">
        <v>4.87</v>
      </c>
      <c r="F86" s="24">
        <v>6.09</v>
      </c>
      <c r="G86" s="24">
        <f>E86-F86</f>
        <v>-1.2199999999999998</v>
      </c>
      <c r="H86" s="21" t="s">
        <v>294</v>
      </c>
      <c r="I86" s="21">
        <v>0</v>
      </c>
      <c r="J86" s="21">
        <v>0</v>
      </c>
      <c r="K86" s="21">
        <v>6</v>
      </c>
      <c r="L86" s="21">
        <v>2</v>
      </c>
      <c r="M86" s="21">
        <v>6</v>
      </c>
      <c r="P86" s="24">
        <f>J86+L86+N86</f>
        <v>2</v>
      </c>
      <c r="Q86" s="24">
        <f>K86+M86+O86</f>
        <v>12</v>
      </c>
      <c r="R86" s="24">
        <f>P86/(P86+Q86)</f>
        <v>0.14285714285714285</v>
      </c>
      <c r="S86" s="21" t="s">
        <v>148</v>
      </c>
      <c r="U86" s="21" t="s">
        <v>287</v>
      </c>
      <c r="V86" s="21" t="s">
        <v>286</v>
      </c>
      <c r="W86" s="21">
        <v>2</v>
      </c>
      <c r="X86" s="21" t="s">
        <v>310</v>
      </c>
      <c r="Y86" s="21" t="s">
        <v>326</v>
      </c>
      <c r="Z86" s="21" t="s">
        <v>325</v>
      </c>
      <c r="AA86" s="21" t="s">
        <v>147</v>
      </c>
      <c r="AB86" s="21">
        <v>1</v>
      </c>
      <c r="AD86" s="24">
        <v>5.78</v>
      </c>
      <c r="AE86" s="24">
        <v>6.03</v>
      </c>
      <c r="AF86" s="21" t="s">
        <v>304</v>
      </c>
      <c r="AG86" s="21" t="s">
        <v>341</v>
      </c>
    </row>
    <row r="87" spans="1:33">
      <c r="A87" s="21" t="s">
        <v>147</v>
      </c>
      <c r="B87" s="21" t="s">
        <v>808</v>
      </c>
      <c r="C87" s="25">
        <v>46141.643055555556</v>
      </c>
      <c r="D87" s="21" t="s">
        <v>5</v>
      </c>
      <c r="E87" s="24">
        <v>4.87</v>
      </c>
      <c r="F87" s="24">
        <v>8.9600000000000009</v>
      </c>
      <c r="G87" s="24">
        <f>E87-F87</f>
        <v>-4.0900000000000007</v>
      </c>
      <c r="H87" s="21" t="s">
        <v>294</v>
      </c>
      <c r="I87" s="21">
        <v>0</v>
      </c>
      <c r="J87" s="21">
        <v>0</v>
      </c>
      <c r="K87" s="21">
        <v>6</v>
      </c>
      <c r="L87" s="21">
        <v>0</v>
      </c>
      <c r="M87" s="21">
        <v>6</v>
      </c>
      <c r="P87" s="24">
        <f>J87+L87+N87</f>
        <v>0</v>
      </c>
      <c r="Q87" s="24">
        <f>K87+M87+O87</f>
        <v>12</v>
      </c>
      <c r="R87" s="24">
        <f>P87/(P87+Q87)</f>
        <v>0</v>
      </c>
      <c r="U87" s="21" t="s">
        <v>668</v>
      </c>
      <c r="V87" s="21" t="s">
        <v>286</v>
      </c>
      <c r="W87" s="21">
        <v>3</v>
      </c>
      <c r="X87" s="21" t="s">
        <v>285</v>
      </c>
      <c r="Y87" s="21" t="s">
        <v>326</v>
      </c>
      <c r="Z87" s="21" t="s">
        <v>325</v>
      </c>
      <c r="AA87" s="21" t="s">
        <v>147</v>
      </c>
      <c r="AB87" s="21">
        <v>1</v>
      </c>
      <c r="AD87" s="24">
        <v>5.78</v>
      </c>
      <c r="AE87" s="24">
        <v>8.08</v>
      </c>
      <c r="AF87" s="21" t="s">
        <v>302</v>
      </c>
      <c r="AG87" s="21" t="s">
        <v>301</v>
      </c>
    </row>
    <row r="88" spans="1:33">
      <c r="A88" s="21" t="s">
        <v>124</v>
      </c>
      <c r="B88" s="21" t="s">
        <v>807</v>
      </c>
      <c r="C88" s="25">
        <v>46092.645833333336</v>
      </c>
      <c r="D88" s="21" t="s">
        <v>14</v>
      </c>
      <c r="E88" s="24">
        <v>4.4000000000000004</v>
      </c>
      <c r="F88" s="24">
        <v>6.63</v>
      </c>
      <c r="G88" s="24">
        <f>E88-F88</f>
        <v>-2.2299999999999995</v>
      </c>
      <c r="H88" s="21" t="s">
        <v>294</v>
      </c>
      <c r="I88" s="21">
        <v>0</v>
      </c>
      <c r="J88" s="21">
        <v>0</v>
      </c>
      <c r="K88" s="21">
        <v>6</v>
      </c>
      <c r="L88" s="21">
        <v>1</v>
      </c>
      <c r="M88" s="21">
        <v>6</v>
      </c>
      <c r="P88" s="24">
        <f>J88+L88+N88</f>
        <v>1</v>
      </c>
      <c r="Q88" s="24">
        <f>K88+M88+O88</f>
        <v>12</v>
      </c>
      <c r="R88" s="24">
        <f>P88/(P88+Q88)</f>
        <v>7.6923076923076927E-2</v>
      </c>
      <c r="S88" s="21" t="s">
        <v>477</v>
      </c>
      <c r="U88" s="21" t="s">
        <v>287</v>
      </c>
      <c r="V88" s="21" t="s">
        <v>286</v>
      </c>
      <c r="W88" s="21">
        <v>0</v>
      </c>
      <c r="X88" s="21" t="s">
        <v>312</v>
      </c>
      <c r="Y88" s="21" t="s">
        <v>326</v>
      </c>
      <c r="Z88" s="21" t="s">
        <v>325</v>
      </c>
      <c r="AA88" s="21" t="s">
        <v>124</v>
      </c>
      <c r="AB88" s="21">
        <v>1</v>
      </c>
      <c r="AD88" s="24">
        <v>6.17</v>
      </c>
      <c r="AE88" s="24">
        <v>8.06</v>
      </c>
      <c r="AF88" s="21" t="s">
        <v>302</v>
      </c>
      <c r="AG88" s="21" t="s">
        <v>301</v>
      </c>
    </row>
    <row r="89" spans="1:33">
      <c r="A89" s="21" t="s">
        <v>124</v>
      </c>
      <c r="B89" s="21" t="s">
        <v>807</v>
      </c>
      <c r="C89" s="25">
        <v>46100.645833333336</v>
      </c>
      <c r="D89" s="21" t="s">
        <v>155</v>
      </c>
      <c r="E89" s="24">
        <v>4.4000000000000004</v>
      </c>
      <c r="F89" s="24">
        <v>4.8499999999999996</v>
      </c>
      <c r="G89" s="24">
        <f>E89-F89</f>
        <v>-0.44999999999999929</v>
      </c>
      <c r="H89" s="21" t="s">
        <v>289</v>
      </c>
      <c r="I89" s="21">
        <v>1</v>
      </c>
      <c r="J89" s="21">
        <v>6</v>
      </c>
      <c r="K89" s="21">
        <v>0</v>
      </c>
      <c r="L89" s="21">
        <v>6</v>
      </c>
      <c r="M89" s="21">
        <v>3</v>
      </c>
      <c r="P89" s="24">
        <f>J89+L89+N89</f>
        <v>12</v>
      </c>
      <c r="Q89" s="24">
        <f>K89+M89+O89</f>
        <v>3</v>
      </c>
      <c r="R89" s="24">
        <f>P89/(P89+Q89)</f>
        <v>0.8</v>
      </c>
      <c r="S89" s="21" t="s">
        <v>801</v>
      </c>
      <c r="U89" s="21" t="s">
        <v>287</v>
      </c>
      <c r="V89" s="21" t="s">
        <v>286</v>
      </c>
      <c r="W89" s="21">
        <v>1</v>
      </c>
      <c r="X89" s="21" t="s">
        <v>323</v>
      </c>
      <c r="Y89" s="21" t="s">
        <v>326</v>
      </c>
      <c r="Z89" s="21" t="s">
        <v>325</v>
      </c>
      <c r="AA89" s="21" t="s">
        <v>124</v>
      </c>
      <c r="AB89" s="21">
        <v>1</v>
      </c>
      <c r="AD89" s="24">
        <v>6.17</v>
      </c>
      <c r="AE89" s="24">
        <v>4.8499999999999996</v>
      </c>
      <c r="AF89" s="21" t="s">
        <v>304</v>
      </c>
      <c r="AG89" s="21" t="s">
        <v>341</v>
      </c>
    </row>
    <row r="90" spans="1:33">
      <c r="A90" s="21" t="s">
        <v>124</v>
      </c>
      <c r="B90" s="21" t="s">
        <v>807</v>
      </c>
      <c r="C90" s="25">
        <v>46105.625</v>
      </c>
      <c r="D90" s="21" t="s">
        <v>309</v>
      </c>
      <c r="E90" s="24">
        <v>4.4000000000000004</v>
      </c>
      <c r="F90" s="24">
        <v>4.22</v>
      </c>
      <c r="G90" s="24">
        <f>E90-F90</f>
        <v>0.1800000000000006</v>
      </c>
      <c r="H90" s="21" t="s">
        <v>289</v>
      </c>
      <c r="I90" s="21">
        <v>1</v>
      </c>
      <c r="J90" s="21">
        <v>6</v>
      </c>
      <c r="K90" s="21">
        <v>1</v>
      </c>
      <c r="L90" s="21">
        <v>6</v>
      </c>
      <c r="M90" s="21">
        <v>4</v>
      </c>
      <c r="P90" s="24">
        <f>J90+L90+N90</f>
        <v>12</v>
      </c>
      <c r="Q90" s="24">
        <f>K90+M90+O90</f>
        <v>5</v>
      </c>
      <c r="R90" s="24">
        <f>P90/(P90+Q90)</f>
        <v>0.70588235294117652</v>
      </c>
      <c r="S90" s="21" t="s">
        <v>747</v>
      </c>
      <c r="U90" s="21" t="s">
        <v>287</v>
      </c>
      <c r="V90" s="21" t="s">
        <v>286</v>
      </c>
      <c r="W90" s="21">
        <v>2</v>
      </c>
      <c r="X90" s="21" t="s">
        <v>310</v>
      </c>
      <c r="Y90" s="21" t="s">
        <v>326</v>
      </c>
      <c r="Z90" s="21" t="s">
        <v>325</v>
      </c>
      <c r="AA90" s="21" t="s">
        <v>124</v>
      </c>
      <c r="AB90" s="21">
        <v>1</v>
      </c>
      <c r="AD90" s="24">
        <v>6.17</v>
      </c>
      <c r="AE90" s="24">
        <v>4.22</v>
      </c>
      <c r="AF90" s="21" t="s">
        <v>304</v>
      </c>
      <c r="AG90" s="21" t="s">
        <v>341</v>
      </c>
    </row>
    <row r="91" spans="1:33">
      <c r="A91" s="21" t="s">
        <v>124</v>
      </c>
      <c r="B91" s="21" t="s">
        <v>807</v>
      </c>
      <c r="C91" s="25">
        <v>46107.645833333336</v>
      </c>
      <c r="D91" s="21" t="s">
        <v>228</v>
      </c>
      <c r="E91" s="24">
        <v>4.4000000000000004</v>
      </c>
      <c r="F91" s="24">
        <v>9.11</v>
      </c>
      <c r="G91" s="24">
        <f>E91-F91</f>
        <v>-4.7099999999999991</v>
      </c>
      <c r="H91" s="21" t="s">
        <v>294</v>
      </c>
      <c r="I91" s="21">
        <v>0</v>
      </c>
      <c r="J91" s="21">
        <v>0</v>
      </c>
      <c r="K91" s="21">
        <v>6</v>
      </c>
      <c r="L91" s="21">
        <v>1</v>
      </c>
      <c r="M91" s="21">
        <v>6</v>
      </c>
      <c r="P91" s="24">
        <f>J91+L91+N91</f>
        <v>1</v>
      </c>
      <c r="Q91" s="24">
        <f>K91+M91+O91</f>
        <v>12</v>
      </c>
      <c r="R91" s="24">
        <f>P91/(P91+Q91)</f>
        <v>7.6923076923076927E-2</v>
      </c>
      <c r="S91" s="21" t="s">
        <v>743</v>
      </c>
      <c r="U91" s="21" t="s">
        <v>287</v>
      </c>
      <c r="V91" s="21" t="s">
        <v>286</v>
      </c>
      <c r="W91" s="21">
        <v>3</v>
      </c>
      <c r="X91" s="21" t="s">
        <v>285</v>
      </c>
      <c r="Y91" s="21" t="s">
        <v>326</v>
      </c>
      <c r="Z91" s="21" t="s">
        <v>325</v>
      </c>
      <c r="AA91" s="21" t="s">
        <v>124</v>
      </c>
      <c r="AB91" s="21">
        <v>1</v>
      </c>
      <c r="AD91" s="24">
        <v>6.17</v>
      </c>
      <c r="AE91" s="24">
        <v>8.76</v>
      </c>
      <c r="AF91" s="21" t="s">
        <v>304</v>
      </c>
      <c r="AG91" s="21" t="s">
        <v>303</v>
      </c>
    </row>
    <row r="92" spans="1:33">
      <c r="A92" s="21" t="s">
        <v>124</v>
      </c>
      <c r="B92" s="21" t="s">
        <v>807</v>
      </c>
      <c r="C92" s="25">
        <v>46111.645833333336</v>
      </c>
      <c r="D92" s="21" t="s">
        <v>61</v>
      </c>
      <c r="E92" s="24">
        <v>4.4000000000000004</v>
      </c>
      <c r="F92" s="24">
        <v>6.65</v>
      </c>
      <c r="G92" s="24">
        <f>E92-F92</f>
        <v>-2.25</v>
      </c>
      <c r="H92" s="21" t="s">
        <v>294</v>
      </c>
      <c r="I92" s="21">
        <v>0</v>
      </c>
      <c r="J92" s="21">
        <v>2</v>
      </c>
      <c r="K92" s="21">
        <v>6</v>
      </c>
      <c r="L92" s="21">
        <v>2</v>
      </c>
      <c r="M92" s="21">
        <v>6</v>
      </c>
      <c r="P92" s="24">
        <f>J92+L92+N92</f>
        <v>4</v>
      </c>
      <c r="Q92" s="24">
        <f>K92+M92+O92</f>
        <v>12</v>
      </c>
      <c r="R92" s="24">
        <f>P92/(P92+Q92)</f>
        <v>0.25</v>
      </c>
      <c r="S92" s="21" t="s">
        <v>188</v>
      </c>
      <c r="U92" s="21" t="s">
        <v>287</v>
      </c>
      <c r="V92" s="21" t="s">
        <v>286</v>
      </c>
      <c r="W92" s="21">
        <v>4</v>
      </c>
      <c r="X92" s="21" t="s">
        <v>285</v>
      </c>
      <c r="Y92" s="21" t="s">
        <v>326</v>
      </c>
      <c r="Z92" s="21" t="s">
        <v>325</v>
      </c>
      <c r="AA92" s="21" t="s">
        <v>124</v>
      </c>
      <c r="AB92" s="21">
        <v>1</v>
      </c>
      <c r="AD92" s="24">
        <v>6.17</v>
      </c>
      <c r="AE92" s="24">
        <v>6.95</v>
      </c>
      <c r="AF92" s="21" t="s">
        <v>304</v>
      </c>
      <c r="AG92" s="21" t="s">
        <v>303</v>
      </c>
    </row>
    <row r="93" spans="1:33">
      <c r="A93" s="21" t="s">
        <v>124</v>
      </c>
      <c r="B93" s="21" t="s">
        <v>807</v>
      </c>
      <c r="C93" s="25">
        <v>46121.645833333336</v>
      </c>
      <c r="D93" s="21" t="s">
        <v>65</v>
      </c>
      <c r="E93" s="24">
        <v>5.32</v>
      </c>
      <c r="F93" s="24">
        <v>7.14</v>
      </c>
      <c r="G93" s="24">
        <f>E93-F93</f>
        <v>-1.8199999999999994</v>
      </c>
      <c r="H93" s="21" t="s">
        <v>294</v>
      </c>
      <c r="I93" s="21">
        <v>0</v>
      </c>
      <c r="J93" s="21">
        <v>2</v>
      </c>
      <c r="K93" s="21">
        <v>6</v>
      </c>
      <c r="L93" s="21">
        <v>4</v>
      </c>
      <c r="M93" s="21">
        <v>6</v>
      </c>
      <c r="P93" s="24">
        <f>J93+L93+N93</f>
        <v>6</v>
      </c>
      <c r="Q93" s="24">
        <f>K93+M93+O93</f>
        <v>12</v>
      </c>
      <c r="R93" s="24">
        <f>P93/(P93+Q93)</f>
        <v>0.33333333333333331</v>
      </c>
      <c r="S93" s="21" t="s">
        <v>152</v>
      </c>
      <c r="U93" s="21" t="s">
        <v>287</v>
      </c>
      <c r="V93" s="21" t="s">
        <v>286</v>
      </c>
      <c r="W93" s="21">
        <v>5</v>
      </c>
      <c r="X93" s="21" t="s">
        <v>285</v>
      </c>
      <c r="Y93" s="21" t="s">
        <v>326</v>
      </c>
      <c r="Z93" s="21" t="s">
        <v>325</v>
      </c>
      <c r="AA93" s="21" t="s">
        <v>124</v>
      </c>
      <c r="AB93" s="21">
        <v>1</v>
      </c>
      <c r="AD93" s="24">
        <v>6.17</v>
      </c>
      <c r="AE93" s="24">
        <v>8.31</v>
      </c>
      <c r="AF93" s="21" t="s">
        <v>304</v>
      </c>
      <c r="AG93" s="21" t="s">
        <v>303</v>
      </c>
    </row>
    <row r="94" spans="1:33">
      <c r="A94" s="21" t="s">
        <v>124</v>
      </c>
      <c r="B94" s="21" t="s">
        <v>807</v>
      </c>
      <c r="C94" s="25">
        <v>46125.645833333336</v>
      </c>
      <c r="D94" s="21" t="s">
        <v>107</v>
      </c>
      <c r="E94" s="24">
        <v>5.32</v>
      </c>
      <c r="F94" s="24">
        <v>5.68</v>
      </c>
      <c r="G94" s="24">
        <f>E94-F94</f>
        <v>-0.35999999999999943</v>
      </c>
      <c r="H94" s="21" t="s">
        <v>294</v>
      </c>
      <c r="I94" s="21">
        <v>0</v>
      </c>
      <c r="J94" s="21">
        <v>6</v>
      </c>
      <c r="K94" s="21">
        <v>1</v>
      </c>
      <c r="L94" s="21">
        <v>6</v>
      </c>
      <c r="M94" s="21">
        <v>7</v>
      </c>
      <c r="N94" s="21">
        <v>6</v>
      </c>
      <c r="O94" s="21">
        <v>7</v>
      </c>
      <c r="P94" s="24">
        <f>J94+L94+N94</f>
        <v>18</v>
      </c>
      <c r="Q94" s="24">
        <f>K94+M94+O94</f>
        <v>15</v>
      </c>
      <c r="R94" s="24">
        <f>P94/(P94+Q94)</f>
        <v>0.54545454545454541</v>
      </c>
      <c r="S94" s="21" t="s">
        <v>125</v>
      </c>
      <c r="U94" s="21" t="s">
        <v>287</v>
      </c>
      <c r="V94" s="21" t="s">
        <v>286</v>
      </c>
      <c r="W94" s="21">
        <v>6</v>
      </c>
      <c r="X94" s="21" t="s">
        <v>285</v>
      </c>
      <c r="Y94" s="21" t="s">
        <v>326</v>
      </c>
      <c r="Z94" s="21" t="s">
        <v>325</v>
      </c>
      <c r="AA94" s="21" t="s">
        <v>124</v>
      </c>
      <c r="AB94" s="21">
        <v>1</v>
      </c>
      <c r="AD94" s="24">
        <v>6.17</v>
      </c>
      <c r="AE94" s="24">
        <v>6</v>
      </c>
      <c r="AF94" s="21" t="s">
        <v>304</v>
      </c>
      <c r="AG94" s="21" t="s">
        <v>303</v>
      </c>
    </row>
    <row r="95" spans="1:33">
      <c r="A95" s="21" t="s">
        <v>124</v>
      </c>
      <c r="B95" s="21" t="s">
        <v>807</v>
      </c>
      <c r="C95" s="25">
        <v>46131.779861111114</v>
      </c>
      <c r="D95" s="21" t="s">
        <v>14</v>
      </c>
      <c r="E95" s="24">
        <v>5.34</v>
      </c>
      <c r="F95" s="24">
        <v>6.78</v>
      </c>
      <c r="G95" s="24">
        <f>E95-F95</f>
        <v>-1.4400000000000004</v>
      </c>
      <c r="H95" s="21" t="s">
        <v>294</v>
      </c>
      <c r="I95" s="21">
        <v>0</v>
      </c>
      <c r="J95" s="21">
        <v>1</v>
      </c>
      <c r="K95" s="21">
        <v>6</v>
      </c>
      <c r="L95" s="21">
        <v>6</v>
      </c>
      <c r="M95" s="21">
        <v>3</v>
      </c>
      <c r="N95" s="21">
        <v>1</v>
      </c>
      <c r="O95" s="21">
        <v>6</v>
      </c>
      <c r="P95" s="24">
        <f>J95+L95+N95</f>
        <v>8</v>
      </c>
      <c r="Q95" s="24">
        <f>K95+M95+O95</f>
        <v>15</v>
      </c>
      <c r="R95" s="24">
        <f>P95/(P95+Q95)</f>
        <v>0.34782608695652173</v>
      </c>
      <c r="U95" s="21" t="s">
        <v>668</v>
      </c>
      <c r="V95" s="21" t="s">
        <v>286</v>
      </c>
      <c r="W95" s="21">
        <v>7</v>
      </c>
      <c r="X95" s="21" t="s">
        <v>285</v>
      </c>
      <c r="Y95" s="21" t="s">
        <v>326</v>
      </c>
      <c r="Z95" s="21" t="s">
        <v>325</v>
      </c>
      <c r="AA95" s="21" t="s">
        <v>124</v>
      </c>
      <c r="AB95" s="21">
        <v>1</v>
      </c>
      <c r="AD95" s="24">
        <v>6.17</v>
      </c>
      <c r="AE95" s="24">
        <v>8.06</v>
      </c>
      <c r="AF95" s="21" t="s">
        <v>304</v>
      </c>
      <c r="AG95" s="21" t="s">
        <v>341</v>
      </c>
    </row>
    <row r="96" spans="1:33">
      <c r="A96" s="21" t="s">
        <v>114</v>
      </c>
      <c r="B96" s="21" t="s">
        <v>380</v>
      </c>
      <c r="C96" s="25">
        <v>46094.645833333336</v>
      </c>
      <c r="D96" s="21" t="s">
        <v>2</v>
      </c>
      <c r="E96" s="24">
        <v>7.55</v>
      </c>
      <c r="F96" s="24">
        <v>7.78</v>
      </c>
      <c r="G96" s="24">
        <f>E96-F96</f>
        <v>-0.23000000000000043</v>
      </c>
      <c r="H96" s="21" t="s">
        <v>289</v>
      </c>
      <c r="I96" s="21">
        <v>1</v>
      </c>
      <c r="J96" s="21">
        <v>4</v>
      </c>
      <c r="K96" s="21">
        <v>6</v>
      </c>
      <c r="L96" s="21">
        <v>6</v>
      </c>
      <c r="M96" s="21">
        <v>4</v>
      </c>
      <c r="N96" s="21">
        <v>6</v>
      </c>
      <c r="O96" s="21">
        <v>4</v>
      </c>
      <c r="P96" s="24">
        <f>J96+L96+N96</f>
        <v>16</v>
      </c>
      <c r="Q96" s="24">
        <f>K96+M96+O96</f>
        <v>14</v>
      </c>
      <c r="R96" s="24">
        <f>P96/(P96+Q96)</f>
        <v>0.53333333333333333</v>
      </c>
      <c r="S96" s="21" t="s">
        <v>383</v>
      </c>
      <c r="U96" s="21" t="s">
        <v>287</v>
      </c>
      <c r="V96" s="21" t="s">
        <v>286</v>
      </c>
      <c r="W96" s="21">
        <v>0</v>
      </c>
      <c r="X96" s="21" t="s">
        <v>312</v>
      </c>
      <c r="Y96" s="21" t="s">
        <v>318</v>
      </c>
      <c r="Z96" s="21" t="s">
        <v>317</v>
      </c>
      <c r="AA96" s="21" t="s">
        <v>114</v>
      </c>
      <c r="AB96" s="21">
        <v>1</v>
      </c>
      <c r="AD96" s="24">
        <v>8.2799999999999994</v>
      </c>
      <c r="AE96" s="24">
        <v>7.1</v>
      </c>
      <c r="AF96" s="21" t="s">
        <v>304</v>
      </c>
      <c r="AG96" s="21" t="s">
        <v>303</v>
      </c>
    </row>
    <row r="97" spans="1:33">
      <c r="A97" s="21" t="s">
        <v>114</v>
      </c>
      <c r="B97" s="21" t="s">
        <v>380</v>
      </c>
      <c r="C97" s="25">
        <v>46099.645833333336</v>
      </c>
      <c r="D97" s="21" t="s">
        <v>165</v>
      </c>
      <c r="E97" s="24">
        <v>7.55</v>
      </c>
      <c r="F97" s="24">
        <v>5.54</v>
      </c>
      <c r="G97" s="24">
        <f>E97-F97</f>
        <v>2.0099999999999998</v>
      </c>
      <c r="H97" s="21" t="s">
        <v>289</v>
      </c>
      <c r="I97" s="21">
        <v>1</v>
      </c>
      <c r="J97" s="21">
        <v>6</v>
      </c>
      <c r="K97" s="21">
        <v>1</v>
      </c>
      <c r="L97" s="21">
        <v>6</v>
      </c>
      <c r="M97" s="21">
        <v>0</v>
      </c>
      <c r="P97" s="24">
        <f>J97+L97+N97</f>
        <v>12</v>
      </c>
      <c r="Q97" s="24">
        <f>K97+M97+O97</f>
        <v>1</v>
      </c>
      <c r="R97" s="24">
        <f>P97/(P97+Q97)</f>
        <v>0.92307692307692313</v>
      </c>
      <c r="S97" s="21" t="s">
        <v>347</v>
      </c>
      <c r="U97" s="21" t="s">
        <v>287</v>
      </c>
      <c r="V97" s="21" t="s">
        <v>286</v>
      </c>
      <c r="W97" s="21">
        <v>1</v>
      </c>
      <c r="X97" s="21" t="s">
        <v>323</v>
      </c>
      <c r="Y97" s="21" t="s">
        <v>318</v>
      </c>
      <c r="Z97" s="21" t="s">
        <v>317</v>
      </c>
      <c r="AA97" s="21" t="s">
        <v>114</v>
      </c>
      <c r="AB97" s="21">
        <v>1</v>
      </c>
      <c r="AD97" s="24">
        <v>8.2799999999999994</v>
      </c>
      <c r="AE97" s="24">
        <v>6.17</v>
      </c>
      <c r="AF97" s="21" t="s">
        <v>302</v>
      </c>
      <c r="AG97" s="21" t="s">
        <v>301</v>
      </c>
    </row>
    <row r="98" spans="1:33">
      <c r="A98" s="21" t="s">
        <v>114</v>
      </c>
      <c r="B98" s="21" t="s">
        <v>380</v>
      </c>
      <c r="C98" s="25">
        <v>46107.333333333336</v>
      </c>
      <c r="D98" s="21" t="s">
        <v>6</v>
      </c>
      <c r="E98" s="24">
        <v>7.68</v>
      </c>
      <c r="F98" s="24">
        <v>8.4600000000000009</v>
      </c>
      <c r="G98" s="24">
        <f>E98-F98</f>
        <v>-0.78000000000000114</v>
      </c>
      <c r="H98" s="21" t="s">
        <v>294</v>
      </c>
      <c r="I98" s="21">
        <v>0</v>
      </c>
      <c r="J98" s="21">
        <v>3</v>
      </c>
      <c r="K98" s="21">
        <v>6</v>
      </c>
      <c r="L98" s="21">
        <v>6</v>
      </c>
      <c r="M98" s="21">
        <v>3</v>
      </c>
      <c r="N98" s="21">
        <v>4</v>
      </c>
      <c r="O98" s="21">
        <v>6</v>
      </c>
      <c r="P98" s="24">
        <f>J98+L98+N98</f>
        <v>13</v>
      </c>
      <c r="Q98" s="24">
        <f>K98+M98+O98</f>
        <v>15</v>
      </c>
      <c r="R98" s="24">
        <f>P98/(P98+Q98)</f>
        <v>0.4642857142857143</v>
      </c>
      <c r="S98" s="21" t="s">
        <v>358</v>
      </c>
      <c r="U98" s="21" t="s">
        <v>287</v>
      </c>
      <c r="V98" s="21" t="s">
        <v>286</v>
      </c>
      <c r="W98" s="21">
        <v>2</v>
      </c>
      <c r="X98" s="21" t="s">
        <v>310</v>
      </c>
      <c r="Y98" s="21" t="s">
        <v>318</v>
      </c>
      <c r="Z98" s="21" t="s">
        <v>317</v>
      </c>
      <c r="AA98" s="21" t="s">
        <v>114</v>
      </c>
      <c r="AB98" s="21">
        <v>1</v>
      </c>
      <c r="AD98" s="24">
        <v>8.2799999999999994</v>
      </c>
      <c r="AE98" s="24">
        <v>8.9700000000000006</v>
      </c>
      <c r="AF98" s="21" t="s">
        <v>304</v>
      </c>
      <c r="AG98" s="21" t="s">
        <v>303</v>
      </c>
    </row>
    <row r="99" spans="1:33">
      <c r="A99" s="21" t="s">
        <v>114</v>
      </c>
      <c r="B99" s="21" t="s">
        <v>380</v>
      </c>
      <c r="C99" s="25">
        <v>46111.645833333336</v>
      </c>
      <c r="D99" s="21" t="s">
        <v>171</v>
      </c>
      <c r="E99" s="24">
        <v>7.68</v>
      </c>
      <c r="F99" s="24">
        <v>5.3</v>
      </c>
      <c r="G99" s="24">
        <f>E99-F99</f>
        <v>2.38</v>
      </c>
      <c r="H99" s="21" t="s">
        <v>289</v>
      </c>
      <c r="I99" s="21">
        <v>1</v>
      </c>
      <c r="J99" s="21">
        <v>6</v>
      </c>
      <c r="K99" s="21">
        <v>1</v>
      </c>
      <c r="L99" s="21">
        <v>6</v>
      </c>
      <c r="M99" s="21">
        <v>1</v>
      </c>
      <c r="P99" s="24">
        <f>J99+L99+N99</f>
        <v>12</v>
      </c>
      <c r="Q99" s="24">
        <f>K99+M99+O99</f>
        <v>2</v>
      </c>
      <c r="R99" s="24">
        <f>P99/(P99+Q99)</f>
        <v>0.8571428571428571</v>
      </c>
      <c r="S99" s="21" t="s">
        <v>331</v>
      </c>
      <c r="U99" s="21" t="s">
        <v>287</v>
      </c>
      <c r="V99" s="21" t="s">
        <v>286</v>
      </c>
      <c r="W99" s="21">
        <v>3</v>
      </c>
      <c r="X99" s="21" t="s">
        <v>285</v>
      </c>
      <c r="Y99" s="21" t="s">
        <v>318</v>
      </c>
      <c r="Z99" s="21" t="s">
        <v>317</v>
      </c>
      <c r="AA99" s="21" t="s">
        <v>114</v>
      </c>
      <c r="AB99" s="21">
        <v>1</v>
      </c>
      <c r="AD99" s="24">
        <v>8.2799999999999994</v>
      </c>
      <c r="AE99" s="24">
        <v>5.3</v>
      </c>
      <c r="AF99" s="21" t="s">
        <v>304</v>
      </c>
      <c r="AG99" s="21" t="s">
        <v>303</v>
      </c>
    </row>
    <row r="100" spans="1:33">
      <c r="A100" s="21" t="s">
        <v>114</v>
      </c>
      <c r="B100" s="21" t="s">
        <v>380</v>
      </c>
      <c r="C100" s="25">
        <v>46112.333333333336</v>
      </c>
      <c r="D100" s="21" t="s">
        <v>115</v>
      </c>
      <c r="E100" s="24">
        <v>7.69</v>
      </c>
      <c r="F100" s="24">
        <v>5.32</v>
      </c>
      <c r="G100" s="24">
        <f>E100-F100</f>
        <v>2.37</v>
      </c>
      <c r="H100" s="21" t="s">
        <v>289</v>
      </c>
      <c r="I100" s="21">
        <v>1</v>
      </c>
      <c r="J100" s="21">
        <v>6</v>
      </c>
      <c r="K100" s="21">
        <v>0</v>
      </c>
      <c r="L100" s="21">
        <v>6</v>
      </c>
      <c r="M100" s="21">
        <v>0</v>
      </c>
      <c r="P100" s="24">
        <f>J100+L100+N100</f>
        <v>12</v>
      </c>
      <c r="Q100" s="24">
        <f>K100+M100+O100</f>
        <v>0</v>
      </c>
      <c r="R100" s="24">
        <f>P100/(P100+Q100)</f>
        <v>1</v>
      </c>
      <c r="S100" s="21" t="s">
        <v>179</v>
      </c>
      <c r="U100" s="21" t="s">
        <v>287</v>
      </c>
      <c r="V100" s="21" t="s">
        <v>286</v>
      </c>
      <c r="W100" s="21">
        <v>4</v>
      </c>
      <c r="X100" s="21" t="s">
        <v>285</v>
      </c>
      <c r="Y100" s="21" t="s">
        <v>318</v>
      </c>
      <c r="Z100" s="21" t="s">
        <v>317</v>
      </c>
      <c r="AA100" s="21" t="s">
        <v>114</v>
      </c>
      <c r="AB100" s="21">
        <v>1</v>
      </c>
      <c r="AD100" s="24">
        <v>8.2799999999999994</v>
      </c>
      <c r="AE100" s="24">
        <v>5.52</v>
      </c>
      <c r="AF100" s="21" t="s">
        <v>302</v>
      </c>
      <c r="AG100" s="21" t="s">
        <v>301</v>
      </c>
    </row>
    <row r="101" spans="1:33">
      <c r="A101" s="21" t="s">
        <v>114</v>
      </c>
      <c r="B101" s="21" t="s">
        <v>380</v>
      </c>
      <c r="C101" s="25">
        <v>46119.645833333336</v>
      </c>
      <c r="D101" s="21" t="s">
        <v>525</v>
      </c>
      <c r="E101" s="24">
        <v>7.74</v>
      </c>
      <c r="F101" s="24">
        <v>3.5</v>
      </c>
      <c r="G101" s="24">
        <f>E101-F101</f>
        <v>4.24</v>
      </c>
      <c r="H101" s="21" t="s">
        <v>289</v>
      </c>
      <c r="I101" s="21">
        <v>1</v>
      </c>
      <c r="J101" s="21">
        <v>6</v>
      </c>
      <c r="K101" s="21">
        <v>0</v>
      </c>
      <c r="L101" s="21">
        <v>6</v>
      </c>
      <c r="M101" s="21">
        <v>0</v>
      </c>
      <c r="P101" s="24">
        <f>J101+L101+N101</f>
        <v>12</v>
      </c>
      <c r="Q101" s="24">
        <f>K101+M101+O101</f>
        <v>0</v>
      </c>
      <c r="R101" s="24">
        <f>P101/(P101+Q101)</f>
        <v>1</v>
      </c>
      <c r="S101" s="21" t="s">
        <v>158</v>
      </c>
      <c r="U101" s="21" t="s">
        <v>287</v>
      </c>
      <c r="V101" s="21" t="s">
        <v>286</v>
      </c>
      <c r="W101" s="21">
        <v>5</v>
      </c>
      <c r="X101" s="21" t="s">
        <v>285</v>
      </c>
      <c r="Y101" s="21" t="s">
        <v>318</v>
      </c>
      <c r="Z101" s="21" t="s">
        <v>317</v>
      </c>
      <c r="AA101" s="21" t="s">
        <v>114</v>
      </c>
      <c r="AB101" s="21">
        <v>1</v>
      </c>
      <c r="AD101" s="24">
        <v>8.2799999999999994</v>
      </c>
      <c r="AE101" s="24">
        <v>3.89</v>
      </c>
      <c r="AF101" s="21" t="s">
        <v>304</v>
      </c>
      <c r="AG101" s="21" t="s">
        <v>303</v>
      </c>
    </row>
    <row r="102" spans="1:33">
      <c r="A102" s="21" t="s">
        <v>114</v>
      </c>
      <c r="B102" s="21" t="s">
        <v>380</v>
      </c>
      <c r="C102" s="25">
        <v>46121.625</v>
      </c>
      <c r="D102" s="21" t="s">
        <v>349</v>
      </c>
      <c r="E102" s="24">
        <v>7.74</v>
      </c>
      <c r="F102" s="24">
        <v>4.22</v>
      </c>
      <c r="G102" s="24">
        <f>E102-F102</f>
        <v>3.5200000000000005</v>
      </c>
      <c r="H102" s="21" t="s">
        <v>289</v>
      </c>
      <c r="I102" s="21">
        <v>1</v>
      </c>
      <c r="J102" s="21">
        <v>6</v>
      </c>
      <c r="K102" s="21">
        <v>0</v>
      </c>
      <c r="L102" s="21">
        <v>6</v>
      </c>
      <c r="M102" s="21">
        <v>0</v>
      </c>
      <c r="P102" s="24">
        <f>J102+L102+N102</f>
        <v>12</v>
      </c>
      <c r="Q102" s="24">
        <f>K102+M102+O102</f>
        <v>0</v>
      </c>
      <c r="R102" s="24">
        <f>P102/(P102+Q102)</f>
        <v>1</v>
      </c>
      <c r="S102" s="21" t="s">
        <v>382</v>
      </c>
      <c r="U102" s="21" t="s">
        <v>287</v>
      </c>
      <c r="V102" s="21" t="s">
        <v>286</v>
      </c>
      <c r="W102" s="21">
        <v>6</v>
      </c>
      <c r="X102" s="21" t="s">
        <v>285</v>
      </c>
      <c r="Y102" s="21" t="s">
        <v>318</v>
      </c>
      <c r="Z102" s="21" t="s">
        <v>317</v>
      </c>
      <c r="AA102" s="21" t="s">
        <v>114</v>
      </c>
      <c r="AB102" s="21">
        <v>1</v>
      </c>
      <c r="AD102" s="24">
        <v>8.2799999999999994</v>
      </c>
      <c r="AE102" s="24">
        <v>4.22</v>
      </c>
      <c r="AF102" s="21" t="s">
        <v>304</v>
      </c>
      <c r="AG102" s="21" t="s">
        <v>303</v>
      </c>
    </row>
    <row r="103" spans="1:33">
      <c r="A103" s="21" t="s">
        <v>114</v>
      </c>
      <c r="B103" s="21" t="s">
        <v>380</v>
      </c>
      <c r="C103" s="25">
        <v>46122.645833333336</v>
      </c>
      <c r="D103" s="21" t="s">
        <v>84</v>
      </c>
      <c r="E103" s="24">
        <v>7.74</v>
      </c>
      <c r="F103" s="24">
        <v>6.45</v>
      </c>
      <c r="G103" s="24">
        <f>E103-F103</f>
        <v>1.29</v>
      </c>
      <c r="H103" s="21" t="s">
        <v>289</v>
      </c>
      <c r="I103" s="21">
        <v>1</v>
      </c>
      <c r="J103" s="21">
        <v>6</v>
      </c>
      <c r="K103" s="21">
        <v>3</v>
      </c>
      <c r="L103" s="21">
        <v>6</v>
      </c>
      <c r="M103" s="21">
        <v>3</v>
      </c>
      <c r="P103" s="24">
        <f>J103+L103+N103</f>
        <v>12</v>
      </c>
      <c r="Q103" s="24">
        <f>K103+M103+O103</f>
        <v>6</v>
      </c>
      <c r="R103" s="24">
        <f>P103/(P103+Q103)</f>
        <v>0.66666666666666663</v>
      </c>
      <c r="S103" s="21" t="s">
        <v>132</v>
      </c>
      <c r="U103" s="21" t="s">
        <v>287</v>
      </c>
      <c r="V103" s="21" t="s">
        <v>286</v>
      </c>
      <c r="W103" s="21">
        <v>7</v>
      </c>
      <c r="X103" s="21" t="s">
        <v>285</v>
      </c>
      <c r="Y103" s="21" t="s">
        <v>318</v>
      </c>
      <c r="Z103" s="21" t="s">
        <v>317</v>
      </c>
      <c r="AA103" s="21" t="s">
        <v>114</v>
      </c>
      <c r="AB103" s="21">
        <v>1</v>
      </c>
      <c r="AD103" s="24">
        <v>8.2799999999999994</v>
      </c>
      <c r="AE103" s="24">
        <v>6.97</v>
      </c>
      <c r="AF103" s="21" t="s">
        <v>304</v>
      </c>
      <c r="AG103" s="21" t="s">
        <v>303</v>
      </c>
    </row>
    <row r="104" spans="1:33">
      <c r="A104" s="21" t="s">
        <v>114</v>
      </c>
      <c r="B104" s="21" t="s">
        <v>380</v>
      </c>
      <c r="C104" s="25">
        <v>46126.645833333336</v>
      </c>
      <c r="D104" s="21" t="s">
        <v>18</v>
      </c>
      <c r="E104" s="24">
        <v>7.91</v>
      </c>
      <c r="F104" s="24">
        <v>8.1300000000000008</v>
      </c>
      <c r="G104" s="24">
        <f>E104-F104</f>
        <v>-0.22000000000000064</v>
      </c>
      <c r="H104" s="21" t="s">
        <v>294</v>
      </c>
      <c r="I104" s="21">
        <v>0</v>
      </c>
      <c r="J104" s="21">
        <v>6</v>
      </c>
      <c r="K104" s="21">
        <v>7</v>
      </c>
      <c r="L104" s="21">
        <v>4</v>
      </c>
      <c r="M104" s="21">
        <v>6</v>
      </c>
      <c r="P104" s="24">
        <f>J104+L104+N104</f>
        <v>10</v>
      </c>
      <c r="Q104" s="24">
        <f>K104+M104+O104</f>
        <v>13</v>
      </c>
      <c r="R104" s="24">
        <f>P104/(P104+Q104)</f>
        <v>0.43478260869565216</v>
      </c>
      <c r="S104" s="21" t="s">
        <v>105</v>
      </c>
      <c r="U104" s="21" t="s">
        <v>287</v>
      </c>
      <c r="V104" s="21" t="s">
        <v>286</v>
      </c>
      <c r="W104" s="21">
        <v>8</v>
      </c>
      <c r="X104" s="21" t="s">
        <v>285</v>
      </c>
      <c r="Y104" s="21" t="s">
        <v>318</v>
      </c>
      <c r="Z104" s="21" t="s">
        <v>317</v>
      </c>
      <c r="AA104" s="21" t="s">
        <v>114</v>
      </c>
      <c r="AB104" s="21">
        <v>1</v>
      </c>
      <c r="AD104" s="24">
        <v>8.2799999999999994</v>
      </c>
      <c r="AE104" s="24">
        <v>8.73</v>
      </c>
      <c r="AF104" s="21" t="s">
        <v>302</v>
      </c>
      <c r="AG104" s="21" t="s">
        <v>301</v>
      </c>
    </row>
    <row r="105" spans="1:33">
      <c r="A105" s="21" t="s">
        <v>114</v>
      </c>
      <c r="B105" s="21" t="s">
        <v>380</v>
      </c>
      <c r="C105" s="25">
        <v>46133.645833333336</v>
      </c>
      <c r="D105" s="21" t="s">
        <v>57</v>
      </c>
      <c r="E105" s="24">
        <v>7.94</v>
      </c>
      <c r="F105" s="24">
        <v>5.14</v>
      </c>
      <c r="G105" s="24">
        <f>E105-F105</f>
        <v>2.8000000000000007</v>
      </c>
      <c r="H105" s="21" t="s">
        <v>289</v>
      </c>
      <c r="I105" s="21">
        <v>1</v>
      </c>
      <c r="J105" s="21">
        <v>6</v>
      </c>
      <c r="K105" s="21">
        <v>1</v>
      </c>
      <c r="L105" s="21">
        <v>6</v>
      </c>
      <c r="M105" s="21">
        <v>3</v>
      </c>
      <c r="P105" s="24">
        <f>J105+L105+N105</f>
        <v>12</v>
      </c>
      <c r="Q105" s="24">
        <f>K105+M105+O105</f>
        <v>4</v>
      </c>
      <c r="R105" s="24">
        <f>P105/(P105+Q105)</f>
        <v>0.75</v>
      </c>
      <c r="S105" s="21" t="s">
        <v>299</v>
      </c>
      <c r="U105" s="21" t="s">
        <v>287</v>
      </c>
      <c r="V105" s="21" t="s">
        <v>286</v>
      </c>
      <c r="W105" s="21">
        <v>9</v>
      </c>
      <c r="X105" s="21" t="s">
        <v>285</v>
      </c>
      <c r="Y105" s="21" t="s">
        <v>318</v>
      </c>
      <c r="Z105" s="21" t="s">
        <v>317</v>
      </c>
      <c r="AA105" s="21" t="s">
        <v>114</v>
      </c>
      <c r="AB105" s="21">
        <v>1</v>
      </c>
      <c r="AD105" s="24">
        <v>8.2799999999999994</v>
      </c>
      <c r="AE105" s="24">
        <v>5.96</v>
      </c>
      <c r="AF105" s="21" t="s">
        <v>304</v>
      </c>
      <c r="AG105" s="21" t="s">
        <v>303</v>
      </c>
    </row>
    <row r="106" spans="1:33">
      <c r="A106" s="21" t="s">
        <v>114</v>
      </c>
      <c r="B106" s="21" t="s">
        <v>380</v>
      </c>
      <c r="C106" s="25">
        <v>46141.570833333331</v>
      </c>
      <c r="D106" s="21" t="s">
        <v>359</v>
      </c>
      <c r="E106" s="24">
        <v>7.92</v>
      </c>
      <c r="F106" s="24">
        <v>5.56</v>
      </c>
      <c r="G106" s="24">
        <f>E106-F106</f>
        <v>2.3600000000000003</v>
      </c>
      <c r="H106" s="21" t="s">
        <v>289</v>
      </c>
      <c r="I106" s="21">
        <v>1</v>
      </c>
      <c r="J106" s="21">
        <v>6</v>
      </c>
      <c r="K106" s="21">
        <v>0</v>
      </c>
      <c r="L106" s="21">
        <v>6</v>
      </c>
      <c r="M106" s="21">
        <v>1</v>
      </c>
      <c r="P106" s="24">
        <f>J106+L106+N106</f>
        <v>12</v>
      </c>
      <c r="Q106" s="24">
        <f>K106+M106+O106</f>
        <v>1</v>
      </c>
      <c r="R106" s="24">
        <f>P106/(P106+Q106)</f>
        <v>0.92307692307692313</v>
      </c>
      <c r="S106" s="21" t="s">
        <v>29</v>
      </c>
      <c r="T106" s="21" t="s">
        <v>298</v>
      </c>
      <c r="U106" s="21" t="s">
        <v>292</v>
      </c>
      <c r="V106" s="21" t="s">
        <v>286</v>
      </c>
      <c r="W106" s="21">
        <v>10</v>
      </c>
      <c r="X106" s="21" t="s">
        <v>285</v>
      </c>
      <c r="Y106" s="21" t="s">
        <v>318</v>
      </c>
      <c r="Z106" s="21" t="s">
        <v>317</v>
      </c>
      <c r="AA106" s="21" t="s">
        <v>114</v>
      </c>
      <c r="AB106" s="21">
        <v>1</v>
      </c>
      <c r="AD106" s="24">
        <v>8.2799999999999994</v>
      </c>
      <c r="AE106" s="24">
        <v>5.56</v>
      </c>
      <c r="AF106" s="21" t="s">
        <v>304</v>
      </c>
      <c r="AG106" s="21" t="s">
        <v>303</v>
      </c>
    </row>
    <row r="107" spans="1:33">
      <c r="A107" s="21" t="s">
        <v>114</v>
      </c>
      <c r="B107" s="21" t="s">
        <v>380</v>
      </c>
      <c r="C107" s="25">
        <v>46141.581250000003</v>
      </c>
      <c r="D107" s="21" t="s">
        <v>78</v>
      </c>
      <c r="E107" s="24">
        <v>7.92</v>
      </c>
      <c r="F107" s="24">
        <v>10.37</v>
      </c>
      <c r="G107" s="24">
        <f>E107-F107</f>
        <v>-2.4499999999999993</v>
      </c>
      <c r="H107" s="21" t="s">
        <v>294</v>
      </c>
      <c r="I107" s="21">
        <v>0</v>
      </c>
      <c r="J107" s="21">
        <v>3</v>
      </c>
      <c r="K107" s="21">
        <v>6</v>
      </c>
      <c r="L107" s="21">
        <v>3</v>
      </c>
      <c r="M107" s="21">
        <v>6</v>
      </c>
      <c r="P107" s="24">
        <f>J107+L107+N107</f>
        <v>6</v>
      </c>
      <c r="Q107" s="24">
        <f>K107+M107+O107</f>
        <v>12</v>
      </c>
      <c r="R107" s="24">
        <f>P107/(P107+Q107)</f>
        <v>0.33333333333333331</v>
      </c>
      <c r="S107" s="21" t="s">
        <v>29</v>
      </c>
      <c r="T107" s="21" t="s">
        <v>297</v>
      </c>
      <c r="U107" s="21" t="s">
        <v>292</v>
      </c>
      <c r="V107" s="21" t="s">
        <v>286</v>
      </c>
      <c r="W107" s="21">
        <v>11</v>
      </c>
      <c r="X107" s="21" t="s">
        <v>285</v>
      </c>
      <c r="Y107" s="21" t="s">
        <v>318</v>
      </c>
      <c r="Z107" s="21" t="s">
        <v>317</v>
      </c>
      <c r="AA107" s="21" t="s">
        <v>114</v>
      </c>
      <c r="AB107" s="21">
        <v>1</v>
      </c>
      <c r="AD107" s="24">
        <v>8.2799999999999994</v>
      </c>
      <c r="AE107" s="24">
        <v>9.77</v>
      </c>
      <c r="AF107" s="21" t="s">
        <v>302</v>
      </c>
      <c r="AG107" s="21" t="s">
        <v>301</v>
      </c>
    </row>
    <row r="108" spans="1:33">
      <c r="A108" s="21" t="s">
        <v>114</v>
      </c>
      <c r="B108" s="21" t="s">
        <v>380</v>
      </c>
      <c r="C108" s="25">
        <v>46142.666666666664</v>
      </c>
      <c r="D108" s="21" t="s">
        <v>5</v>
      </c>
      <c r="E108" s="24">
        <v>7.92</v>
      </c>
      <c r="F108" s="24">
        <v>8.9600000000000009</v>
      </c>
      <c r="G108" s="24">
        <f>E108-F108</f>
        <v>-1.0400000000000009</v>
      </c>
      <c r="H108" s="21" t="s">
        <v>289</v>
      </c>
      <c r="I108" s="21">
        <v>1</v>
      </c>
      <c r="J108" s="21">
        <v>6</v>
      </c>
      <c r="K108" s="21">
        <v>4</v>
      </c>
      <c r="L108" s="21">
        <v>6</v>
      </c>
      <c r="M108" s="21">
        <v>4</v>
      </c>
      <c r="P108" s="24">
        <f>J108+L108+N108</f>
        <v>12</v>
      </c>
      <c r="Q108" s="24">
        <f>K108+M108+O108</f>
        <v>8</v>
      </c>
      <c r="R108" s="24">
        <v>0.6</v>
      </c>
      <c r="S108" s="21" t="s">
        <v>24</v>
      </c>
      <c r="U108" s="21" t="s">
        <v>287</v>
      </c>
      <c r="V108" s="21" t="s">
        <v>286</v>
      </c>
      <c r="W108" s="21">
        <v>12</v>
      </c>
      <c r="X108" s="21" t="s">
        <v>285</v>
      </c>
      <c r="Y108" s="21" t="s">
        <v>318</v>
      </c>
      <c r="Z108" s="21" t="s">
        <v>317</v>
      </c>
      <c r="AA108" s="21" t="s">
        <v>114</v>
      </c>
      <c r="AB108" s="21">
        <v>1</v>
      </c>
      <c r="AD108" s="24">
        <v>8.2799999999999994</v>
      </c>
      <c r="AE108" s="24">
        <v>8.08</v>
      </c>
      <c r="AF108" s="21" t="s">
        <v>304</v>
      </c>
      <c r="AG108" s="21" t="s">
        <v>303</v>
      </c>
    </row>
    <row r="109" spans="1:33">
      <c r="A109" s="21" t="s">
        <v>67</v>
      </c>
      <c r="B109" s="21" t="s">
        <v>319</v>
      </c>
      <c r="C109" s="25">
        <v>46088</v>
      </c>
      <c r="D109" s="21" t="s">
        <v>550</v>
      </c>
      <c r="E109" s="24">
        <v>5.93</v>
      </c>
      <c r="F109" s="24">
        <v>10.43</v>
      </c>
      <c r="G109" s="24">
        <f>E109-F109</f>
        <v>-4.5</v>
      </c>
      <c r="H109" s="21" t="s">
        <v>294</v>
      </c>
      <c r="I109" s="21">
        <v>0</v>
      </c>
      <c r="J109" s="21">
        <v>0</v>
      </c>
      <c r="K109" s="21">
        <v>6</v>
      </c>
      <c r="L109" s="21">
        <v>1</v>
      </c>
      <c r="M109" s="21">
        <v>6</v>
      </c>
      <c r="P109" s="24">
        <f>J109+L109+N109</f>
        <v>1</v>
      </c>
      <c r="Q109" s="24">
        <f>K109+M109+O109</f>
        <v>12</v>
      </c>
      <c r="R109" s="24">
        <v>7.6923076923076927E-2</v>
      </c>
      <c r="S109" s="21" t="s">
        <v>716</v>
      </c>
      <c r="T109" s="21" t="s">
        <v>313</v>
      </c>
      <c r="U109" s="21" t="s">
        <v>292</v>
      </c>
      <c r="V109" s="21" t="s">
        <v>286</v>
      </c>
      <c r="W109" s="21">
        <v>0</v>
      </c>
      <c r="X109" s="21" t="s">
        <v>312</v>
      </c>
      <c r="Y109" s="21" t="s">
        <v>318</v>
      </c>
      <c r="Z109" s="21" t="s">
        <v>317</v>
      </c>
      <c r="AA109" s="21" t="s">
        <v>67</v>
      </c>
      <c r="AB109" s="21">
        <v>1</v>
      </c>
      <c r="AD109" s="24">
        <v>7.1</v>
      </c>
      <c r="AE109" s="24">
        <v>10.43</v>
      </c>
      <c r="AF109" s="21" t="s">
        <v>304</v>
      </c>
      <c r="AG109" s="21" t="s">
        <v>303</v>
      </c>
    </row>
    <row r="110" spans="1:33">
      <c r="A110" s="21" t="s">
        <v>67</v>
      </c>
      <c r="B110" s="21" t="s">
        <v>319</v>
      </c>
      <c r="C110" s="25">
        <v>46098.625</v>
      </c>
      <c r="D110" s="21" t="s">
        <v>121</v>
      </c>
      <c r="E110" s="24">
        <v>6.05</v>
      </c>
      <c r="F110" s="24">
        <v>6.37</v>
      </c>
      <c r="G110" s="24">
        <f>E110-F110</f>
        <v>-0.32000000000000028</v>
      </c>
      <c r="H110" s="21" t="s">
        <v>289</v>
      </c>
      <c r="I110" s="21">
        <v>1</v>
      </c>
      <c r="J110" s="21">
        <v>1</v>
      </c>
      <c r="K110" s="21">
        <v>6</v>
      </c>
      <c r="L110" s="21">
        <v>6</v>
      </c>
      <c r="M110" s="21">
        <v>2</v>
      </c>
      <c r="N110" s="21">
        <v>6</v>
      </c>
      <c r="O110" s="21">
        <v>4</v>
      </c>
      <c r="P110" s="24">
        <f>J110+L110+N110</f>
        <v>13</v>
      </c>
      <c r="Q110" s="24">
        <f>K110+M110+O110</f>
        <v>12</v>
      </c>
      <c r="R110" s="24">
        <v>0.52</v>
      </c>
      <c r="S110" s="21" t="s">
        <v>324</v>
      </c>
      <c r="U110" s="21" t="s">
        <v>287</v>
      </c>
      <c r="V110" s="21" t="s">
        <v>286</v>
      </c>
      <c r="W110" s="21">
        <v>1</v>
      </c>
      <c r="X110" s="21" t="s">
        <v>323</v>
      </c>
      <c r="Y110" s="21" t="s">
        <v>318</v>
      </c>
      <c r="Z110" s="21" t="s">
        <v>317</v>
      </c>
      <c r="AA110" s="21" t="s">
        <v>67</v>
      </c>
      <c r="AB110" s="21">
        <v>1</v>
      </c>
      <c r="AD110" s="24">
        <v>7.1</v>
      </c>
      <c r="AE110" s="24">
        <v>6.03</v>
      </c>
      <c r="AF110" s="21" t="s">
        <v>304</v>
      </c>
      <c r="AG110" s="21" t="s">
        <v>303</v>
      </c>
    </row>
    <row r="111" spans="1:33">
      <c r="A111" s="21" t="s">
        <v>67</v>
      </c>
      <c r="B111" s="21" t="s">
        <v>319</v>
      </c>
      <c r="C111" s="25">
        <v>46099.645833333336</v>
      </c>
      <c r="D111" s="21" t="s">
        <v>181</v>
      </c>
      <c r="E111" s="24">
        <v>6.05</v>
      </c>
      <c r="F111" s="24">
        <v>6</v>
      </c>
      <c r="G111" s="24">
        <f>E111-F111</f>
        <v>4.9999999999999822E-2</v>
      </c>
      <c r="H111" s="21" t="s">
        <v>294</v>
      </c>
      <c r="I111" s="21">
        <v>0</v>
      </c>
      <c r="J111" s="21">
        <v>1</v>
      </c>
      <c r="K111" s="21">
        <v>6</v>
      </c>
      <c r="L111" s="21">
        <v>1</v>
      </c>
      <c r="M111" s="21">
        <v>6</v>
      </c>
      <c r="P111" s="24">
        <f>J111+L111+N111</f>
        <v>2</v>
      </c>
      <c r="Q111" s="24">
        <f>K111+M111+O111</f>
        <v>12</v>
      </c>
      <c r="R111" s="24">
        <v>0.14285714285714285</v>
      </c>
      <c r="S111" s="21" t="s">
        <v>232</v>
      </c>
      <c r="U111" s="21" t="s">
        <v>287</v>
      </c>
      <c r="V111" s="21" t="s">
        <v>286</v>
      </c>
      <c r="W111" s="21">
        <v>2</v>
      </c>
      <c r="X111" s="21" t="s">
        <v>310</v>
      </c>
      <c r="Y111" s="21" t="s">
        <v>318</v>
      </c>
      <c r="Z111" s="21" t="s">
        <v>317</v>
      </c>
      <c r="AA111" s="21" t="s">
        <v>67</v>
      </c>
      <c r="AB111" s="21">
        <v>1</v>
      </c>
      <c r="AD111" s="24">
        <v>7.1</v>
      </c>
      <c r="AE111" s="24">
        <v>6.06</v>
      </c>
      <c r="AF111" s="21" t="s">
        <v>304</v>
      </c>
      <c r="AG111" s="21" t="s">
        <v>303</v>
      </c>
    </row>
    <row r="112" spans="1:33">
      <c r="A112" s="21" t="s">
        <v>67</v>
      </c>
      <c r="B112" s="21" t="s">
        <v>319</v>
      </c>
      <c r="C112" s="25">
        <v>46106.645833333336</v>
      </c>
      <c r="D112" s="21" t="s">
        <v>73</v>
      </c>
      <c r="E112" s="24">
        <v>5.95</v>
      </c>
      <c r="F112" s="24">
        <v>3.35</v>
      </c>
      <c r="G112" s="24">
        <f>E112-F112</f>
        <v>2.6</v>
      </c>
      <c r="H112" s="21" t="s">
        <v>289</v>
      </c>
      <c r="I112" s="21">
        <v>1</v>
      </c>
      <c r="J112" s="21">
        <v>6</v>
      </c>
      <c r="K112" s="21">
        <v>1</v>
      </c>
      <c r="L112" s="21">
        <v>6</v>
      </c>
      <c r="M112" s="21">
        <v>0</v>
      </c>
      <c r="P112" s="24">
        <f>J112+L112+N112</f>
        <v>12</v>
      </c>
      <c r="Q112" s="24">
        <f>K112+M112+O112</f>
        <v>1</v>
      </c>
      <c r="R112" s="24">
        <v>0.92307692307692313</v>
      </c>
      <c r="S112" s="21" t="s">
        <v>321</v>
      </c>
      <c r="U112" s="21" t="s">
        <v>287</v>
      </c>
      <c r="V112" s="21" t="s">
        <v>286</v>
      </c>
      <c r="W112" s="21">
        <v>3</v>
      </c>
      <c r="X112" s="21" t="s">
        <v>285</v>
      </c>
      <c r="Y112" s="21" t="s">
        <v>318</v>
      </c>
      <c r="Z112" s="21" t="s">
        <v>317</v>
      </c>
      <c r="AA112" s="21" t="s">
        <v>67</v>
      </c>
      <c r="AB112" s="21">
        <v>1</v>
      </c>
      <c r="AD112" s="24">
        <v>7.1</v>
      </c>
      <c r="AE112" s="24">
        <v>4.3499999999999996</v>
      </c>
      <c r="AF112" s="21" t="s">
        <v>304</v>
      </c>
      <c r="AG112" s="21" t="s">
        <v>303</v>
      </c>
    </row>
    <row r="113" spans="1:33">
      <c r="A113" s="21" t="s">
        <v>67</v>
      </c>
      <c r="B113" s="21" t="s">
        <v>319</v>
      </c>
      <c r="C113" s="25">
        <v>46111.645833333336</v>
      </c>
      <c r="D113" s="21" t="s">
        <v>5</v>
      </c>
      <c r="E113" s="24">
        <v>5.95</v>
      </c>
      <c r="F113" s="24">
        <v>8.93</v>
      </c>
      <c r="G113" s="24">
        <f>E113-F113</f>
        <v>-2.9799999999999995</v>
      </c>
      <c r="H113" s="21" t="s">
        <v>294</v>
      </c>
      <c r="I113" s="21">
        <v>0</v>
      </c>
      <c r="J113" s="21">
        <v>2</v>
      </c>
      <c r="K113" s="21">
        <v>6</v>
      </c>
      <c r="L113" s="21">
        <v>2</v>
      </c>
      <c r="M113" s="21">
        <v>6</v>
      </c>
      <c r="P113" s="24">
        <f>J113+L113+N113</f>
        <v>4</v>
      </c>
      <c r="Q113" s="24">
        <f>K113+M113+O113</f>
        <v>12</v>
      </c>
      <c r="R113" s="24">
        <v>0.25</v>
      </c>
      <c r="S113" s="21" t="s">
        <v>384</v>
      </c>
      <c r="U113" s="21" t="s">
        <v>287</v>
      </c>
      <c r="V113" s="21" t="s">
        <v>286</v>
      </c>
      <c r="W113" s="21">
        <v>4</v>
      </c>
      <c r="X113" s="21" t="s">
        <v>285</v>
      </c>
      <c r="Y113" s="21" t="s">
        <v>318</v>
      </c>
      <c r="Z113" s="21" t="s">
        <v>317</v>
      </c>
      <c r="AA113" s="21" t="s">
        <v>67</v>
      </c>
      <c r="AB113" s="21">
        <v>1</v>
      </c>
      <c r="AD113" s="24">
        <v>7.1</v>
      </c>
      <c r="AE113" s="24">
        <v>8.08</v>
      </c>
      <c r="AF113" s="21" t="s">
        <v>304</v>
      </c>
      <c r="AG113" s="21" t="s">
        <v>303</v>
      </c>
    </row>
    <row r="114" spans="1:33">
      <c r="A114" s="21" t="s">
        <v>67</v>
      </c>
      <c r="B114" s="21" t="s">
        <v>319</v>
      </c>
      <c r="C114" s="25">
        <v>46126.645833333336</v>
      </c>
      <c r="D114" s="21" t="s">
        <v>396</v>
      </c>
      <c r="E114" s="24">
        <v>5.76</v>
      </c>
      <c r="F114" s="24">
        <v>2.68</v>
      </c>
      <c r="G114" s="24">
        <f>E114-F114</f>
        <v>3.0799999999999996</v>
      </c>
      <c r="H114" s="21" t="s">
        <v>289</v>
      </c>
      <c r="I114" s="21">
        <v>1</v>
      </c>
      <c r="J114" s="21">
        <v>6</v>
      </c>
      <c r="K114" s="21">
        <v>1</v>
      </c>
      <c r="L114" s="21">
        <v>6</v>
      </c>
      <c r="M114" s="21">
        <v>1</v>
      </c>
      <c r="P114" s="24">
        <f>J114+L114+N114</f>
        <v>12</v>
      </c>
      <c r="Q114" s="24">
        <f>K114+M114+O114</f>
        <v>2</v>
      </c>
      <c r="R114" s="24">
        <v>0.8571428571428571</v>
      </c>
      <c r="S114" s="21" t="s">
        <v>320</v>
      </c>
      <c r="U114" s="21" t="s">
        <v>287</v>
      </c>
      <c r="V114" s="21" t="s">
        <v>286</v>
      </c>
      <c r="W114" s="21">
        <v>5</v>
      </c>
      <c r="X114" s="21" t="s">
        <v>285</v>
      </c>
      <c r="Y114" s="21" t="s">
        <v>318</v>
      </c>
      <c r="Z114" s="21" t="s">
        <v>317</v>
      </c>
      <c r="AA114" s="21" t="s">
        <v>67</v>
      </c>
      <c r="AB114" s="21">
        <v>1</v>
      </c>
      <c r="AD114" s="24">
        <v>7.1</v>
      </c>
      <c r="AE114" s="24">
        <v>3.59</v>
      </c>
      <c r="AF114" s="21" t="s">
        <v>304</v>
      </c>
      <c r="AG114" s="21" t="s">
        <v>303</v>
      </c>
    </row>
    <row r="115" spans="1:33">
      <c r="A115" s="21" t="s">
        <v>67</v>
      </c>
      <c r="B115" s="21" t="s">
        <v>319</v>
      </c>
      <c r="C115" s="25">
        <v>46128.458333333336</v>
      </c>
      <c r="D115" s="21" t="s">
        <v>5</v>
      </c>
      <c r="E115" s="24">
        <v>5.76</v>
      </c>
      <c r="F115" s="24">
        <v>8.9700000000000006</v>
      </c>
      <c r="G115" s="24">
        <f>E115-F115</f>
        <v>-3.2100000000000009</v>
      </c>
      <c r="H115" s="21" t="s">
        <v>294</v>
      </c>
      <c r="I115" s="21">
        <v>0</v>
      </c>
      <c r="J115" s="21">
        <v>3</v>
      </c>
      <c r="K115" s="21">
        <v>8</v>
      </c>
      <c r="P115" s="24">
        <f>J115+L115+N115</f>
        <v>3</v>
      </c>
      <c r="Q115" s="24">
        <f>K115+M115+O115</f>
        <v>8</v>
      </c>
      <c r="R115" s="24">
        <v>0.27272727272727271</v>
      </c>
      <c r="S115" s="21" t="s">
        <v>68</v>
      </c>
      <c r="T115" s="21" t="s">
        <v>297</v>
      </c>
      <c r="U115" s="21" t="s">
        <v>287</v>
      </c>
      <c r="V115" s="21" t="s">
        <v>286</v>
      </c>
      <c r="W115" s="21">
        <v>6</v>
      </c>
      <c r="X115" s="21" t="s">
        <v>285</v>
      </c>
      <c r="Y115" s="21" t="s">
        <v>318</v>
      </c>
      <c r="Z115" s="21" t="s">
        <v>317</v>
      </c>
      <c r="AA115" s="21" t="s">
        <v>67</v>
      </c>
      <c r="AB115" s="21">
        <v>1</v>
      </c>
      <c r="AD115" s="24">
        <v>7.1</v>
      </c>
      <c r="AE115" s="24">
        <v>8.08</v>
      </c>
      <c r="AF115" s="21" t="s">
        <v>302</v>
      </c>
      <c r="AG115" s="21" t="s">
        <v>301</v>
      </c>
    </row>
    <row r="116" spans="1:33">
      <c r="A116" s="21" t="s">
        <v>67</v>
      </c>
      <c r="B116" s="21" t="s">
        <v>319</v>
      </c>
      <c r="C116" s="25">
        <v>46133.666666666664</v>
      </c>
      <c r="D116" s="21" t="s">
        <v>33</v>
      </c>
      <c r="E116" s="24">
        <v>5.85</v>
      </c>
      <c r="F116" s="24">
        <v>5.53</v>
      </c>
      <c r="G116" s="24">
        <f>E116-F116</f>
        <v>0.3199999999999994</v>
      </c>
      <c r="H116" s="21" t="s">
        <v>289</v>
      </c>
      <c r="I116" s="21">
        <v>1</v>
      </c>
      <c r="J116" s="21">
        <v>6</v>
      </c>
      <c r="K116" s="21">
        <v>1</v>
      </c>
      <c r="L116" s="21">
        <v>2</v>
      </c>
      <c r="M116" s="21">
        <v>6</v>
      </c>
      <c r="N116" s="21">
        <v>7</v>
      </c>
      <c r="O116" s="21">
        <v>5</v>
      </c>
      <c r="P116" s="24">
        <f>J116+L116+N116</f>
        <v>15</v>
      </c>
      <c r="Q116" s="24">
        <f>K116+M116+O116</f>
        <v>12</v>
      </c>
      <c r="R116" s="24">
        <v>0.55555555555555558</v>
      </c>
      <c r="S116" s="21" t="s">
        <v>68</v>
      </c>
      <c r="U116" s="21" t="s">
        <v>287</v>
      </c>
      <c r="V116" s="21" t="s">
        <v>286</v>
      </c>
      <c r="W116" s="21">
        <v>7</v>
      </c>
      <c r="X116" s="21" t="s">
        <v>285</v>
      </c>
      <c r="Y116" s="21" t="s">
        <v>318</v>
      </c>
      <c r="Z116" s="21" t="s">
        <v>317</v>
      </c>
      <c r="AA116" s="21" t="s">
        <v>67</v>
      </c>
      <c r="AB116" s="21">
        <v>1</v>
      </c>
      <c r="AD116" s="24">
        <v>7.1</v>
      </c>
      <c r="AE116" s="24">
        <v>6.45</v>
      </c>
      <c r="AF116" s="21" t="s">
        <v>302</v>
      </c>
      <c r="AG116" s="21" t="s">
        <v>301</v>
      </c>
    </row>
    <row r="117" spans="1:33">
      <c r="A117" s="21" t="s">
        <v>67</v>
      </c>
      <c r="B117" s="21" t="s">
        <v>319</v>
      </c>
      <c r="C117" s="25">
        <v>46186</v>
      </c>
      <c r="D117" s="21" t="s">
        <v>806</v>
      </c>
      <c r="E117" s="24">
        <v>6.1</v>
      </c>
      <c r="F117" s="24">
        <v>7.01</v>
      </c>
      <c r="G117" s="24">
        <f>E117-F117</f>
        <v>-0.91000000000000014</v>
      </c>
      <c r="H117" s="21" t="s">
        <v>289</v>
      </c>
      <c r="I117" s="21">
        <v>1</v>
      </c>
      <c r="J117" s="21">
        <v>6</v>
      </c>
      <c r="K117" s="21">
        <v>4</v>
      </c>
      <c r="L117" s="21">
        <v>6</v>
      </c>
      <c r="M117" s="21">
        <v>3</v>
      </c>
      <c r="P117" s="24">
        <f>J117+L117+N117</f>
        <v>12</v>
      </c>
      <c r="Q117" s="24">
        <f>K117+M117+O117</f>
        <v>7</v>
      </c>
      <c r="R117" s="24">
        <v>0.63157894736842102</v>
      </c>
      <c r="S117" s="21" t="s">
        <v>709</v>
      </c>
      <c r="T117" s="21" t="s">
        <v>316</v>
      </c>
      <c r="U117" s="21" t="s">
        <v>292</v>
      </c>
      <c r="V117" s="21" t="s">
        <v>286</v>
      </c>
      <c r="W117" s="21">
        <v>8</v>
      </c>
      <c r="X117" s="21" t="s">
        <v>285</v>
      </c>
      <c r="Y117" s="21" t="s">
        <v>318</v>
      </c>
      <c r="Z117" s="21" t="s">
        <v>317</v>
      </c>
      <c r="AA117" s="21" t="s">
        <v>67</v>
      </c>
      <c r="AB117" s="21">
        <v>1</v>
      </c>
      <c r="AD117" s="24">
        <v>7.1</v>
      </c>
      <c r="AE117" s="24">
        <v>7.01</v>
      </c>
      <c r="AF117" s="21" t="s">
        <v>302</v>
      </c>
      <c r="AG117" s="21" t="s">
        <v>301</v>
      </c>
    </row>
    <row r="118" spans="1:33">
      <c r="A118" s="21" t="s">
        <v>67</v>
      </c>
      <c r="B118" s="21" t="s">
        <v>319</v>
      </c>
      <c r="C118" s="25">
        <v>46186</v>
      </c>
      <c r="D118" s="21" t="s">
        <v>805</v>
      </c>
      <c r="E118" s="24">
        <v>6.1</v>
      </c>
      <c r="F118" s="24">
        <v>1.84</v>
      </c>
      <c r="G118" s="24">
        <f>E118-F118</f>
        <v>4.26</v>
      </c>
      <c r="H118" s="21" t="s">
        <v>289</v>
      </c>
      <c r="I118" s="21">
        <v>1</v>
      </c>
      <c r="J118" s="21">
        <v>6</v>
      </c>
      <c r="K118" s="21">
        <v>1</v>
      </c>
      <c r="L118" s="21">
        <v>6</v>
      </c>
      <c r="M118" s="21">
        <v>0</v>
      </c>
      <c r="P118" s="24">
        <f>J118+L118+N118</f>
        <v>12</v>
      </c>
      <c r="Q118" s="24">
        <f>K118+M118+O118</f>
        <v>1</v>
      </c>
      <c r="R118" s="24">
        <v>0.92307692307692313</v>
      </c>
      <c r="S118" s="21" t="s">
        <v>709</v>
      </c>
      <c r="T118" s="21" t="s">
        <v>365</v>
      </c>
      <c r="U118" s="21" t="s">
        <v>292</v>
      </c>
      <c r="V118" s="21" t="s">
        <v>286</v>
      </c>
      <c r="W118" s="21">
        <v>8</v>
      </c>
      <c r="X118" s="21" t="s">
        <v>285</v>
      </c>
      <c r="Y118" s="21" t="s">
        <v>318</v>
      </c>
      <c r="Z118" s="21" t="s">
        <v>317</v>
      </c>
      <c r="AA118" s="21" t="s">
        <v>67</v>
      </c>
      <c r="AB118" s="21">
        <v>1</v>
      </c>
      <c r="AD118" s="24">
        <v>7.1</v>
      </c>
      <c r="AE118" s="24">
        <v>1.84</v>
      </c>
      <c r="AF118" s="21" t="s">
        <v>302</v>
      </c>
      <c r="AG118" s="21" t="s">
        <v>301</v>
      </c>
    </row>
    <row r="119" spans="1:33">
      <c r="A119" s="21" t="s">
        <v>67</v>
      </c>
      <c r="B119" s="21" t="s">
        <v>319</v>
      </c>
      <c r="C119" s="25">
        <v>46186</v>
      </c>
      <c r="D119" s="21" t="s">
        <v>804</v>
      </c>
      <c r="E119" s="24">
        <v>6.1</v>
      </c>
      <c r="F119" s="24">
        <v>5.58</v>
      </c>
      <c r="G119" s="24">
        <f>E119-F119</f>
        <v>0.51999999999999957</v>
      </c>
      <c r="H119" s="21" t="s">
        <v>289</v>
      </c>
      <c r="I119" s="21">
        <v>1</v>
      </c>
      <c r="J119" s="21">
        <v>2</v>
      </c>
      <c r="K119" s="21">
        <v>6</v>
      </c>
      <c r="L119" s="21">
        <v>6</v>
      </c>
      <c r="M119" s="21">
        <v>4</v>
      </c>
      <c r="N119" s="21">
        <v>1</v>
      </c>
      <c r="O119" s="21">
        <v>0</v>
      </c>
      <c r="P119" s="24">
        <f>J119+L119+N119</f>
        <v>9</v>
      </c>
      <c r="Q119" s="24">
        <f>K119+M119+O119</f>
        <v>10</v>
      </c>
      <c r="R119" s="24">
        <v>0.89393939393939392</v>
      </c>
      <c r="S119" s="21" t="s">
        <v>709</v>
      </c>
      <c r="T119" s="21" t="s">
        <v>313</v>
      </c>
      <c r="U119" s="21" t="s">
        <v>292</v>
      </c>
      <c r="V119" s="21" t="s">
        <v>286</v>
      </c>
      <c r="W119" s="21">
        <v>8</v>
      </c>
      <c r="X119" s="21" t="s">
        <v>285</v>
      </c>
      <c r="Y119" s="21" t="s">
        <v>318</v>
      </c>
      <c r="Z119" s="21" t="s">
        <v>317</v>
      </c>
      <c r="AA119" s="21" t="s">
        <v>67</v>
      </c>
      <c r="AB119" s="21">
        <v>1</v>
      </c>
      <c r="AD119" s="24">
        <v>7.1</v>
      </c>
      <c r="AE119" s="24">
        <v>5.58</v>
      </c>
      <c r="AF119" s="21" t="s">
        <v>535</v>
      </c>
      <c r="AG119" s="21" t="s">
        <v>301</v>
      </c>
    </row>
    <row r="120" spans="1:33">
      <c r="A120" s="21" t="s">
        <v>67</v>
      </c>
      <c r="B120" s="21" t="s">
        <v>319</v>
      </c>
      <c r="C120" s="25">
        <v>46186</v>
      </c>
      <c r="D120" s="21" t="s">
        <v>803</v>
      </c>
      <c r="E120" s="24">
        <v>6.1</v>
      </c>
      <c r="F120" s="24">
        <v>8.6199999999999992</v>
      </c>
      <c r="G120" s="24">
        <f>E120-F120</f>
        <v>-2.5199999999999996</v>
      </c>
      <c r="H120" s="21" t="s">
        <v>294</v>
      </c>
      <c r="I120" s="21">
        <v>0</v>
      </c>
      <c r="J120" s="21">
        <v>1</v>
      </c>
      <c r="K120" s="21">
        <v>6</v>
      </c>
      <c r="L120" s="21">
        <v>1</v>
      </c>
      <c r="M120" s="21">
        <v>6</v>
      </c>
      <c r="P120" s="24">
        <f>J120+L120+N120</f>
        <v>2</v>
      </c>
      <c r="Q120" s="24">
        <f>K120+M120+O120</f>
        <v>12</v>
      </c>
      <c r="R120" s="24">
        <v>0.14285714285714285</v>
      </c>
      <c r="S120" s="21" t="s">
        <v>709</v>
      </c>
      <c r="T120" s="21" t="s">
        <v>481</v>
      </c>
      <c r="U120" s="21" t="s">
        <v>292</v>
      </c>
      <c r="V120" s="21" t="s">
        <v>286</v>
      </c>
      <c r="W120" s="21">
        <v>8</v>
      </c>
      <c r="X120" s="21" t="s">
        <v>285</v>
      </c>
      <c r="Y120" s="21" t="s">
        <v>318</v>
      </c>
      <c r="Z120" s="21" t="s">
        <v>317</v>
      </c>
      <c r="AA120" s="21" t="s">
        <v>67</v>
      </c>
      <c r="AB120" s="21">
        <v>1</v>
      </c>
      <c r="AD120" s="24">
        <v>7.1</v>
      </c>
      <c r="AE120" s="24">
        <v>8.6199999999999992</v>
      </c>
      <c r="AF120" s="21" t="s">
        <v>535</v>
      </c>
      <c r="AG120" s="21" t="s">
        <v>301</v>
      </c>
    </row>
    <row r="121" spans="1:33">
      <c r="A121" s="21" t="s">
        <v>76</v>
      </c>
      <c r="B121" s="21" t="s">
        <v>660</v>
      </c>
      <c r="C121" s="25">
        <v>46092.645833333336</v>
      </c>
      <c r="D121" s="21" t="s">
        <v>504</v>
      </c>
      <c r="E121" s="24">
        <v>4.45</v>
      </c>
      <c r="F121" s="24">
        <v>3.6</v>
      </c>
      <c r="G121" s="24">
        <f>E121-F121</f>
        <v>0.85000000000000009</v>
      </c>
      <c r="H121" s="21" t="s">
        <v>289</v>
      </c>
      <c r="I121" s="21">
        <v>1</v>
      </c>
      <c r="J121" s="21">
        <v>6</v>
      </c>
      <c r="K121" s="21">
        <v>3</v>
      </c>
      <c r="L121" s="21">
        <v>6</v>
      </c>
      <c r="M121" s="21">
        <v>1</v>
      </c>
      <c r="P121" s="24">
        <f>J121+L121+N121</f>
        <v>12</v>
      </c>
      <c r="Q121" s="24">
        <f>K121+M121+O121</f>
        <v>4</v>
      </c>
      <c r="R121" s="24">
        <v>0.75</v>
      </c>
      <c r="S121" s="21" t="s">
        <v>508</v>
      </c>
      <c r="U121" s="21" t="s">
        <v>287</v>
      </c>
      <c r="V121" s="21" t="s">
        <v>286</v>
      </c>
      <c r="W121" s="21">
        <v>0</v>
      </c>
      <c r="X121" s="21" t="s">
        <v>312</v>
      </c>
      <c r="Y121" s="21" t="s">
        <v>326</v>
      </c>
      <c r="Z121" s="21" t="s">
        <v>325</v>
      </c>
      <c r="AA121" s="21" t="s">
        <v>76</v>
      </c>
      <c r="AB121" s="21">
        <v>1</v>
      </c>
      <c r="AD121" s="24">
        <v>4.45</v>
      </c>
      <c r="AE121" s="24">
        <v>3.58</v>
      </c>
      <c r="AF121" s="21" t="s">
        <v>535</v>
      </c>
      <c r="AG121" s="21" t="s">
        <v>301</v>
      </c>
    </row>
    <row r="122" spans="1:33">
      <c r="A122" s="21" t="s">
        <v>76</v>
      </c>
      <c r="B122" s="21" t="s">
        <v>660</v>
      </c>
      <c r="C122" s="25">
        <v>46094.645833333336</v>
      </c>
      <c r="D122" s="21" t="s">
        <v>37</v>
      </c>
      <c r="E122" s="24">
        <v>4.45</v>
      </c>
      <c r="F122" s="24">
        <v>9.93</v>
      </c>
      <c r="G122" s="24">
        <f>E122-F122</f>
        <v>-5.4799999999999995</v>
      </c>
      <c r="H122" s="21" t="s">
        <v>294</v>
      </c>
      <c r="I122" s="21">
        <v>0</v>
      </c>
      <c r="J122" s="21">
        <v>1</v>
      </c>
      <c r="K122" s="21">
        <v>6</v>
      </c>
      <c r="L122" s="21">
        <v>1</v>
      </c>
      <c r="M122" s="21">
        <v>6</v>
      </c>
      <c r="P122" s="24">
        <f>J122+L122+N122</f>
        <v>2</v>
      </c>
      <c r="Q122" s="24">
        <f>K122+M122+O122</f>
        <v>12</v>
      </c>
      <c r="R122" s="24">
        <v>0.14285714285714285</v>
      </c>
      <c r="S122" s="21" t="s">
        <v>446</v>
      </c>
      <c r="U122" s="21" t="s">
        <v>287</v>
      </c>
      <c r="V122" s="21" t="s">
        <v>286</v>
      </c>
      <c r="W122" s="21">
        <v>1</v>
      </c>
      <c r="X122" s="21" t="s">
        <v>323</v>
      </c>
      <c r="Y122" s="21" t="s">
        <v>326</v>
      </c>
      <c r="Z122" s="21" t="s">
        <v>325</v>
      </c>
      <c r="AA122" s="21" t="s">
        <v>76</v>
      </c>
      <c r="AB122" s="21">
        <v>1</v>
      </c>
      <c r="AD122" s="24">
        <v>4.45</v>
      </c>
      <c r="AE122" s="24">
        <v>10.06</v>
      </c>
      <c r="AF122" s="21" t="s">
        <v>535</v>
      </c>
      <c r="AG122" s="21" t="s">
        <v>301</v>
      </c>
    </row>
    <row r="123" spans="1:33">
      <c r="A123" s="21" t="s">
        <v>76</v>
      </c>
      <c r="B123" s="21" t="s">
        <v>660</v>
      </c>
      <c r="C123" s="25">
        <v>46105</v>
      </c>
      <c r="D123" s="21" t="s">
        <v>140</v>
      </c>
      <c r="E123" s="24">
        <v>4.45</v>
      </c>
      <c r="F123" s="24">
        <v>6.07</v>
      </c>
      <c r="G123" s="24">
        <f>E123-F123</f>
        <v>-1.62</v>
      </c>
      <c r="H123" s="21" t="s">
        <v>294</v>
      </c>
      <c r="I123" s="21">
        <v>0</v>
      </c>
      <c r="J123" s="21">
        <v>0</v>
      </c>
      <c r="K123" s="21">
        <v>6</v>
      </c>
      <c r="L123" s="21">
        <v>1</v>
      </c>
      <c r="M123" s="21">
        <v>6</v>
      </c>
      <c r="P123" s="24">
        <f>J123+L123+N123</f>
        <v>1</v>
      </c>
      <c r="Q123" s="24">
        <f>K123+M123+O123</f>
        <v>12</v>
      </c>
      <c r="R123" s="24">
        <v>7.6923076923076927E-2</v>
      </c>
      <c r="S123" s="21" t="s">
        <v>662</v>
      </c>
      <c r="U123" s="21" t="s">
        <v>287</v>
      </c>
      <c r="V123" s="21" t="s">
        <v>286</v>
      </c>
      <c r="W123" s="21">
        <v>2</v>
      </c>
      <c r="X123" s="21" t="s">
        <v>310</v>
      </c>
      <c r="Y123" s="21" t="s">
        <v>326</v>
      </c>
      <c r="Z123" s="21" t="s">
        <v>325</v>
      </c>
      <c r="AA123" s="21" t="s">
        <v>76</v>
      </c>
      <c r="AB123" s="21">
        <v>1</v>
      </c>
      <c r="AD123" s="24">
        <v>4.45</v>
      </c>
      <c r="AE123" s="24">
        <v>5.68</v>
      </c>
      <c r="AF123" s="21" t="s">
        <v>322</v>
      </c>
      <c r="AG123" s="21" t="s">
        <v>301</v>
      </c>
    </row>
    <row r="124" spans="1:33">
      <c r="A124" s="21" t="s">
        <v>76</v>
      </c>
      <c r="B124" s="21" t="s">
        <v>660</v>
      </c>
      <c r="C124" s="25">
        <v>46108.333333333336</v>
      </c>
      <c r="D124" s="21" t="s">
        <v>42</v>
      </c>
      <c r="E124" s="24">
        <v>4.45</v>
      </c>
      <c r="F124" s="24">
        <v>7.96</v>
      </c>
      <c r="G124" s="24">
        <f>E124-F124</f>
        <v>-3.51</v>
      </c>
      <c r="H124" s="21" t="s">
        <v>294</v>
      </c>
      <c r="I124" s="21">
        <v>0</v>
      </c>
      <c r="J124" s="21">
        <v>0</v>
      </c>
      <c r="K124" s="21">
        <v>6</v>
      </c>
      <c r="L124" s="21">
        <v>0</v>
      </c>
      <c r="M124" s="21">
        <v>6</v>
      </c>
      <c r="P124" s="24">
        <f>J124+L124+N124</f>
        <v>0</v>
      </c>
      <c r="Q124" s="24">
        <f>K124+M124+O124</f>
        <v>12</v>
      </c>
      <c r="R124" s="24">
        <v>0</v>
      </c>
      <c r="S124" s="21" t="s">
        <v>395</v>
      </c>
      <c r="U124" s="21" t="s">
        <v>287</v>
      </c>
      <c r="V124" s="21" t="s">
        <v>286</v>
      </c>
      <c r="W124" s="21">
        <v>3</v>
      </c>
      <c r="X124" s="21" t="s">
        <v>285</v>
      </c>
      <c r="Y124" s="21" t="s">
        <v>326</v>
      </c>
      <c r="Z124" s="21" t="s">
        <v>325</v>
      </c>
      <c r="AA124" s="21" t="s">
        <v>76</v>
      </c>
      <c r="AB124" s="21">
        <v>1</v>
      </c>
      <c r="AD124" s="24">
        <v>4.45</v>
      </c>
      <c r="AE124" s="24">
        <v>8.3699999999999992</v>
      </c>
      <c r="AF124" s="21" t="s">
        <v>535</v>
      </c>
      <c r="AG124" s="21" t="s">
        <v>301</v>
      </c>
    </row>
    <row r="125" spans="1:33">
      <c r="A125" s="21" t="s">
        <v>76</v>
      </c>
      <c r="B125" s="21" t="s">
        <v>660</v>
      </c>
      <c r="C125" s="25">
        <v>46118.604166666664</v>
      </c>
      <c r="D125" s="21" t="s">
        <v>503</v>
      </c>
      <c r="E125" s="24">
        <v>4.45</v>
      </c>
      <c r="F125" s="24">
        <v>6.94</v>
      </c>
      <c r="G125" s="24">
        <f>E125-F125</f>
        <v>-2.4900000000000002</v>
      </c>
      <c r="H125" s="21" t="s">
        <v>294</v>
      </c>
      <c r="I125" s="21">
        <v>0</v>
      </c>
      <c r="J125" s="21">
        <v>1</v>
      </c>
      <c r="K125" s="21">
        <v>6</v>
      </c>
      <c r="L125" s="21">
        <v>0</v>
      </c>
      <c r="M125" s="21">
        <v>6</v>
      </c>
      <c r="P125" s="24">
        <f>J125+L125+N125</f>
        <v>1</v>
      </c>
      <c r="Q125" s="24">
        <f>K125+M125+O125</f>
        <v>12</v>
      </c>
      <c r="R125" s="24">
        <v>7.6923076923076927E-2</v>
      </c>
      <c r="S125" s="21" t="s">
        <v>661</v>
      </c>
      <c r="U125" s="21" t="s">
        <v>287</v>
      </c>
      <c r="V125" s="21" t="s">
        <v>286</v>
      </c>
      <c r="W125" s="21">
        <v>4</v>
      </c>
      <c r="X125" s="21" t="s">
        <v>285</v>
      </c>
      <c r="Y125" s="21" t="s">
        <v>326</v>
      </c>
      <c r="Z125" s="21" t="s">
        <v>325</v>
      </c>
      <c r="AA125" s="21" t="s">
        <v>76</v>
      </c>
      <c r="AB125" s="21">
        <v>1</v>
      </c>
      <c r="AD125" s="24">
        <v>4.45</v>
      </c>
      <c r="AE125" s="24">
        <v>6.94</v>
      </c>
      <c r="AF125" s="21" t="s">
        <v>304</v>
      </c>
      <c r="AG125" s="21" t="s">
        <v>303</v>
      </c>
    </row>
    <row r="126" spans="1:33">
      <c r="A126" s="21" t="s">
        <v>76</v>
      </c>
      <c r="B126" s="21" t="s">
        <v>660</v>
      </c>
      <c r="C126" s="25">
        <v>46126.645833333336</v>
      </c>
      <c r="D126" s="21" t="s">
        <v>70</v>
      </c>
      <c r="E126" s="24">
        <v>4.45</v>
      </c>
      <c r="F126" s="24">
        <v>7.81</v>
      </c>
      <c r="G126" s="24">
        <f>E126-F126</f>
        <v>-3.3599999999999994</v>
      </c>
      <c r="H126" s="21" t="s">
        <v>294</v>
      </c>
      <c r="I126" s="21">
        <v>0</v>
      </c>
      <c r="J126" s="21">
        <v>1</v>
      </c>
      <c r="K126" s="21">
        <v>6</v>
      </c>
      <c r="L126" s="21">
        <v>0</v>
      </c>
      <c r="M126" s="21">
        <v>6</v>
      </c>
      <c r="P126" s="24">
        <f>J126+L126+N126</f>
        <v>1</v>
      </c>
      <c r="Q126" s="24">
        <f>K126+M126+O126</f>
        <v>12</v>
      </c>
      <c r="R126" s="24">
        <v>7.6923076923076927E-2</v>
      </c>
      <c r="S126" s="21" t="s">
        <v>320</v>
      </c>
      <c r="U126" s="21" t="s">
        <v>287</v>
      </c>
      <c r="V126" s="21" t="s">
        <v>286</v>
      </c>
      <c r="W126" s="21">
        <v>5</v>
      </c>
      <c r="X126" s="21" t="s">
        <v>285</v>
      </c>
      <c r="Y126" s="21" t="s">
        <v>326</v>
      </c>
      <c r="Z126" s="21" t="s">
        <v>325</v>
      </c>
      <c r="AA126" s="21" t="s">
        <v>76</v>
      </c>
      <c r="AB126" s="21">
        <v>1</v>
      </c>
      <c r="AD126" s="24">
        <v>4.45</v>
      </c>
      <c r="AE126" s="24">
        <v>7.26</v>
      </c>
      <c r="AF126" s="21" t="s">
        <v>322</v>
      </c>
      <c r="AG126" s="21" t="s">
        <v>301</v>
      </c>
    </row>
    <row r="127" spans="1:33">
      <c r="A127" s="21" t="s">
        <v>76</v>
      </c>
      <c r="B127" s="21" t="s">
        <v>660</v>
      </c>
      <c r="C127" s="25">
        <v>46133.645833333336</v>
      </c>
      <c r="D127" s="21" t="s">
        <v>54</v>
      </c>
      <c r="E127" s="24">
        <v>4.9400000000000004</v>
      </c>
      <c r="F127" s="24">
        <v>4.78</v>
      </c>
      <c r="G127" s="24">
        <f>E127-F127</f>
        <v>0.16000000000000014</v>
      </c>
      <c r="H127" s="21" t="s">
        <v>294</v>
      </c>
      <c r="I127" s="21">
        <v>0</v>
      </c>
      <c r="J127" s="21">
        <v>7</v>
      </c>
      <c r="K127" s="21">
        <v>6</v>
      </c>
      <c r="L127" s="21">
        <v>2</v>
      </c>
      <c r="M127" s="21">
        <v>6</v>
      </c>
      <c r="N127" s="21">
        <v>1</v>
      </c>
      <c r="O127" s="21">
        <v>6</v>
      </c>
      <c r="P127" s="24">
        <f>J127+L127+N127</f>
        <v>10</v>
      </c>
      <c r="Q127" s="24">
        <f>K127+M127+O127</f>
        <v>18</v>
      </c>
      <c r="R127" s="24">
        <v>0.5161290322580645</v>
      </c>
      <c r="S127" s="21" t="s">
        <v>74</v>
      </c>
      <c r="U127" s="21" t="s">
        <v>287</v>
      </c>
      <c r="V127" s="21" t="s">
        <v>286</v>
      </c>
      <c r="W127" s="21">
        <v>6</v>
      </c>
      <c r="X127" s="21" t="s">
        <v>285</v>
      </c>
      <c r="Y127" s="21" t="s">
        <v>326</v>
      </c>
      <c r="Z127" s="21" t="s">
        <v>325</v>
      </c>
      <c r="AA127" s="21" t="s">
        <v>76</v>
      </c>
      <c r="AB127" s="21">
        <v>1</v>
      </c>
      <c r="AD127" s="24">
        <v>4.45</v>
      </c>
      <c r="AE127" s="24">
        <v>4.8600000000000003</v>
      </c>
      <c r="AF127" s="21" t="s">
        <v>535</v>
      </c>
      <c r="AG127" s="21" t="s">
        <v>301</v>
      </c>
    </row>
    <row r="128" spans="1:33">
      <c r="A128" s="21" t="s">
        <v>163</v>
      </c>
      <c r="B128" s="21" t="s">
        <v>802</v>
      </c>
      <c r="C128" s="25">
        <v>46098.645833333336</v>
      </c>
      <c r="D128" s="21" t="s">
        <v>145</v>
      </c>
      <c r="E128" s="24">
        <v>4.5</v>
      </c>
      <c r="F128" s="24">
        <v>8.61</v>
      </c>
      <c r="G128" s="24">
        <f>E128-F128</f>
        <v>-4.1099999999999994</v>
      </c>
      <c r="H128" s="21" t="s">
        <v>294</v>
      </c>
      <c r="I128" s="21">
        <v>0</v>
      </c>
      <c r="J128" s="21">
        <v>1</v>
      </c>
      <c r="K128" s="21">
        <v>6</v>
      </c>
      <c r="L128" s="21">
        <v>0</v>
      </c>
      <c r="M128" s="21">
        <v>6</v>
      </c>
      <c r="P128" s="24">
        <f>J128+L128+N128</f>
        <v>1</v>
      </c>
      <c r="Q128" s="24">
        <f>K128+M128+O128</f>
        <v>12</v>
      </c>
      <c r="R128" s="24">
        <v>7.6923076923076927E-2</v>
      </c>
      <c r="S128" s="21" t="s">
        <v>408</v>
      </c>
      <c r="U128" s="21" t="s">
        <v>287</v>
      </c>
      <c r="V128" s="21" t="s">
        <v>286</v>
      </c>
      <c r="W128" s="21">
        <v>0</v>
      </c>
      <c r="X128" s="21" t="s">
        <v>312</v>
      </c>
      <c r="Y128" s="21" t="s">
        <v>603</v>
      </c>
      <c r="Z128" s="21" t="s">
        <v>602</v>
      </c>
      <c r="AA128" s="21" t="s">
        <v>163</v>
      </c>
      <c r="AB128" s="21">
        <v>1</v>
      </c>
      <c r="AD128" s="24">
        <v>4.5</v>
      </c>
      <c r="AE128" s="24">
        <v>8.61</v>
      </c>
      <c r="AF128" s="21" t="s">
        <v>535</v>
      </c>
      <c r="AG128" s="21" t="s">
        <v>301</v>
      </c>
    </row>
    <row r="129" spans="1:33">
      <c r="A129" s="21" t="s">
        <v>163</v>
      </c>
      <c r="B129" s="21" t="s">
        <v>802</v>
      </c>
      <c r="C129" s="25">
        <v>46107.645833333336</v>
      </c>
      <c r="D129" s="21" t="s">
        <v>42</v>
      </c>
      <c r="E129" s="24">
        <v>4.5</v>
      </c>
      <c r="F129" s="24">
        <v>8.43</v>
      </c>
      <c r="G129" s="24">
        <f>E129-F129</f>
        <v>-3.9299999999999997</v>
      </c>
      <c r="H129" s="21" t="s">
        <v>294</v>
      </c>
      <c r="I129" s="21">
        <v>0</v>
      </c>
      <c r="J129" s="21">
        <v>0</v>
      </c>
      <c r="K129" s="21">
        <v>6</v>
      </c>
      <c r="L129" s="21">
        <v>2</v>
      </c>
      <c r="M129" s="21">
        <v>6</v>
      </c>
      <c r="P129" s="24">
        <f>J129+L129+N129</f>
        <v>2</v>
      </c>
      <c r="Q129" s="24">
        <f>K129+M129+O129</f>
        <v>12</v>
      </c>
      <c r="R129" s="24">
        <v>0.14285714285714285</v>
      </c>
      <c r="S129" s="21" t="s">
        <v>397</v>
      </c>
      <c r="U129" s="21" t="s">
        <v>287</v>
      </c>
      <c r="V129" s="21" t="s">
        <v>286</v>
      </c>
      <c r="W129" s="21">
        <v>1</v>
      </c>
      <c r="X129" s="21" t="s">
        <v>323</v>
      </c>
      <c r="Y129" s="21" t="s">
        <v>603</v>
      </c>
      <c r="Z129" s="21" t="s">
        <v>602</v>
      </c>
      <c r="AA129" s="21" t="s">
        <v>163</v>
      </c>
      <c r="AB129" s="21">
        <v>1</v>
      </c>
      <c r="AD129" s="24">
        <v>4.5</v>
      </c>
      <c r="AE129" s="24">
        <v>8.43</v>
      </c>
      <c r="AF129" s="21" t="s">
        <v>535</v>
      </c>
      <c r="AG129" s="21" t="s">
        <v>301</v>
      </c>
    </row>
    <row r="130" spans="1:33">
      <c r="A130" s="21" t="s">
        <v>163</v>
      </c>
      <c r="B130" s="21" t="s">
        <v>802</v>
      </c>
      <c r="C130" s="25">
        <v>46111</v>
      </c>
      <c r="D130" s="21" t="s">
        <v>134</v>
      </c>
      <c r="E130" s="24">
        <v>4.5</v>
      </c>
      <c r="F130" s="24">
        <v>5.91</v>
      </c>
      <c r="G130" s="24">
        <f>E130-F130</f>
        <v>-1.4100000000000001</v>
      </c>
      <c r="H130" s="21" t="s">
        <v>294</v>
      </c>
      <c r="I130" s="21">
        <v>0</v>
      </c>
      <c r="J130" s="21">
        <v>3</v>
      </c>
      <c r="K130" s="21">
        <v>6</v>
      </c>
      <c r="L130" s="21">
        <v>3</v>
      </c>
      <c r="M130" s="21">
        <v>6</v>
      </c>
      <c r="P130" s="24">
        <f>J130+L130+N130</f>
        <v>6</v>
      </c>
      <c r="Q130" s="24">
        <f>K130+M130+O130</f>
        <v>12</v>
      </c>
      <c r="R130" s="24">
        <v>0.33333333333333331</v>
      </c>
      <c r="S130" s="21" t="s">
        <v>797</v>
      </c>
      <c r="U130" s="21" t="s">
        <v>287</v>
      </c>
      <c r="V130" s="21" t="s">
        <v>286</v>
      </c>
      <c r="W130" s="21">
        <v>2</v>
      </c>
      <c r="X130" s="21" t="s">
        <v>310</v>
      </c>
      <c r="Y130" s="21" t="s">
        <v>603</v>
      </c>
      <c r="Z130" s="21" t="s">
        <v>602</v>
      </c>
      <c r="AA130" s="21" t="s">
        <v>163</v>
      </c>
      <c r="AB130" s="21">
        <v>1</v>
      </c>
      <c r="AD130" s="24">
        <v>4.5</v>
      </c>
      <c r="AE130" s="24">
        <v>5.91</v>
      </c>
      <c r="AF130" s="21" t="s">
        <v>535</v>
      </c>
      <c r="AG130" s="21" t="s">
        <v>301</v>
      </c>
    </row>
    <row r="131" spans="1:33">
      <c r="A131" s="21" t="s">
        <v>155</v>
      </c>
      <c r="B131" s="21" t="s">
        <v>343</v>
      </c>
      <c r="C131" s="25">
        <v>46094.625</v>
      </c>
      <c r="D131" s="21" t="s">
        <v>309</v>
      </c>
      <c r="E131" s="24">
        <v>4.8499999999999996</v>
      </c>
      <c r="F131" s="24">
        <v>4.22</v>
      </c>
      <c r="G131" s="24">
        <f>E131-F131</f>
        <v>0.62999999999999989</v>
      </c>
      <c r="H131" s="21" t="s">
        <v>289</v>
      </c>
      <c r="I131" s="21">
        <v>1</v>
      </c>
      <c r="J131" s="21">
        <v>6</v>
      </c>
      <c r="K131" s="21">
        <v>1</v>
      </c>
      <c r="L131" s="21">
        <v>6</v>
      </c>
      <c r="M131" s="21">
        <v>2</v>
      </c>
      <c r="P131" s="24">
        <f>J131+L131+N131</f>
        <v>12</v>
      </c>
      <c r="Q131" s="24">
        <f>K131+M131+O131</f>
        <v>3</v>
      </c>
      <c r="R131" s="24">
        <v>0.8</v>
      </c>
      <c r="S131" s="21" t="s">
        <v>348</v>
      </c>
      <c r="U131" s="21" t="s">
        <v>287</v>
      </c>
      <c r="V131" s="21" t="s">
        <v>286</v>
      </c>
      <c r="W131" s="21">
        <v>0</v>
      </c>
      <c r="X131" s="21" t="s">
        <v>312</v>
      </c>
      <c r="Y131" s="21" t="s">
        <v>326</v>
      </c>
      <c r="Z131" s="21" t="s">
        <v>325</v>
      </c>
      <c r="AA131" s="21" t="s">
        <v>155</v>
      </c>
      <c r="AB131" s="21">
        <v>1</v>
      </c>
      <c r="AD131" s="24">
        <v>4.8499999999999996</v>
      </c>
      <c r="AE131" s="24">
        <v>4.22</v>
      </c>
      <c r="AF131" s="21" t="s">
        <v>535</v>
      </c>
      <c r="AG131" s="21" t="s">
        <v>301</v>
      </c>
    </row>
    <row r="132" spans="1:33">
      <c r="A132" s="21" t="s">
        <v>155</v>
      </c>
      <c r="B132" s="21" t="s">
        <v>343</v>
      </c>
      <c r="C132" s="25">
        <v>46099.645833333336</v>
      </c>
      <c r="D132" s="21" t="s">
        <v>143</v>
      </c>
      <c r="E132" s="24">
        <v>4.8499999999999996</v>
      </c>
      <c r="F132" s="24">
        <v>7.06</v>
      </c>
      <c r="G132" s="24">
        <f>E132-F132</f>
        <v>-2.21</v>
      </c>
      <c r="H132" s="21" t="s">
        <v>294</v>
      </c>
      <c r="I132" s="21">
        <v>0</v>
      </c>
      <c r="J132" s="21">
        <v>0</v>
      </c>
      <c r="K132" s="21">
        <v>6</v>
      </c>
      <c r="L132" s="21">
        <v>1</v>
      </c>
      <c r="M132" s="21">
        <v>6</v>
      </c>
      <c r="P132" s="24">
        <f>J132+L132+N132</f>
        <v>1</v>
      </c>
      <c r="Q132" s="24">
        <f>K132+M132+O132</f>
        <v>12</v>
      </c>
      <c r="R132" s="24">
        <v>7.6923076923076927E-2</v>
      </c>
      <c r="S132" s="21" t="s">
        <v>347</v>
      </c>
      <c r="U132" s="21" t="s">
        <v>287</v>
      </c>
      <c r="V132" s="21" t="s">
        <v>286</v>
      </c>
      <c r="W132" s="21">
        <v>1</v>
      </c>
      <c r="X132" s="21" t="s">
        <v>323</v>
      </c>
      <c r="Y132" s="21" t="s">
        <v>326</v>
      </c>
      <c r="Z132" s="21" t="s">
        <v>325</v>
      </c>
      <c r="AA132" s="21" t="s">
        <v>155</v>
      </c>
      <c r="AB132" s="21">
        <v>1</v>
      </c>
      <c r="AD132" s="24">
        <v>4.8499999999999996</v>
      </c>
      <c r="AE132" s="24">
        <v>7.19</v>
      </c>
      <c r="AF132" s="21" t="s">
        <v>322</v>
      </c>
      <c r="AG132" s="21" t="s">
        <v>301</v>
      </c>
    </row>
    <row r="133" spans="1:33">
      <c r="A133" s="21" t="s">
        <v>155</v>
      </c>
      <c r="B133" s="21" t="s">
        <v>343</v>
      </c>
      <c r="C133" s="25">
        <v>46100.645833333336</v>
      </c>
      <c r="D133" s="21" t="s">
        <v>124</v>
      </c>
      <c r="E133" s="24">
        <v>4.8499999999999996</v>
      </c>
      <c r="F133" s="24">
        <v>4.4000000000000004</v>
      </c>
      <c r="G133" s="24">
        <f>E133-F133</f>
        <v>0.44999999999999929</v>
      </c>
      <c r="H133" s="21" t="s">
        <v>294</v>
      </c>
      <c r="I133" s="21">
        <v>0</v>
      </c>
      <c r="J133" s="21">
        <v>0</v>
      </c>
      <c r="K133" s="21">
        <v>6</v>
      </c>
      <c r="L133" s="21">
        <v>3</v>
      </c>
      <c r="M133" s="21">
        <v>6</v>
      </c>
      <c r="P133" s="24">
        <f>J133+L133+N133</f>
        <v>3</v>
      </c>
      <c r="Q133" s="24">
        <f>K133+M133+O133</f>
        <v>12</v>
      </c>
      <c r="R133" s="24">
        <v>0.2</v>
      </c>
      <c r="S133" s="21" t="s">
        <v>801</v>
      </c>
      <c r="U133" s="21" t="s">
        <v>287</v>
      </c>
      <c r="V133" s="21" t="s">
        <v>286</v>
      </c>
      <c r="W133" s="21">
        <v>2</v>
      </c>
      <c r="X133" s="21" t="s">
        <v>310</v>
      </c>
      <c r="Y133" s="21" t="s">
        <v>326</v>
      </c>
      <c r="Z133" s="21" t="s">
        <v>325</v>
      </c>
      <c r="AA133" s="21" t="s">
        <v>155</v>
      </c>
      <c r="AB133" s="21">
        <v>1</v>
      </c>
      <c r="AD133" s="24">
        <v>4.8499999999999996</v>
      </c>
      <c r="AE133" s="24">
        <v>6.17</v>
      </c>
      <c r="AF133" s="21" t="s">
        <v>304</v>
      </c>
      <c r="AG133" s="21" t="s">
        <v>303</v>
      </c>
    </row>
    <row r="134" spans="1:33">
      <c r="A134" s="21" t="s">
        <v>155</v>
      </c>
      <c r="B134" s="21" t="s">
        <v>343</v>
      </c>
      <c r="C134" s="25">
        <v>46101.645833333336</v>
      </c>
      <c r="D134" s="21" t="s">
        <v>228</v>
      </c>
      <c r="E134" s="24">
        <v>4.8499999999999996</v>
      </c>
      <c r="F134" s="24">
        <v>9.1</v>
      </c>
      <c r="G134" s="24">
        <f>E134-F134</f>
        <v>-4.25</v>
      </c>
      <c r="H134" s="21" t="s">
        <v>294</v>
      </c>
      <c r="I134" s="21">
        <v>0</v>
      </c>
      <c r="J134" s="21">
        <v>0</v>
      </c>
      <c r="K134" s="21">
        <v>6</v>
      </c>
      <c r="L134" s="21">
        <v>2</v>
      </c>
      <c r="M134" s="21">
        <v>6</v>
      </c>
      <c r="P134" s="24">
        <f>J134+L134+N134</f>
        <v>2</v>
      </c>
      <c r="Q134" s="24">
        <f>K134+M134+O134</f>
        <v>12</v>
      </c>
      <c r="R134" s="24">
        <v>0.14285714285714285</v>
      </c>
      <c r="S134" s="21" t="s">
        <v>346</v>
      </c>
      <c r="U134" s="21" t="s">
        <v>287</v>
      </c>
      <c r="V134" s="21" t="s">
        <v>286</v>
      </c>
      <c r="W134" s="21">
        <v>3</v>
      </c>
      <c r="X134" s="21" t="s">
        <v>285</v>
      </c>
      <c r="Y134" s="21" t="s">
        <v>326</v>
      </c>
      <c r="Z134" s="21" t="s">
        <v>325</v>
      </c>
      <c r="AA134" s="21" t="s">
        <v>155</v>
      </c>
      <c r="AB134" s="21">
        <v>1</v>
      </c>
      <c r="AD134" s="24">
        <v>4.8499999999999996</v>
      </c>
      <c r="AE134" s="24">
        <v>8.76</v>
      </c>
      <c r="AF134" s="21" t="s">
        <v>304</v>
      </c>
      <c r="AG134" s="21" t="s">
        <v>303</v>
      </c>
    </row>
    <row r="135" spans="1:33">
      <c r="A135" s="21" t="s">
        <v>155</v>
      </c>
      <c r="B135" s="21" t="s">
        <v>343</v>
      </c>
      <c r="C135" s="25">
        <v>46105.645833333336</v>
      </c>
      <c r="D135" s="21" t="s">
        <v>61</v>
      </c>
      <c r="E135" s="24">
        <v>4.8499999999999996</v>
      </c>
      <c r="F135" s="24">
        <v>6.65</v>
      </c>
      <c r="G135" s="24">
        <f>E135-F135</f>
        <v>-1.8000000000000007</v>
      </c>
      <c r="H135" s="21" t="s">
        <v>294</v>
      </c>
      <c r="I135" s="21">
        <v>0</v>
      </c>
      <c r="J135" s="21">
        <v>1</v>
      </c>
      <c r="K135" s="21">
        <v>6</v>
      </c>
      <c r="L135" s="21">
        <v>1</v>
      </c>
      <c r="M135" s="21">
        <v>6</v>
      </c>
      <c r="P135" s="24">
        <f>J135+L135+N135</f>
        <v>2</v>
      </c>
      <c r="Q135" s="24">
        <f>K135+M135+O135</f>
        <v>12</v>
      </c>
      <c r="R135" s="24">
        <v>0.14285714285714285</v>
      </c>
      <c r="S135" s="21" t="s">
        <v>220</v>
      </c>
      <c r="U135" s="21" t="s">
        <v>287</v>
      </c>
      <c r="V135" s="21" t="s">
        <v>286</v>
      </c>
      <c r="W135" s="21">
        <v>4</v>
      </c>
      <c r="X135" s="21" t="s">
        <v>285</v>
      </c>
      <c r="Y135" s="21" t="s">
        <v>326</v>
      </c>
      <c r="Z135" s="21" t="s">
        <v>325</v>
      </c>
      <c r="AA135" s="21" t="s">
        <v>155</v>
      </c>
      <c r="AB135" s="21">
        <v>1</v>
      </c>
      <c r="AD135" s="24">
        <v>4.8499999999999996</v>
      </c>
      <c r="AE135" s="24">
        <v>6.95</v>
      </c>
      <c r="AF135" s="21" t="s">
        <v>302</v>
      </c>
      <c r="AG135" s="21" t="s">
        <v>301</v>
      </c>
    </row>
    <row r="136" spans="1:33">
      <c r="A136" s="21" t="s">
        <v>155</v>
      </c>
      <c r="B136" s="21" t="s">
        <v>343</v>
      </c>
      <c r="C136" s="25">
        <v>46106.645833333336</v>
      </c>
      <c r="D136" s="21" t="s">
        <v>107</v>
      </c>
      <c r="E136" s="24">
        <v>4.8499999999999996</v>
      </c>
      <c r="F136" s="24">
        <v>5.7</v>
      </c>
      <c r="G136" s="24">
        <f>E136-F136</f>
        <v>-0.85000000000000053</v>
      </c>
      <c r="H136" s="21" t="s">
        <v>294</v>
      </c>
      <c r="I136" s="21">
        <v>0</v>
      </c>
      <c r="J136" s="21">
        <v>1</v>
      </c>
      <c r="K136" s="21">
        <v>6</v>
      </c>
      <c r="L136" s="21">
        <v>0</v>
      </c>
      <c r="M136" s="21">
        <v>6</v>
      </c>
      <c r="P136" s="24">
        <f>J136+L136+N136</f>
        <v>1</v>
      </c>
      <c r="Q136" s="24">
        <f>K136+M136+O136</f>
        <v>12</v>
      </c>
      <c r="R136" s="24">
        <v>7.6923076923076927E-2</v>
      </c>
      <c r="S136" s="21" t="s">
        <v>344</v>
      </c>
      <c r="U136" s="21" t="s">
        <v>287</v>
      </c>
      <c r="V136" s="21" t="s">
        <v>286</v>
      </c>
      <c r="W136" s="21">
        <v>5</v>
      </c>
      <c r="X136" s="21" t="s">
        <v>285</v>
      </c>
      <c r="Y136" s="21" t="s">
        <v>326</v>
      </c>
      <c r="Z136" s="21" t="s">
        <v>325</v>
      </c>
      <c r="AA136" s="21" t="s">
        <v>155</v>
      </c>
      <c r="AB136" s="21">
        <v>1</v>
      </c>
      <c r="AD136" s="24">
        <v>4.8499999999999996</v>
      </c>
      <c r="AE136" s="24">
        <v>6</v>
      </c>
      <c r="AF136" s="21" t="s">
        <v>304</v>
      </c>
      <c r="AG136" s="21" t="s">
        <v>341</v>
      </c>
    </row>
    <row r="137" spans="1:33">
      <c r="A137" s="21" t="s">
        <v>155</v>
      </c>
      <c r="B137" s="21" t="s">
        <v>343</v>
      </c>
      <c r="C137" s="25">
        <v>46111.645833333336</v>
      </c>
      <c r="D137" s="21" t="s">
        <v>800</v>
      </c>
      <c r="E137" s="24">
        <v>4.8499999999999996</v>
      </c>
      <c r="F137" s="24">
        <v>5.4</v>
      </c>
      <c r="G137" s="24">
        <f>E137-F137</f>
        <v>-0.55000000000000071</v>
      </c>
      <c r="H137" s="21" t="s">
        <v>294</v>
      </c>
      <c r="I137" s="21">
        <v>0</v>
      </c>
      <c r="J137" s="21">
        <v>4</v>
      </c>
      <c r="K137" s="21">
        <v>6</v>
      </c>
      <c r="L137" s="21">
        <v>4</v>
      </c>
      <c r="M137" s="21">
        <v>6</v>
      </c>
      <c r="P137" s="24">
        <f>J137+L137+N137</f>
        <v>8</v>
      </c>
      <c r="Q137" s="24">
        <f>K137+M137+O137</f>
        <v>12</v>
      </c>
      <c r="R137" s="24">
        <v>0.4</v>
      </c>
      <c r="S137" s="21" t="s">
        <v>186</v>
      </c>
      <c r="U137" s="21" t="s">
        <v>287</v>
      </c>
      <c r="V137" s="21" t="s">
        <v>286</v>
      </c>
      <c r="W137" s="21">
        <v>6</v>
      </c>
      <c r="X137" s="21" t="s">
        <v>285</v>
      </c>
      <c r="Y137" s="21" t="s">
        <v>326</v>
      </c>
      <c r="Z137" s="21" t="s">
        <v>325</v>
      </c>
      <c r="AA137" s="21" t="s">
        <v>155</v>
      </c>
      <c r="AB137" s="21">
        <v>1</v>
      </c>
      <c r="AD137" s="24">
        <v>4.8499999999999996</v>
      </c>
      <c r="AE137" s="24">
        <v>5.4</v>
      </c>
      <c r="AF137" s="21" t="s">
        <v>302</v>
      </c>
      <c r="AG137" s="21" t="s">
        <v>301</v>
      </c>
    </row>
    <row r="138" spans="1:33">
      <c r="A138" s="21" t="s">
        <v>155</v>
      </c>
      <c r="B138" s="21" t="s">
        <v>343</v>
      </c>
      <c r="C138" s="25">
        <v>46118.625</v>
      </c>
      <c r="D138" s="21" t="s">
        <v>2</v>
      </c>
      <c r="E138" s="24">
        <v>4.95</v>
      </c>
      <c r="F138" s="24">
        <v>7.63</v>
      </c>
      <c r="G138" s="24">
        <f>E138-F138</f>
        <v>-2.6799999999999997</v>
      </c>
      <c r="H138" s="21" t="s">
        <v>294</v>
      </c>
      <c r="I138" s="21">
        <v>0</v>
      </c>
      <c r="J138" s="21">
        <v>2</v>
      </c>
      <c r="K138" s="21">
        <v>6</v>
      </c>
      <c r="L138" s="21">
        <v>0</v>
      </c>
      <c r="M138" s="21">
        <v>6</v>
      </c>
      <c r="P138" s="24">
        <f>J138+L138+N138</f>
        <v>2</v>
      </c>
      <c r="Q138" s="24">
        <f>K138+M138+O138</f>
        <v>12</v>
      </c>
      <c r="R138" s="24">
        <v>0.14285714285714285</v>
      </c>
      <c r="S138" s="21" t="s">
        <v>166</v>
      </c>
      <c r="U138" s="21" t="s">
        <v>287</v>
      </c>
      <c r="V138" s="21" t="s">
        <v>286</v>
      </c>
      <c r="W138" s="21">
        <v>7</v>
      </c>
      <c r="X138" s="21" t="s">
        <v>285</v>
      </c>
      <c r="Y138" s="21" t="s">
        <v>326</v>
      </c>
      <c r="Z138" s="21" t="s">
        <v>325</v>
      </c>
      <c r="AA138" s="21" t="s">
        <v>155</v>
      </c>
      <c r="AB138" s="21">
        <v>1</v>
      </c>
      <c r="AD138" s="24">
        <v>4.8499999999999996</v>
      </c>
      <c r="AE138" s="24">
        <v>7.1</v>
      </c>
      <c r="AF138" s="21" t="s">
        <v>304</v>
      </c>
      <c r="AG138" s="21" t="s">
        <v>303</v>
      </c>
    </row>
    <row r="139" spans="1:33">
      <c r="A139" s="21" t="s">
        <v>155</v>
      </c>
      <c r="B139" s="21" t="s">
        <v>343</v>
      </c>
      <c r="C139" s="25">
        <v>46120.645833333336</v>
      </c>
      <c r="D139" s="21" t="s">
        <v>57</v>
      </c>
      <c r="E139" s="24">
        <v>4.43</v>
      </c>
      <c r="F139" s="24">
        <v>4.76</v>
      </c>
      <c r="G139" s="24">
        <f>E139-F139</f>
        <v>-0.33000000000000007</v>
      </c>
      <c r="H139" s="21" t="s">
        <v>294</v>
      </c>
      <c r="I139" s="21">
        <v>0</v>
      </c>
      <c r="J139" s="21">
        <v>1</v>
      </c>
      <c r="K139" s="21">
        <v>6</v>
      </c>
      <c r="L139" s="21">
        <v>0</v>
      </c>
      <c r="M139" s="21">
        <v>6</v>
      </c>
      <c r="P139" s="24">
        <f>J139+L139+N139</f>
        <v>1</v>
      </c>
      <c r="Q139" s="24">
        <f>K139+M139+O139</f>
        <v>12</v>
      </c>
      <c r="R139" s="24">
        <v>7.6923076923076927E-2</v>
      </c>
      <c r="S139" s="21" t="s">
        <v>156</v>
      </c>
      <c r="U139" s="21" t="s">
        <v>287</v>
      </c>
      <c r="V139" s="21" t="s">
        <v>286</v>
      </c>
      <c r="W139" s="21">
        <v>8</v>
      </c>
      <c r="X139" s="21" t="s">
        <v>285</v>
      </c>
      <c r="Y139" s="21" t="s">
        <v>326</v>
      </c>
      <c r="Z139" s="21" t="s">
        <v>325</v>
      </c>
      <c r="AA139" s="21" t="s">
        <v>155</v>
      </c>
      <c r="AB139" s="21">
        <v>1</v>
      </c>
      <c r="AD139" s="24">
        <v>4.8499999999999996</v>
      </c>
      <c r="AE139" s="24">
        <v>5.96</v>
      </c>
      <c r="AF139" s="21" t="s">
        <v>304</v>
      </c>
      <c r="AG139" s="21" t="s">
        <v>303</v>
      </c>
    </row>
    <row r="140" spans="1:33">
      <c r="A140" s="21" t="s">
        <v>155</v>
      </c>
      <c r="B140" s="21" t="s">
        <v>343</v>
      </c>
      <c r="C140" s="25">
        <v>46122.645833333336</v>
      </c>
      <c r="D140" s="21" t="s">
        <v>781</v>
      </c>
      <c r="E140" s="24">
        <v>4.43</v>
      </c>
      <c r="F140" s="24">
        <v>3.08</v>
      </c>
      <c r="G140" s="24">
        <f>E140-F140</f>
        <v>1.3499999999999996</v>
      </c>
      <c r="H140" s="21" t="s">
        <v>289</v>
      </c>
      <c r="I140" s="21">
        <v>1</v>
      </c>
      <c r="J140" s="21">
        <v>6</v>
      </c>
      <c r="K140" s="21">
        <v>0</v>
      </c>
      <c r="L140" s="21">
        <v>6</v>
      </c>
      <c r="M140" s="21">
        <v>0</v>
      </c>
      <c r="P140" s="24">
        <f>J140+L140+N140</f>
        <v>12</v>
      </c>
      <c r="Q140" s="24">
        <f>K140+M140+O140</f>
        <v>0</v>
      </c>
      <c r="R140" s="24">
        <v>1</v>
      </c>
      <c r="S140" s="21" t="s">
        <v>799</v>
      </c>
      <c r="U140" s="21" t="s">
        <v>287</v>
      </c>
      <c r="V140" s="21" t="s">
        <v>286</v>
      </c>
      <c r="W140" s="21">
        <v>9</v>
      </c>
      <c r="X140" s="21" t="s">
        <v>285</v>
      </c>
      <c r="Y140" s="21" t="s">
        <v>326</v>
      </c>
      <c r="Z140" s="21" t="s">
        <v>325</v>
      </c>
      <c r="AA140" s="21" t="s">
        <v>155</v>
      </c>
      <c r="AB140" s="21">
        <v>1</v>
      </c>
      <c r="AD140" s="24">
        <v>4.8499999999999996</v>
      </c>
      <c r="AE140" s="24">
        <v>3.08</v>
      </c>
      <c r="AF140" s="21" t="s">
        <v>304</v>
      </c>
      <c r="AG140" s="21" t="s">
        <v>303</v>
      </c>
    </row>
    <row r="141" spans="1:33">
      <c r="A141" s="21" t="s">
        <v>134</v>
      </c>
      <c r="B141" s="21" t="s">
        <v>725</v>
      </c>
      <c r="C141" s="25">
        <v>46100.333333333336</v>
      </c>
      <c r="D141" s="21" t="s">
        <v>147</v>
      </c>
      <c r="E141" s="24">
        <v>5.46</v>
      </c>
      <c r="F141" s="24">
        <v>4.87</v>
      </c>
      <c r="G141" s="24">
        <f>E141-F141</f>
        <v>0.58999999999999986</v>
      </c>
      <c r="H141" s="21" t="s">
        <v>289</v>
      </c>
      <c r="I141" s="21">
        <v>1</v>
      </c>
      <c r="J141" s="21">
        <v>6</v>
      </c>
      <c r="K141" s="21">
        <v>4</v>
      </c>
      <c r="L141" s="21">
        <v>6</v>
      </c>
      <c r="M141" s="21">
        <v>4</v>
      </c>
      <c r="P141" s="24">
        <f>J141+L141+N141</f>
        <v>12</v>
      </c>
      <c r="Q141" s="24">
        <f>K141+M141+O141</f>
        <v>8</v>
      </c>
      <c r="R141" s="24">
        <v>0.6</v>
      </c>
      <c r="S141" s="21" t="s">
        <v>726</v>
      </c>
      <c r="U141" s="21" t="s">
        <v>287</v>
      </c>
      <c r="V141" s="21" t="s">
        <v>286</v>
      </c>
      <c r="W141" s="21">
        <v>0</v>
      </c>
      <c r="X141" s="21" t="s">
        <v>312</v>
      </c>
      <c r="Y141" s="21" t="s">
        <v>326</v>
      </c>
      <c r="Z141" s="21" t="s">
        <v>325</v>
      </c>
      <c r="AA141" s="21" t="s">
        <v>134</v>
      </c>
      <c r="AB141" s="21">
        <v>1</v>
      </c>
      <c r="AD141" s="24">
        <v>6.03</v>
      </c>
      <c r="AE141" s="24">
        <v>5.78</v>
      </c>
      <c r="AF141" s="21" t="s">
        <v>302</v>
      </c>
      <c r="AG141" s="21" t="s">
        <v>301</v>
      </c>
    </row>
    <row r="142" spans="1:33">
      <c r="A142" s="21" t="s">
        <v>134</v>
      </c>
      <c r="B142" s="21" t="s">
        <v>725</v>
      </c>
      <c r="C142" s="25">
        <v>46101.333333333336</v>
      </c>
      <c r="D142" s="21" t="s">
        <v>503</v>
      </c>
      <c r="E142" s="24">
        <v>5.46</v>
      </c>
      <c r="F142" s="24">
        <v>6.94</v>
      </c>
      <c r="G142" s="24">
        <f>E142-F142</f>
        <v>-1.4800000000000004</v>
      </c>
      <c r="H142" s="21" t="s">
        <v>294</v>
      </c>
      <c r="I142" s="21">
        <v>0</v>
      </c>
      <c r="J142" s="21">
        <v>3</v>
      </c>
      <c r="K142" s="21">
        <v>6</v>
      </c>
      <c r="L142" s="21">
        <v>0</v>
      </c>
      <c r="M142" s="21">
        <v>6</v>
      </c>
      <c r="P142" s="24">
        <f>J142+L142+N142</f>
        <v>3</v>
      </c>
      <c r="Q142" s="24">
        <f>K142+M142+O142</f>
        <v>12</v>
      </c>
      <c r="R142" s="24">
        <v>0.2</v>
      </c>
      <c r="S142" s="21" t="s">
        <v>798</v>
      </c>
      <c r="U142" s="21" t="s">
        <v>287</v>
      </c>
      <c r="V142" s="21" t="s">
        <v>286</v>
      </c>
      <c r="W142" s="21">
        <v>1</v>
      </c>
      <c r="X142" s="21" t="s">
        <v>323</v>
      </c>
      <c r="Y142" s="21" t="s">
        <v>326</v>
      </c>
      <c r="Z142" s="21" t="s">
        <v>325</v>
      </c>
      <c r="AA142" s="21" t="s">
        <v>134</v>
      </c>
      <c r="AB142" s="21">
        <v>1</v>
      </c>
      <c r="AD142" s="24">
        <v>6.03</v>
      </c>
      <c r="AE142" s="24">
        <v>6.94</v>
      </c>
      <c r="AF142" s="21" t="s">
        <v>304</v>
      </c>
      <c r="AG142" s="21" t="s">
        <v>303</v>
      </c>
    </row>
    <row r="143" spans="1:33">
      <c r="A143" s="21" t="s">
        <v>134</v>
      </c>
      <c r="B143" s="21" t="s">
        <v>725</v>
      </c>
      <c r="C143" s="25">
        <v>46105</v>
      </c>
      <c r="D143" s="21" t="s">
        <v>396</v>
      </c>
      <c r="E143" s="24">
        <v>5.41</v>
      </c>
      <c r="F143" s="24">
        <v>2.52</v>
      </c>
      <c r="G143" s="24">
        <f>E143-F143</f>
        <v>2.89</v>
      </c>
      <c r="H143" s="21" t="s">
        <v>289</v>
      </c>
      <c r="I143" s="21">
        <v>1</v>
      </c>
      <c r="J143" s="21">
        <v>6</v>
      </c>
      <c r="K143" s="21">
        <v>1</v>
      </c>
      <c r="L143" s="21">
        <v>6</v>
      </c>
      <c r="M143" s="21">
        <v>0</v>
      </c>
      <c r="P143" s="24">
        <f>J143+L143+N143</f>
        <v>12</v>
      </c>
      <c r="Q143" s="24">
        <f>K143+M143+O143</f>
        <v>1</v>
      </c>
      <c r="R143" s="24">
        <v>0.92307692307692313</v>
      </c>
      <c r="S143" s="21" t="s">
        <v>662</v>
      </c>
      <c r="U143" s="21" t="s">
        <v>287</v>
      </c>
      <c r="V143" s="21" t="s">
        <v>286</v>
      </c>
      <c r="W143" s="21">
        <v>2</v>
      </c>
      <c r="X143" s="21" t="s">
        <v>310</v>
      </c>
      <c r="Y143" s="21" t="s">
        <v>326</v>
      </c>
      <c r="Z143" s="21" t="s">
        <v>325</v>
      </c>
      <c r="AA143" s="21" t="s">
        <v>134</v>
      </c>
      <c r="AB143" s="21">
        <v>1</v>
      </c>
      <c r="AD143" s="24">
        <v>6.03</v>
      </c>
      <c r="AE143" s="24">
        <v>3.59</v>
      </c>
      <c r="AF143" s="21" t="s">
        <v>304</v>
      </c>
      <c r="AG143" s="21" t="s">
        <v>303</v>
      </c>
    </row>
    <row r="144" spans="1:33">
      <c r="A144" s="21" t="s">
        <v>134</v>
      </c>
      <c r="B144" s="21" t="s">
        <v>725</v>
      </c>
      <c r="C144" s="25">
        <v>46106</v>
      </c>
      <c r="D144" s="21" t="s">
        <v>203</v>
      </c>
      <c r="E144" s="24">
        <v>5.41</v>
      </c>
      <c r="F144" s="24">
        <v>4.9800000000000004</v>
      </c>
      <c r="G144" s="24">
        <f>E144-F144</f>
        <v>0.42999999999999972</v>
      </c>
      <c r="H144" s="21" t="s">
        <v>289</v>
      </c>
      <c r="I144" s="21">
        <v>1</v>
      </c>
      <c r="J144" s="21">
        <v>6</v>
      </c>
      <c r="K144" s="21">
        <v>4</v>
      </c>
      <c r="L144" s="21">
        <v>6</v>
      </c>
      <c r="M144" s="21">
        <v>1</v>
      </c>
      <c r="P144" s="24">
        <f>J144+L144+N144</f>
        <v>12</v>
      </c>
      <c r="Q144" s="24">
        <f>K144+M144+O144</f>
        <v>5</v>
      </c>
      <c r="R144" s="24">
        <v>0.70588235294117652</v>
      </c>
      <c r="S144" s="21" t="s">
        <v>204</v>
      </c>
      <c r="U144" s="21" t="s">
        <v>287</v>
      </c>
      <c r="V144" s="21" t="s">
        <v>286</v>
      </c>
      <c r="W144" s="21">
        <v>3</v>
      </c>
      <c r="X144" s="21" t="s">
        <v>285</v>
      </c>
      <c r="Y144" s="21" t="s">
        <v>326</v>
      </c>
      <c r="Z144" s="21" t="s">
        <v>325</v>
      </c>
      <c r="AA144" s="21" t="s">
        <v>134</v>
      </c>
      <c r="AB144" s="21">
        <v>1</v>
      </c>
      <c r="AD144" s="24">
        <v>6.03</v>
      </c>
      <c r="AE144" s="24">
        <v>5.96</v>
      </c>
      <c r="AF144" s="21" t="s">
        <v>302</v>
      </c>
      <c r="AG144" s="21" t="s">
        <v>301</v>
      </c>
    </row>
    <row r="145" spans="1:33">
      <c r="A145" s="21" t="s">
        <v>134</v>
      </c>
      <c r="B145" s="21" t="s">
        <v>725</v>
      </c>
      <c r="C145" s="25">
        <v>46108.645833333336</v>
      </c>
      <c r="D145" s="21" t="s">
        <v>110</v>
      </c>
      <c r="E145" s="24">
        <v>5.41</v>
      </c>
      <c r="F145" s="24">
        <v>6.85</v>
      </c>
      <c r="G145" s="24">
        <f>E145-F145</f>
        <v>-1.4399999999999995</v>
      </c>
      <c r="H145" s="21" t="s">
        <v>294</v>
      </c>
      <c r="I145" s="21">
        <v>0</v>
      </c>
      <c r="J145" s="21">
        <v>3</v>
      </c>
      <c r="K145" s="21">
        <v>6</v>
      </c>
      <c r="L145" s="21">
        <v>0</v>
      </c>
      <c r="M145" s="21">
        <v>6</v>
      </c>
      <c r="P145" s="24">
        <f>J145+L145+N145</f>
        <v>3</v>
      </c>
      <c r="Q145" s="24">
        <f>K145+M145+O145</f>
        <v>12</v>
      </c>
      <c r="R145" s="24">
        <v>0.2</v>
      </c>
      <c r="S145" s="21" t="s">
        <v>195</v>
      </c>
      <c r="U145" s="21" t="s">
        <v>287</v>
      </c>
      <c r="V145" s="21" t="s">
        <v>286</v>
      </c>
      <c r="W145" s="21">
        <v>4</v>
      </c>
      <c r="X145" s="21" t="s">
        <v>285</v>
      </c>
      <c r="Y145" s="21" t="s">
        <v>326</v>
      </c>
      <c r="Z145" s="21" t="s">
        <v>325</v>
      </c>
      <c r="AA145" s="21" t="s">
        <v>134</v>
      </c>
      <c r="AB145" s="21">
        <v>1</v>
      </c>
      <c r="AD145" s="24">
        <v>6.03</v>
      </c>
      <c r="AE145" s="24">
        <v>6.98</v>
      </c>
      <c r="AF145" s="21" t="s">
        <v>304</v>
      </c>
      <c r="AG145" s="21" t="s">
        <v>303</v>
      </c>
    </row>
    <row r="146" spans="1:33">
      <c r="A146" s="21" t="s">
        <v>134</v>
      </c>
      <c r="B146" s="21" t="s">
        <v>725</v>
      </c>
      <c r="C146" s="25">
        <v>46111</v>
      </c>
      <c r="D146" s="21" t="s">
        <v>163</v>
      </c>
      <c r="E146" s="24">
        <v>5.41</v>
      </c>
      <c r="F146" s="24">
        <v>4.53</v>
      </c>
      <c r="G146" s="24">
        <f>E146-F146</f>
        <v>0.87999999999999989</v>
      </c>
      <c r="H146" s="21" t="s">
        <v>289</v>
      </c>
      <c r="I146" s="21">
        <v>1</v>
      </c>
      <c r="J146" s="21">
        <v>6</v>
      </c>
      <c r="K146" s="21">
        <v>3</v>
      </c>
      <c r="L146" s="21">
        <v>6</v>
      </c>
      <c r="M146" s="21">
        <v>3</v>
      </c>
      <c r="P146" s="24">
        <f>J146+L146+N146</f>
        <v>12</v>
      </c>
      <c r="Q146" s="24">
        <f>K146+M146+O146</f>
        <v>6</v>
      </c>
      <c r="R146" s="24">
        <v>0.66666666666666663</v>
      </c>
      <c r="S146" s="21" t="s">
        <v>797</v>
      </c>
      <c r="U146" s="21" t="s">
        <v>287</v>
      </c>
      <c r="V146" s="21" t="s">
        <v>286</v>
      </c>
      <c r="W146" s="21">
        <v>5</v>
      </c>
      <c r="X146" s="21" t="s">
        <v>285</v>
      </c>
      <c r="Y146" s="21" t="s">
        <v>326</v>
      </c>
      <c r="Z146" s="21" t="s">
        <v>325</v>
      </c>
      <c r="AA146" s="21" t="s">
        <v>134</v>
      </c>
      <c r="AB146" s="21">
        <v>1</v>
      </c>
      <c r="AD146" s="24">
        <v>6.03</v>
      </c>
      <c r="AE146" s="24">
        <v>4.53</v>
      </c>
      <c r="AF146" s="21" t="s">
        <v>302</v>
      </c>
      <c r="AG146" s="21" t="s">
        <v>301</v>
      </c>
    </row>
    <row r="147" spans="1:33">
      <c r="A147" s="21" t="s">
        <v>134</v>
      </c>
      <c r="B147" s="21" t="s">
        <v>725</v>
      </c>
      <c r="C147" s="25">
        <v>46119.645833333336</v>
      </c>
      <c r="D147" s="21" t="s">
        <v>128</v>
      </c>
      <c r="E147" s="24">
        <v>5.44</v>
      </c>
      <c r="F147" s="24">
        <v>6.69</v>
      </c>
      <c r="G147" s="24">
        <f>E147-F147</f>
        <v>-1.25</v>
      </c>
      <c r="H147" s="21" t="s">
        <v>294</v>
      </c>
      <c r="I147" s="21">
        <v>0</v>
      </c>
      <c r="J147" s="21">
        <v>2</v>
      </c>
      <c r="K147" s="21">
        <v>6</v>
      </c>
      <c r="L147" s="21">
        <v>5</v>
      </c>
      <c r="M147" s="21">
        <v>7</v>
      </c>
      <c r="P147" s="24">
        <f>J147+L147+N147</f>
        <v>7</v>
      </c>
      <c r="Q147" s="24">
        <f>K147+M147+O147</f>
        <v>13</v>
      </c>
      <c r="R147" s="24">
        <v>0.35</v>
      </c>
      <c r="S147" s="21" t="s">
        <v>161</v>
      </c>
      <c r="U147" s="21" t="s">
        <v>287</v>
      </c>
      <c r="V147" s="21" t="s">
        <v>286</v>
      </c>
      <c r="W147" s="21">
        <v>6</v>
      </c>
      <c r="X147" s="21" t="s">
        <v>285</v>
      </c>
      <c r="Y147" s="21" t="s">
        <v>326</v>
      </c>
      <c r="Z147" s="21" t="s">
        <v>325</v>
      </c>
      <c r="AA147" s="21" t="s">
        <v>134</v>
      </c>
      <c r="AB147" s="21">
        <v>1</v>
      </c>
      <c r="AD147" s="24">
        <v>6.03</v>
      </c>
      <c r="AE147" s="24">
        <v>6.89</v>
      </c>
      <c r="AF147" s="21" t="s">
        <v>322</v>
      </c>
      <c r="AG147" s="21" t="s">
        <v>301</v>
      </c>
    </row>
    <row r="148" spans="1:33">
      <c r="A148" s="21" t="s">
        <v>134</v>
      </c>
      <c r="B148" s="21" t="s">
        <v>725</v>
      </c>
      <c r="C148" s="25">
        <v>46122.333333333336</v>
      </c>
      <c r="D148" s="21" t="s">
        <v>135</v>
      </c>
      <c r="E148" s="24">
        <v>5.44</v>
      </c>
      <c r="F148" s="24">
        <v>5</v>
      </c>
      <c r="G148" s="24">
        <f>E148-F148</f>
        <v>0.44000000000000039</v>
      </c>
      <c r="H148" s="21" t="s">
        <v>289</v>
      </c>
      <c r="I148" s="21">
        <v>1</v>
      </c>
      <c r="J148" s="21">
        <v>6</v>
      </c>
      <c r="K148" s="21">
        <v>2</v>
      </c>
      <c r="L148" s="21">
        <v>3</v>
      </c>
      <c r="M148" s="21">
        <v>6</v>
      </c>
      <c r="N148" s="21">
        <v>6</v>
      </c>
      <c r="O148" s="21">
        <v>3</v>
      </c>
      <c r="P148" s="24">
        <f>J148+L148+N148</f>
        <v>15</v>
      </c>
      <c r="Q148" s="24">
        <f>K148+M148+O148</f>
        <v>11</v>
      </c>
      <c r="R148" s="24">
        <v>0.57692307692307687</v>
      </c>
      <c r="S148" s="21" t="s">
        <v>136</v>
      </c>
      <c r="U148" s="21" t="s">
        <v>287</v>
      </c>
      <c r="V148" s="21" t="s">
        <v>286</v>
      </c>
      <c r="W148" s="21">
        <v>7</v>
      </c>
      <c r="X148" s="21" t="s">
        <v>285</v>
      </c>
      <c r="Y148" s="21" t="s">
        <v>326</v>
      </c>
      <c r="Z148" s="21" t="s">
        <v>325</v>
      </c>
      <c r="AA148" s="21" t="s">
        <v>134</v>
      </c>
      <c r="AB148" s="21">
        <v>1</v>
      </c>
      <c r="AD148" s="24">
        <v>6.03</v>
      </c>
      <c r="AE148" s="24">
        <v>5.3</v>
      </c>
      <c r="AF148" s="21" t="s">
        <v>322</v>
      </c>
      <c r="AG148" s="21" t="s">
        <v>301</v>
      </c>
    </row>
    <row r="149" spans="1:33">
      <c r="A149" s="21" t="s">
        <v>134</v>
      </c>
      <c r="B149" s="21" t="s">
        <v>725</v>
      </c>
      <c r="C149" s="25">
        <v>46125.333333333336</v>
      </c>
      <c r="D149" s="21" t="s">
        <v>340</v>
      </c>
      <c r="E149" s="24">
        <v>5.44</v>
      </c>
      <c r="F149" s="24">
        <v>4.5</v>
      </c>
      <c r="G149" s="24">
        <f>E149-F149</f>
        <v>0.94000000000000039</v>
      </c>
      <c r="H149" s="21" t="s">
        <v>289</v>
      </c>
      <c r="I149" s="21">
        <v>1</v>
      </c>
      <c r="J149" s="21">
        <v>6</v>
      </c>
      <c r="K149" s="21">
        <v>0</v>
      </c>
      <c r="L149" s="21">
        <v>6</v>
      </c>
      <c r="M149" s="21">
        <v>0</v>
      </c>
      <c r="P149" s="24">
        <f>J149+L149+N149</f>
        <v>12</v>
      </c>
      <c r="Q149" s="24">
        <f>K149+M149+O149</f>
        <v>0</v>
      </c>
      <c r="R149" s="24">
        <v>1</v>
      </c>
      <c r="S149" s="21" t="s">
        <v>507</v>
      </c>
      <c r="U149" s="21" t="s">
        <v>287</v>
      </c>
      <c r="V149" s="21" t="s">
        <v>286</v>
      </c>
      <c r="W149" s="21">
        <v>8</v>
      </c>
      <c r="X149" s="21" t="s">
        <v>285</v>
      </c>
      <c r="Y149" s="21" t="s">
        <v>326</v>
      </c>
      <c r="Z149" s="21" t="s">
        <v>325</v>
      </c>
      <c r="AA149" s="21" t="s">
        <v>134</v>
      </c>
      <c r="AB149" s="21">
        <v>1</v>
      </c>
      <c r="AD149" s="24">
        <v>6.03</v>
      </c>
      <c r="AE149" s="24">
        <v>4.5</v>
      </c>
      <c r="AF149" s="21" t="s">
        <v>302</v>
      </c>
      <c r="AG149" s="21" t="s">
        <v>301</v>
      </c>
    </row>
    <row r="150" spans="1:33">
      <c r="A150" s="21" t="s">
        <v>134</v>
      </c>
      <c r="B150" s="21" t="s">
        <v>725</v>
      </c>
      <c r="C150" s="25">
        <v>46127.333333333336</v>
      </c>
      <c r="D150" s="21" t="s">
        <v>394</v>
      </c>
      <c r="E150" s="24">
        <v>5.56</v>
      </c>
      <c r="F150" s="24">
        <v>4.62</v>
      </c>
      <c r="G150" s="24">
        <f>E150-F150</f>
        <v>0.9399999999999995</v>
      </c>
      <c r="H150" s="21" t="s">
        <v>294</v>
      </c>
      <c r="I150" s="21">
        <v>0</v>
      </c>
      <c r="J150" s="21">
        <v>6</v>
      </c>
      <c r="K150" s="21">
        <v>4</v>
      </c>
      <c r="L150" s="21">
        <v>3</v>
      </c>
      <c r="M150" s="21">
        <v>6</v>
      </c>
      <c r="N150" s="21">
        <v>1</v>
      </c>
      <c r="O150" s="21">
        <v>6</v>
      </c>
      <c r="P150" s="24">
        <f>J150+L150+N150</f>
        <v>10</v>
      </c>
      <c r="Q150" s="24">
        <f>K150+M150+O150</f>
        <v>16</v>
      </c>
      <c r="R150" s="24">
        <v>0.38461538461538464</v>
      </c>
      <c r="S150" s="21" t="s">
        <v>406</v>
      </c>
      <c r="U150" s="21" t="s">
        <v>287</v>
      </c>
      <c r="V150" s="21" t="s">
        <v>286</v>
      </c>
      <c r="W150" s="21">
        <v>9</v>
      </c>
      <c r="X150" s="21" t="s">
        <v>285</v>
      </c>
      <c r="Y150" s="21" t="s">
        <v>326</v>
      </c>
      <c r="Z150" s="21" t="s">
        <v>325</v>
      </c>
      <c r="AA150" s="21" t="s">
        <v>134</v>
      </c>
      <c r="AB150" s="21">
        <v>1</v>
      </c>
      <c r="AD150" s="24">
        <v>6.03</v>
      </c>
      <c r="AE150" s="24">
        <v>6.06</v>
      </c>
      <c r="AF150" s="21" t="s">
        <v>304</v>
      </c>
      <c r="AG150" s="21" t="s">
        <v>303</v>
      </c>
    </row>
    <row r="151" spans="1:33">
      <c r="A151" s="21" t="s">
        <v>134</v>
      </c>
      <c r="B151" s="21" t="s">
        <v>725</v>
      </c>
      <c r="C151" s="25">
        <v>46133.333333333336</v>
      </c>
      <c r="D151" s="21" t="s">
        <v>53</v>
      </c>
      <c r="E151" s="24">
        <v>5.6</v>
      </c>
      <c r="F151" s="24">
        <v>4.91</v>
      </c>
      <c r="G151" s="24">
        <f>E151-F151</f>
        <v>0.6899999999999995</v>
      </c>
      <c r="H151" s="21" t="s">
        <v>294</v>
      </c>
      <c r="I151" s="21">
        <v>0</v>
      </c>
      <c r="J151" s="21">
        <v>6</v>
      </c>
      <c r="K151" s="21">
        <v>1</v>
      </c>
      <c r="L151" s="21">
        <v>4</v>
      </c>
      <c r="M151" s="21">
        <v>6</v>
      </c>
      <c r="N151" s="21">
        <v>0</v>
      </c>
      <c r="O151" s="21">
        <v>1</v>
      </c>
      <c r="P151" s="24">
        <f>J151+L151+N151</f>
        <v>10</v>
      </c>
      <c r="Q151" s="24">
        <f>K151+M151+O151</f>
        <v>8</v>
      </c>
      <c r="R151" s="24">
        <v>0.13333333333333333</v>
      </c>
      <c r="S151" s="21" t="s">
        <v>796</v>
      </c>
      <c r="U151" s="21" t="s">
        <v>287</v>
      </c>
      <c r="V151" s="21" t="s">
        <v>286</v>
      </c>
      <c r="W151" s="21">
        <v>10</v>
      </c>
      <c r="X151" s="21" t="s">
        <v>285</v>
      </c>
      <c r="Y151" s="21" t="s">
        <v>326</v>
      </c>
      <c r="Z151" s="21" t="s">
        <v>325</v>
      </c>
      <c r="AA151" s="21" t="s">
        <v>134</v>
      </c>
      <c r="AB151" s="21">
        <v>1</v>
      </c>
      <c r="AD151" s="24">
        <v>6.03</v>
      </c>
      <c r="AE151" s="24">
        <v>4.91</v>
      </c>
      <c r="AF151" s="21" t="s">
        <v>304</v>
      </c>
      <c r="AG151" s="21" t="s">
        <v>303</v>
      </c>
    </row>
    <row r="152" spans="1:33">
      <c r="A152" s="21" t="s">
        <v>427</v>
      </c>
      <c r="B152" s="21" t="s">
        <v>763</v>
      </c>
      <c r="C152" s="25">
        <v>46046.708333333336</v>
      </c>
      <c r="D152" s="21" t="s">
        <v>795</v>
      </c>
      <c r="E152" s="24">
        <v>2.5099999999999998</v>
      </c>
      <c r="F152" s="24">
        <v>3.59</v>
      </c>
      <c r="G152" s="24">
        <f>E152-F152</f>
        <v>-1.08</v>
      </c>
      <c r="H152" s="21" t="s">
        <v>294</v>
      </c>
      <c r="I152" s="21">
        <v>0</v>
      </c>
      <c r="J152" s="21">
        <v>2</v>
      </c>
      <c r="K152" s="21">
        <v>6</v>
      </c>
      <c r="L152" s="21">
        <v>3</v>
      </c>
      <c r="M152" s="21">
        <v>6</v>
      </c>
      <c r="P152" s="24">
        <f>J152+L152+N152</f>
        <v>5</v>
      </c>
      <c r="Q152" s="24">
        <f>K152+M152+O152</f>
        <v>12</v>
      </c>
      <c r="R152" s="24">
        <v>0.29411764705882354</v>
      </c>
      <c r="S152" s="21" t="s">
        <v>766</v>
      </c>
      <c r="U152" s="21" t="s">
        <v>287</v>
      </c>
      <c r="V152" s="21" t="s">
        <v>286</v>
      </c>
      <c r="W152" s="21">
        <v>0</v>
      </c>
      <c r="X152" s="21" t="s">
        <v>312</v>
      </c>
      <c r="Y152" s="21" t="s">
        <v>284</v>
      </c>
      <c r="Z152" s="21" t="s">
        <v>283</v>
      </c>
      <c r="AA152" s="21" t="s">
        <v>427</v>
      </c>
      <c r="AB152" s="21">
        <v>1</v>
      </c>
      <c r="AD152" s="24">
        <v>2.5099999999999998</v>
      </c>
      <c r="AE152" s="24">
        <v>3.59</v>
      </c>
      <c r="AF152" s="21" t="s">
        <v>304</v>
      </c>
      <c r="AG152" s="21" t="s">
        <v>303</v>
      </c>
    </row>
    <row r="153" spans="1:33">
      <c r="A153" s="21" t="s">
        <v>427</v>
      </c>
      <c r="B153" s="21" t="s">
        <v>763</v>
      </c>
      <c r="C153" s="25">
        <v>46046.75</v>
      </c>
      <c r="D153" s="21" t="s">
        <v>794</v>
      </c>
      <c r="E153" s="24">
        <v>2.5099999999999998</v>
      </c>
      <c r="F153" s="24">
        <v>3.63</v>
      </c>
      <c r="G153" s="24">
        <f>E153-F153</f>
        <v>-1.1200000000000001</v>
      </c>
      <c r="H153" s="21" t="s">
        <v>294</v>
      </c>
      <c r="I153" s="21">
        <v>0</v>
      </c>
      <c r="J153" s="21">
        <v>1</v>
      </c>
      <c r="K153" s="21">
        <v>6</v>
      </c>
      <c r="L153" s="21">
        <v>1</v>
      </c>
      <c r="M153" s="21">
        <v>6</v>
      </c>
      <c r="P153" s="24">
        <f>J153+L153+N153</f>
        <v>2</v>
      </c>
      <c r="Q153" s="24">
        <f>K153+M153+O153</f>
        <v>12</v>
      </c>
      <c r="R153" s="24">
        <v>0.14285714285714285</v>
      </c>
      <c r="S153" s="21" t="s">
        <v>766</v>
      </c>
      <c r="U153" s="21" t="s">
        <v>287</v>
      </c>
      <c r="V153" s="21" t="s">
        <v>286</v>
      </c>
      <c r="W153" s="21">
        <v>1</v>
      </c>
      <c r="X153" s="21" t="s">
        <v>323</v>
      </c>
      <c r="Y153" s="21" t="s">
        <v>284</v>
      </c>
      <c r="Z153" s="21" t="s">
        <v>283</v>
      </c>
      <c r="AA153" s="21" t="s">
        <v>427</v>
      </c>
      <c r="AB153" s="21">
        <v>1</v>
      </c>
      <c r="AD153" s="24">
        <v>2.5099999999999998</v>
      </c>
      <c r="AE153" s="24">
        <v>3.63</v>
      </c>
      <c r="AF153" s="21" t="s">
        <v>302</v>
      </c>
      <c r="AG153" s="21" t="s">
        <v>301</v>
      </c>
    </row>
    <row r="154" spans="1:33">
      <c r="A154" s="21" t="s">
        <v>427</v>
      </c>
      <c r="B154" s="21" t="s">
        <v>763</v>
      </c>
      <c r="C154" s="25">
        <v>46092.645833333336</v>
      </c>
      <c r="D154" s="21" t="s">
        <v>53</v>
      </c>
      <c r="E154" s="24">
        <v>2.29</v>
      </c>
      <c r="F154" s="24">
        <v>4.8099999999999996</v>
      </c>
      <c r="G154" s="24">
        <f>E154-F154</f>
        <v>-2.5199999999999996</v>
      </c>
      <c r="H154" s="21" t="s">
        <v>294</v>
      </c>
      <c r="I154" s="21">
        <v>0</v>
      </c>
      <c r="J154" s="21">
        <v>3</v>
      </c>
      <c r="K154" s="21">
        <v>6</v>
      </c>
      <c r="L154" s="21">
        <v>1</v>
      </c>
      <c r="M154" s="21">
        <v>6</v>
      </c>
      <c r="P154" s="24">
        <f>J154+L154+N154</f>
        <v>4</v>
      </c>
      <c r="Q154" s="24">
        <f>K154+M154+O154</f>
        <v>12</v>
      </c>
      <c r="R154" s="24">
        <v>0.25</v>
      </c>
      <c r="S154" s="21" t="s">
        <v>766</v>
      </c>
      <c r="U154" s="21" t="s">
        <v>287</v>
      </c>
      <c r="V154" s="21" t="s">
        <v>286</v>
      </c>
      <c r="W154" s="21">
        <v>2</v>
      </c>
      <c r="X154" s="21" t="s">
        <v>310</v>
      </c>
      <c r="Y154" s="21" t="s">
        <v>284</v>
      </c>
      <c r="Z154" s="21" t="s">
        <v>283</v>
      </c>
      <c r="AA154" s="21" t="s">
        <v>427</v>
      </c>
      <c r="AB154" s="21">
        <v>1</v>
      </c>
      <c r="AD154" s="24">
        <v>2.5099999999999998</v>
      </c>
      <c r="AE154" s="24">
        <v>4.8099999999999996</v>
      </c>
      <c r="AF154" s="21" t="s">
        <v>304</v>
      </c>
      <c r="AG154" s="21" t="s">
        <v>303</v>
      </c>
    </row>
    <row r="155" spans="1:33">
      <c r="A155" s="21" t="s">
        <v>427</v>
      </c>
      <c r="B155" s="21" t="s">
        <v>763</v>
      </c>
      <c r="C155" s="25">
        <v>46099.645833333336</v>
      </c>
      <c r="D155" s="21" t="s">
        <v>54</v>
      </c>
      <c r="E155" s="24">
        <v>2.33</v>
      </c>
      <c r="F155" s="24">
        <v>4.54</v>
      </c>
      <c r="G155" s="24">
        <f>E155-F155</f>
        <v>-2.21</v>
      </c>
      <c r="H155" s="21" t="s">
        <v>294</v>
      </c>
      <c r="I155" s="21">
        <v>0</v>
      </c>
      <c r="J155" s="21">
        <v>1</v>
      </c>
      <c r="K155" s="21">
        <v>6</v>
      </c>
      <c r="L155" s="21">
        <v>2</v>
      </c>
      <c r="M155" s="21">
        <v>6</v>
      </c>
      <c r="P155" s="24">
        <f>J155+L155+N155</f>
        <v>3</v>
      </c>
      <c r="Q155" s="24">
        <f>K155+M155+O155</f>
        <v>12</v>
      </c>
      <c r="R155" s="24">
        <v>0.2</v>
      </c>
      <c r="S155" s="21" t="s">
        <v>491</v>
      </c>
      <c r="U155" s="21" t="s">
        <v>287</v>
      </c>
      <c r="V155" s="21" t="s">
        <v>286</v>
      </c>
      <c r="W155" s="21">
        <v>3</v>
      </c>
      <c r="X155" s="21" t="s">
        <v>285</v>
      </c>
      <c r="Y155" s="21" t="s">
        <v>284</v>
      </c>
      <c r="Z155" s="21" t="s">
        <v>283</v>
      </c>
      <c r="AA155" s="21" t="s">
        <v>427</v>
      </c>
      <c r="AB155" s="21">
        <v>1</v>
      </c>
      <c r="AD155" s="24">
        <v>2.5099999999999998</v>
      </c>
      <c r="AE155" s="24">
        <v>4.7300000000000004</v>
      </c>
      <c r="AF155" s="21" t="s">
        <v>304</v>
      </c>
      <c r="AG155" s="21" t="s">
        <v>303</v>
      </c>
    </row>
    <row r="156" spans="1:33">
      <c r="A156" s="21" t="s">
        <v>427</v>
      </c>
      <c r="B156" s="21" t="s">
        <v>763</v>
      </c>
      <c r="C156" s="25">
        <v>46101.645833333336</v>
      </c>
      <c r="D156" s="21" t="s">
        <v>46</v>
      </c>
      <c r="E156" s="24">
        <v>2.33</v>
      </c>
      <c r="F156" s="24">
        <v>7.32</v>
      </c>
      <c r="G156" s="24">
        <f>E156-F156</f>
        <v>-4.99</v>
      </c>
      <c r="H156" s="21" t="s">
        <v>294</v>
      </c>
      <c r="I156" s="21">
        <v>0</v>
      </c>
      <c r="J156" s="21">
        <v>1</v>
      </c>
      <c r="K156" s="21">
        <v>6</v>
      </c>
      <c r="L156" s="21">
        <v>1</v>
      </c>
      <c r="M156" s="21">
        <v>6</v>
      </c>
      <c r="P156" s="24">
        <f>J156+L156+N156</f>
        <v>2</v>
      </c>
      <c r="Q156" s="24">
        <f>K156+M156+O156</f>
        <v>12</v>
      </c>
      <c r="R156" s="24">
        <v>0.14285714285714285</v>
      </c>
      <c r="S156" s="21" t="s">
        <v>426</v>
      </c>
      <c r="U156" s="21" t="s">
        <v>287</v>
      </c>
      <c r="V156" s="21" t="s">
        <v>286</v>
      </c>
      <c r="W156" s="21">
        <v>4</v>
      </c>
      <c r="X156" s="21" t="s">
        <v>285</v>
      </c>
      <c r="Y156" s="21" t="s">
        <v>284</v>
      </c>
      <c r="Z156" s="21" t="s">
        <v>283</v>
      </c>
      <c r="AA156" s="21" t="s">
        <v>427</v>
      </c>
      <c r="AB156" s="21">
        <v>1</v>
      </c>
      <c r="AD156" s="24">
        <v>2.5099999999999998</v>
      </c>
      <c r="AE156" s="24">
        <v>7.82</v>
      </c>
      <c r="AF156" s="21" t="s">
        <v>304</v>
      </c>
      <c r="AG156" s="21" t="s">
        <v>303</v>
      </c>
    </row>
    <row r="157" spans="1:33">
      <c r="A157" s="21" t="s">
        <v>427</v>
      </c>
      <c r="B157" s="21" t="s">
        <v>763</v>
      </c>
      <c r="C157" s="25">
        <v>46106.645833333336</v>
      </c>
      <c r="D157" s="21" t="s">
        <v>37</v>
      </c>
      <c r="E157" s="24">
        <v>2.35</v>
      </c>
      <c r="F157" s="24">
        <v>10.029999999999999</v>
      </c>
      <c r="G157" s="24">
        <f>E157-F157</f>
        <v>-7.68</v>
      </c>
      <c r="H157" s="21" t="s">
        <v>294</v>
      </c>
      <c r="I157" s="21">
        <v>0</v>
      </c>
      <c r="J157" s="21">
        <v>0</v>
      </c>
      <c r="K157" s="21">
        <v>6</v>
      </c>
      <c r="L157" s="21">
        <v>0</v>
      </c>
      <c r="M157" s="21">
        <v>6</v>
      </c>
      <c r="P157" s="24">
        <f>J157+L157+N157</f>
        <v>0</v>
      </c>
      <c r="Q157" s="24">
        <f>K157+M157+O157</f>
        <v>12</v>
      </c>
      <c r="R157" s="24">
        <v>0</v>
      </c>
      <c r="S157" s="21" t="s">
        <v>443</v>
      </c>
      <c r="U157" s="21" t="s">
        <v>287</v>
      </c>
      <c r="V157" s="21" t="s">
        <v>286</v>
      </c>
      <c r="W157" s="21">
        <v>5</v>
      </c>
      <c r="X157" s="21" t="s">
        <v>285</v>
      </c>
      <c r="Y157" s="21" t="s">
        <v>284</v>
      </c>
      <c r="Z157" s="21" t="s">
        <v>283</v>
      </c>
      <c r="AA157" s="21" t="s">
        <v>427</v>
      </c>
      <c r="AB157" s="21">
        <v>1</v>
      </c>
      <c r="AD157" s="24">
        <v>2.5099999999999998</v>
      </c>
      <c r="AE157" s="24">
        <v>10.19</v>
      </c>
      <c r="AF157" s="21" t="s">
        <v>304</v>
      </c>
      <c r="AG157" s="21" t="s">
        <v>341</v>
      </c>
    </row>
    <row r="158" spans="1:33">
      <c r="A158" s="21" t="s">
        <v>427</v>
      </c>
      <c r="B158" s="21" t="s">
        <v>763</v>
      </c>
      <c r="C158" s="25">
        <v>46108.645833333336</v>
      </c>
      <c r="D158" s="21" t="s">
        <v>654</v>
      </c>
      <c r="E158" s="24">
        <v>2.35</v>
      </c>
      <c r="F158" s="24">
        <v>3.94</v>
      </c>
      <c r="G158" s="24">
        <f>E158-F158</f>
        <v>-1.5899999999999999</v>
      </c>
      <c r="H158" s="21" t="s">
        <v>294</v>
      </c>
      <c r="I158" s="21">
        <v>0</v>
      </c>
      <c r="J158" s="21">
        <v>1</v>
      </c>
      <c r="K158" s="21">
        <v>6</v>
      </c>
      <c r="L158" s="21">
        <v>6</v>
      </c>
      <c r="M158" s="21">
        <v>6</v>
      </c>
      <c r="N158" s="21">
        <v>2</v>
      </c>
      <c r="O158" s="21">
        <v>7</v>
      </c>
      <c r="P158" s="24">
        <f>J158+L158+N158</f>
        <v>9</v>
      </c>
      <c r="Q158" s="24">
        <f>K158+M158+O158</f>
        <v>19</v>
      </c>
      <c r="R158" s="24">
        <v>0.32142857142857145</v>
      </c>
      <c r="S158" s="21" t="s">
        <v>764</v>
      </c>
      <c r="U158" s="21" t="s">
        <v>287</v>
      </c>
      <c r="V158" s="21" t="s">
        <v>286</v>
      </c>
      <c r="W158" s="21">
        <v>6</v>
      </c>
      <c r="X158" s="21" t="s">
        <v>285</v>
      </c>
      <c r="Y158" s="21" t="s">
        <v>284</v>
      </c>
      <c r="Z158" s="21" t="s">
        <v>283</v>
      </c>
      <c r="AA158" s="21" t="s">
        <v>427</v>
      </c>
      <c r="AB158" s="21">
        <v>1</v>
      </c>
      <c r="AD158" s="24">
        <v>2.5099999999999998</v>
      </c>
      <c r="AE158" s="24">
        <v>3.94</v>
      </c>
      <c r="AF158" s="21" t="s">
        <v>304</v>
      </c>
      <c r="AG158" s="21" t="s">
        <v>341</v>
      </c>
    </row>
    <row r="159" spans="1:33">
      <c r="A159" s="21" t="s">
        <v>427</v>
      </c>
      <c r="B159" s="21" t="s">
        <v>763</v>
      </c>
      <c r="C159" s="25">
        <v>46111.645833333336</v>
      </c>
      <c r="D159" s="21" t="s">
        <v>91</v>
      </c>
      <c r="E159" s="24">
        <v>2.35</v>
      </c>
      <c r="F159" s="24">
        <v>5.31</v>
      </c>
      <c r="G159" s="24">
        <f>E159-F159</f>
        <v>-2.9599999999999995</v>
      </c>
      <c r="H159" s="21" t="s">
        <v>294</v>
      </c>
      <c r="I159" s="21">
        <v>0</v>
      </c>
      <c r="J159" s="21">
        <v>1</v>
      </c>
      <c r="K159" s="21">
        <v>6</v>
      </c>
      <c r="L159" s="21">
        <v>0</v>
      </c>
      <c r="M159" s="21">
        <v>6</v>
      </c>
      <c r="P159" s="24">
        <f>J159+L159+N159</f>
        <v>1</v>
      </c>
      <c r="Q159" s="24">
        <f>K159+M159+O159</f>
        <v>12</v>
      </c>
      <c r="R159" s="24">
        <v>7.6923076923076927E-2</v>
      </c>
      <c r="S159" s="21" t="s">
        <v>517</v>
      </c>
      <c r="U159" s="21" t="s">
        <v>287</v>
      </c>
      <c r="V159" s="21" t="s">
        <v>286</v>
      </c>
      <c r="W159" s="21">
        <v>7</v>
      </c>
      <c r="X159" s="21" t="s">
        <v>285</v>
      </c>
      <c r="Y159" s="21" t="s">
        <v>284</v>
      </c>
      <c r="Z159" s="21" t="s">
        <v>283</v>
      </c>
      <c r="AA159" s="21" t="s">
        <v>427</v>
      </c>
      <c r="AB159" s="21">
        <v>1</v>
      </c>
      <c r="AD159" s="24">
        <v>2.5099999999999998</v>
      </c>
      <c r="AE159" s="24">
        <v>6.44</v>
      </c>
      <c r="AF159" s="21" t="s">
        <v>304</v>
      </c>
      <c r="AG159" s="21" t="s">
        <v>303</v>
      </c>
    </row>
    <row r="160" spans="1:33">
      <c r="A160" s="21" t="s">
        <v>427</v>
      </c>
      <c r="B160" s="21" t="s">
        <v>763</v>
      </c>
      <c r="C160" s="25">
        <v>46125.333333333336</v>
      </c>
      <c r="D160" s="21" t="s">
        <v>42</v>
      </c>
      <c r="E160" s="24">
        <v>2.37</v>
      </c>
      <c r="F160" s="24">
        <v>8</v>
      </c>
      <c r="G160" s="24">
        <f>E160-F160</f>
        <v>-5.63</v>
      </c>
      <c r="H160" s="21" t="s">
        <v>294</v>
      </c>
      <c r="I160" s="21">
        <v>0</v>
      </c>
      <c r="J160" s="21">
        <v>0</v>
      </c>
      <c r="K160" s="21">
        <v>6</v>
      </c>
      <c r="L160" s="21">
        <v>0</v>
      </c>
      <c r="M160" s="21">
        <v>6</v>
      </c>
      <c r="P160" s="24">
        <f>J160+L160+N160</f>
        <v>0</v>
      </c>
      <c r="Q160" s="24">
        <f>K160+M160+O160</f>
        <v>12</v>
      </c>
      <c r="R160" s="24">
        <v>0</v>
      </c>
      <c r="S160" s="21" t="s">
        <v>390</v>
      </c>
      <c r="U160" s="21" t="s">
        <v>287</v>
      </c>
      <c r="V160" s="21" t="s">
        <v>286</v>
      </c>
      <c r="W160" s="21">
        <v>8</v>
      </c>
      <c r="X160" s="21" t="s">
        <v>285</v>
      </c>
      <c r="Y160" s="21" t="s">
        <v>284</v>
      </c>
      <c r="Z160" s="21" t="s">
        <v>283</v>
      </c>
      <c r="AA160" s="21" t="s">
        <v>427</v>
      </c>
      <c r="AB160" s="21">
        <v>1</v>
      </c>
      <c r="AD160" s="24">
        <v>2.5099999999999998</v>
      </c>
      <c r="AE160" s="24">
        <v>8.24</v>
      </c>
      <c r="AF160" s="21" t="s">
        <v>304</v>
      </c>
      <c r="AG160" s="21" t="s">
        <v>303</v>
      </c>
    </row>
    <row r="161" spans="1:33">
      <c r="A161" s="21" t="s">
        <v>427</v>
      </c>
      <c r="B161" s="21" t="s">
        <v>763</v>
      </c>
      <c r="C161" s="25">
        <v>46128.458333333336</v>
      </c>
      <c r="D161" s="21" t="s">
        <v>90</v>
      </c>
      <c r="E161" s="24">
        <v>2.38</v>
      </c>
      <c r="F161" s="24">
        <v>6.39</v>
      </c>
      <c r="G161" s="24">
        <f>E161-F161</f>
        <v>-4.01</v>
      </c>
      <c r="H161" s="21" t="s">
        <v>294</v>
      </c>
      <c r="I161" s="21">
        <v>0</v>
      </c>
      <c r="J161" s="21">
        <v>4</v>
      </c>
      <c r="K161" s="21">
        <v>8</v>
      </c>
      <c r="P161" s="24">
        <f>J161+L161+N161</f>
        <v>4</v>
      </c>
      <c r="Q161" s="24">
        <f>K161+M161+O161</f>
        <v>8</v>
      </c>
      <c r="R161" s="24">
        <v>0.33333333333333331</v>
      </c>
      <c r="T161" s="21" t="s">
        <v>297</v>
      </c>
      <c r="U161" s="21" t="s">
        <v>668</v>
      </c>
      <c r="V161" s="21" t="s">
        <v>286</v>
      </c>
      <c r="W161" s="21">
        <v>9</v>
      </c>
      <c r="X161" s="21" t="s">
        <v>285</v>
      </c>
      <c r="Y161" s="21" t="s">
        <v>284</v>
      </c>
      <c r="Z161" s="21" t="s">
        <v>283</v>
      </c>
      <c r="AA161" s="21" t="s">
        <v>427</v>
      </c>
      <c r="AB161" s="21">
        <v>1</v>
      </c>
      <c r="AD161" s="24">
        <v>2.5099999999999998</v>
      </c>
      <c r="AE161" s="24">
        <v>6.31</v>
      </c>
      <c r="AF161" s="21" t="s">
        <v>304</v>
      </c>
      <c r="AG161" s="21" t="s">
        <v>303</v>
      </c>
    </row>
    <row r="162" spans="1:33">
      <c r="A162" s="21" t="s">
        <v>73</v>
      </c>
      <c r="B162" s="21" t="s">
        <v>485</v>
      </c>
      <c r="C162" s="25">
        <v>46098.645833333336</v>
      </c>
      <c r="D162" s="21" t="s">
        <v>5</v>
      </c>
      <c r="E162" s="24">
        <v>3.35</v>
      </c>
      <c r="F162" s="24">
        <v>8.92</v>
      </c>
      <c r="G162" s="24">
        <f>E162-F162</f>
        <v>-5.57</v>
      </c>
      <c r="H162" s="21" t="s">
        <v>294</v>
      </c>
      <c r="I162" s="21">
        <v>0</v>
      </c>
      <c r="J162" s="21">
        <v>0</v>
      </c>
      <c r="K162" s="21">
        <v>6</v>
      </c>
      <c r="L162" s="21">
        <v>1</v>
      </c>
      <c r="M162" s="21">
        <v>6</v>
      </c>
      <c r="P162" s="24">
        <f>J162+L162+N162</f>
        <v>1</v>
      </c>
      <c r="Q162" s="24">
        <f>K162+M162+O162</f>
        <v>12</v>
      </c>
      <c r="R162" s="24">
        <v>7.6923076923076927E-2</v>
      </c>
      <c r="S162" s="21" t="s">
        <v>445</v>
      </c>
      <c r="U162" s="21" t="s">
        <v>287</v>
      </c>
      <c r="V162" s="21" t="s">
        <v>286</v>
      </c>
      <c r="W162" s="21">
        <v>0</v>
      </c>
      <c r="X162" s="21" t="s">
        <v>312</v>
      </c>
      <c r="Y162" s="21" t="s">
        <v>284</v>
      </c>
      <c r="Z162" s="21" t="s">
        <v>283</v>
      </c>
      <c r="AA162" s="21" t="s">
        <v>73</v>
      </c>
      <c r="AB162" s="21">
        <v>1</v>
      </c>
      <c r="AD162" s="24">
        <v>4.26</v>
      </c>
      <c r="AE162" s="24">
        <v>7.96</v>
      </c>
      <c r="AF162" s="21" t="s">
        <v>302</v>
      </c>
      <c r="AG162" s="21" t="s">
        <v>301</v>
      </c>
    </row>
    <row r="163" spans="1:33">
      <c r="A163" s="21" t="s">
        <v>73</v>
      </c>
      <c r="B163" s="21" t="s">
        <v>485</v>
      </c>
      <c r="C163" s="25">
        <v>46099.645833333336</v>
      </c>
      <c r="D163" s="21" t="s">
        <v>675</v>
      </c>
      <c r="E163" s="24">
        <v>3.35</v>
      </c>
      <c r="F163" s="24">
        <v>3.16</v>
      </c>
      <c r="G163" s="24">
        <f>E163-F163</f>
        <v>0.18999999999999995</v>
      </c>
      <c r="H163" s="21" t="s">
        <v>289</v>
      </c>
      <c r="I163" s="21">
        <v>1</v>
      </c>
      <c r="J163" s="21">
        <v>3</v>
      </c>
      <c r="K163" s="21">
        <v>6</v>
      </c>
      <c r="L163" s="21">
        <v>6</v>
      </c>
      <c r="M163" s="21">
        <v>3</v>
      </c>
      <c r="N163" s="21">
        <v>6</v>
      </c>
      <c r="O163" s="21">
        <v>3</v>
      </c>
      <c r="P163" s="24">
        <f>J163+L163+N163</f>
        <v>15</v>
      </c>
      <c r="Q163" s="24">
        <f>K163+M163+O163</f>
        <v>12</v>
      </c>
      <c r="R163" s="24">
        <v>0.55555555555555558</v>
      </c>
      <c r="S163" s="21" t="s">
        <v>491</v>
      </c>
      <c r="U163" s="21" t="s">
        <v>287</v>
      </c>
      <c r="V163" s="21" t="s">
        <v>286</v>
      </c>
      <c r="W163" s="21">
        <v>1</v>
      </c>
      <c r="X163" s="21" t="s">
        <v>323</v>
      </c>
      <c r="Y163" s="21" t="s">
        <v>284</v>
      </c>
      <c r="Z163" s="21" t="s">
        <v>283</v>
      </c>
      <c r="AA163" s="21" t="s">
        <v>73</v>
      </c>
      <c r="AB163" s="21">
        <v>1</v>
      </c>
      <c r="AD163" s="24">
        <v>4.26</v>
      </c>
      <c r="AE163" s="24">
        <v>3.8</v>
      </c>
      <c r="AF163" s="21" t="s">
        <v>302</v>
      </c>
      <c r="AG163" s="21" t="s">
        <v>301</v>
      </c>
    </row>
    <row r="164" spans="1:33">
      <c r="A164" s="21" t="s">
        <v>73</v>
      </c>
      <c r="B164" s="21" t="s">
        <v>485</v>
      </c>
      <c r="C164" s="25">
        <v>46105.645833333336</v>
      </c>
      <c r="D164" s="21" t="s">
        <v>128</v>
      </c>
      <c r="E164" s="24">
        <v>3.35</v>
      </c>
      <c r="F164" s="24">
        <v>6.58</v>
      </c>
      <c r="G164" s="24">
        <f>E164-F164</f>
        <v>-3.23</v>
      </c>
      <c r="H164" s="21" t="s">
        <v>294</v>
      </c>
      <c r="I164" s="21">
        <v>0</v>
      </c>
      <c r="J164" s="21">
        <v>0</v>
      </c>
      <c r="K164" s="21">
        <v>6</v>
      </c>
      <c r="L164" s="21">
        <v>1</v>
      </c>
      <c r="M164" s="21">
        <v>6</v>
      </c>
      <c r="P164" s="24">
        <f>J164+L164+N164</f>
        <v>1</v>
      </c>
      <c r="Q164" s="24">
        <f>K164+M164+O164</f>
        <v>12</v>
      </c>
      <c r="R164" s="24">
        <v>7.6923076923076927E-2</v>
      </c>
      <c r="S164" s="21" t="s">
        <v>213</v>
      </c>
      <c r="U164" s="21" t="s">
        <v>287</v>
      </c>
      <c r="V164" s="21" t="s">
        <v>286</v>
      </c>
      <c r="W164" s="21">
        <v>2</v>
      </c>
      <c r="X164" s="21" t="s">
        <v>310</v>
      </c>
      <c r="Y164" s="21" t="s">
        <v>284</v>
      </c>
      <c r="Z164" s="21" t="s">
        <v>283</v>
      </c>
      <c r="AA164" s="21" t="s">
        <v>73</v>
      </c>
      <c r="AB164" s="21">
        <v>1</v>
      </c>
      <c r="AD164" s="24">
        <v>4.26</v>
      </c>
      <c r="AE164" s="24">
        <v>6.88</v>
      </c>
      <c r="AF164" s="21" t="s">
        <v>302</v>
      </c>
      <c r="AG164" s="21" t="s">
        <v>301</v>
      </c>
    </row>
    <row r="165" spans="1:33">
      <c r="A165" s="21" t="s">
        <v>73</v>
      </c>
      <c r="B165" s="21" t="s">
        <v>485</v>
      </c>
      <c r="C165" s="25">
        <v>46106.645833333336</v>
      </c>
      <c r="D165" s="21" t="s">
        <v>67</v>
      </c>
      <c r="E165" s="24">
        <v>3.35</v>
      </c>
      <c r="F165" s="24">
        <v>5.95</v>
      </c>
      <c r="G165" s="24">
        <f>E165-F165</f>
        <v>-2.6</v>
      </c>
      <c r="H165" s="21" t="s">
        <v>294</v>
      </c>
      <c r="I165" s="21">
        <v>0</v>
      </c>
      <c r="J165" s="21">
        <v>1</v>
      </c>
      <c r="K165" s="21">
        <v>6</v>
      </c>
      <c r="L165" s="21">
        <v>0</v>
      </c>
      <c r="M165" s="21">
        <v>6</v>
      </c>
      <c r="P165" s="24">
        <f>J165+L165+N165</f>
        <v>1</v>
      </c>
      <c r="Q165" s="24">
        <f>K165+M165+O165</f>
        <v>12</v>
      </c>
      <c r="R165" s="24">
        <v>7.6923076923076927E-2</v>
      </c>
      <c r="S165" s="21" t="s">
        <v>321</v>
      </c>
      <c r="U165" s="21" t="s">
        <v>287</v>
      </c>
      <c r="V165" s="21" t="s">
        <v>286</v>
      </c>
      <c r="W165" s="21">
        <v>3</v>
      </c>
      <c r="X165" s="21" t="s">
        <v>285</v>
      </c>
      <c r="Y165" s="21" t="s">
        <v>284</v>
      </c>
      <c r="Z165" s="21" t="s">
        <v>283</v>
      </c>
      <c r="AA165" s="21" t="s">
        <v>73</v>
      </c>
      <c r="AB165" s="21">
        <v>1</v>
      </c>
      <c r="AD165" s="24">
        <v>4.26</v>
      </c>
      <c r="AE165" s="24">
        <v>6.73</v>
      </c>
      <c r="AF165" s="21" t="s">
        <v>302</v>
      </c>
      <c r="AG165" s="21" t="s">
        <v>301</v>
      </c>
    </row>
    <row r="166" spans="1:33">
      <c r="A166" s="21" t="s">
        <v>73</v>
      </c>
      <c r="B166" s="21" t="s">
        <v>485</v>
      </c>
      <c r="C166" s="25">
        <v>46111.645833333336</v>
      </c>
      <c r="D166" s="21" t="s">
        <v>206</v>
      </c>
      <c r="E166" s="24">
        <v>3.35</v>
      </c>
      <c r="F166" s="24">
        <v>5.96</v>
      </c>
      <c r="G166" s="24">
        <f>E166-F166</f>
        <v>-2.61</v>
      </c>
      <c r="H166" s="21" t="s">
        <v>294</v>
      </c>
      <c r="I166" s="21">
        <v>0</v>
      </c>
      <c r="J166" s="21">
        <v>2</v>
      </c>
      <c r="K166" s="21">
        <v>6</v>
      </c>
      <c r="L166" s="21">
        <v>3</v>
      </c>
      <c r="M166" s="21">
        <v>6</v>
      </c>
      <c r="P166" s="24">
        <f>J166+L166+N166</f>
        <v>5</v>
      </c>
      <c r="Q166" s="24">
        <f>K166+M166+O166</f>
        <v>12</v>
      </c>
      <c r="R166" s="24">
        <v>0.29411764705882354</v>
      </c>
      <c r="S166" s="21" t="s">
        <v>182</v>
      </c>
      <c r="U166" s="21" t="s">
        <v>287</v>
      </c>
      <c r="V166" s="21" t="s">
        <v>286</v>
      </c>
      <c r="W166" s="21">
        <v>4</v>
      </c>
      <c r="X166" s="21" t="s">
        <v>285</v>
      </c>
      <c r="Y166" s="21" t="s">
        <v>284</v>
      </c>
      <c r="Z166" s="21" t="s">
        <v>283</v>
      </c>
      <c r="AA166" s="21" t="s">
        <v>73</v>
      </c>
      <c r="AB166" s="21">
        <v>1</v>
      </c>
      <c r="AD166" s="24">
        <v>4.26</v>
      </c>
      <c r="AE166" s="24">
        <v>5.62</v>
      </c>
      <c r="AF166" s="21" t="s">
        <v>304</v>
      </c>
      <c r="AG166" s="21" t="s">
        <v>303</v>
      </c>
    </row>
    <row r="167" spans="1:33">
      <c r="A167" s="21" t="s">
        <v>73</v>
      </c>
      <c r="B167" s="21" t="s">
        <v>485</v>
      </c>
      <c r="C167" s="25">
        <v>46119.645833333336</v>
      </c>
      <c r="D167" s="21" t="s">
        <v>659</v>
      </c>
      <c r="E167" s="24">
        <v>3.15</v>
      </c>
      <c r="F167" s="24">
        <v>2.65</v>
      </c>
      <c r="G167" s="24">
        <f>E167-F167</f>
        <v>0.5</v>
      </c>
      <c r="H167" s="21" t="s">
        <v>289</v>
      </c>
      <c r="I167" s="21">
        <v>1</v>
      </c>
      <c r="J167" s="21">
        <v>6</v>
      </c>
      <c r="K167" s="21">
        <v>3</v>
      </c>
      <c r="L167" s="21">
        <v>6</v>
      </c>
      <c r="M167" s="21">
        <v>2</v>
      </c>
      <c r="P167" s="24">
        <f>J167+L167+N167</f>
        <v>12</v>
      </c>
      <c r="Q167" s="24">
        <f>K167+M167+O167</f>
        <v>5</v>
      </c>
      <c r="R167" s="24">
        <v>0.70588235294117652</v>
      </c>
      <c r="S167" s="21" t="s">
        <v>164</v>
      </c>
      <c r="U167" s="21" t="s">
        <v>287</v>
      </c>
      <c r="V167" s="21" t="s">
        <v>286</v>
      </c>
      <c r="W167" s="21">
        <v>5</v>
      </c>
      <c r="X167" s="21" t="s">
        <v>285</v>
      </c>
      <c r="Y167" s="21" t="s">
        <v>284</v>
      </c>
      <c r="Z167" s="21" t="s">
        <v>283</v>
      </c>
      <c r="AA167" s="21" t="s">
        <v>73</v>
      </c>
      <c r="AB167" s="21">
        <v>1</v>
      </c>
      <c r="AD167" s="24">
        <v>4.26</v>
      </c>
      <c r="AE167" s="24">
        <v>2.65</v>
      </c>
      <c r="AF167" s="21" t="s">
        <v>302</v>
      </c>
      <c r="AG167" s="21" t="s">
        <v>301</v>
      </c>
    </row>
    <row r="168" spans="1:33">
      <c r="A168" s="21" t="s">
        <v>73</v>
      </c>
      <c r="B168" s="21" t="s">
        <v>485</v>
      </c>
      <c r="C168" s="25">
        <v>46120.645833333336</v>
      </c>
      <c r="D168" s="21" t="s">
        <v>793</v>
      </c>
      <c r="E168" s="24">
        <v>3.15</v>
      </c>
      <c r="F168" s="24">
        <v>3.12</v>
      </c>
      <c r="G168" s="24">
        <f>E168-F168</f>
        <v>2.9999999999999805E-2</v>
      </c>
      <c r="H168" s="21" t="s">
        <v>289</v>
      </c>
      <c r="I168" s="21">
        <v>1</v>
      </c>
      <c r="J168" s="21">
        <v>6</v>
      </c>
      <c r="K168" s="21">
        <v>2</v>
      </c>
      <c r="L168" s="21">
        <v>7</v>
      </c>
      <c r="M168" s="21">
        <v>5</v>
      </c>
      <c r="P168" s="24">
        <f>J168+L168+N168</f>
        <v>13</v>
      </c>
      <c r="Q168" s="24">
        <f>K168+M168+O168</f>
        <v>7</v>
      </c>
      <c r="R168" s="24">
        <v>0.65</v>
      </c>
      <c r="S168" s="21" t="s">
        <v>489</v>
      </c>
      <c r="U168" s="21" t="s">
        <v>287</v>
      </c>
      <c r="V168" s="21" t="s">
        <v>286</v>
      </c>
      <c r="W168" s="21">
        <v>6</v>
      </c>
      <c r="X168" s="21" t="s">
        <v>285</v>
      </c>
      <c r="Y168" s="21" t="s">
        <v>284</v>
      </c>
      <c r="Z168" s="21" t="s">
        <v>283</v>
      </c>
      <c r="AA168" s="21" t="s">
        <v>73</v>
      </c>
      <c r="AB168" s="21">
        <v>1</v>
      </c>
      <c r="AD168" s="24">
        <v>4.26</v>
      </c>
      <c r="AE168" s="24">
        <v>3.12</v>
      </c>
      <c r="AF168" s="21" t="s">
        <v>304</v>
      </c>
      <c r="AG168" s="21" t="s">
        <v>341</v>
      </c>
    </row>
    <row r="169" spans="1:33">
      <c r="A169" s="21" t="s">
        <v>73</v>
      </c>
      <c r="B169" s="21" t="s">
        <v>485</v>
      </c>
      <c r="C169" s="25">
        <v>46125.645833333336</v>
      </c>
      <c r="D169" s="21" t="s">
        <v>792</v>
      </c>
      <c r="E169" s="24">
        <v>3.15</v>
      </c>
      <c r="F169" s="24">
        <v>3.82</v>
      </c>
      <c r="G169" s="24">
        <f>E169-F169</f>
        <v>-0.66999999999999993</v>
      </c>
      <c r="H169" s="21" t="s">
        <v>289</v>
      </c>
      <c r="I169" s="21">
        <v>1</v>
      </c>
      <c r="J169" s="21">
        <v>6</v>
      </c>
      <c r="K169" s="21">
        <v>3</v>
      </c>
      <c r="L169" s="21">
        <v>6</v>
      </c>
      <c r="M169" s="21">
        <v>2</v>
      </c>
      <c r="P169" s="24">
        <f>J169+L169+N169</f>
        <v>12</v>
      </c>
      <c r="Q169" s="24">
        <f>K169+M169+O169</f>
        <v>5</v>
      </c>
      <c r="R169" s="24">
        <v>0.70588235294117652</v>
      </c>
      <c r="S169" s="21" t="s">
        <v>487</v>
      </c>
      <c r="U169" s="21" t="s">
        <v>287</v>
      </c>
      <c r="V169" s="21" t="s">
        <v>286</v>
      </c>
      <c r="W169" s="21">
        <v>7</v>
      </c>
      <c r="X169" s="21" t="s">
        <v>285</v>
      </c>
      <c r="Y169" s="21" t="s">
        <v>284</v>
      </c>
      <c r="Z169" s="21" t="s">
        <v>283</v>
      </c>
      <c r="AA169" s="21" t="s">
        <v>73</v>
      </c>
      <c r="AB169" s="21">
        <v>1</v>
      </c>
      <c r="AD169" s="24">
        <v>4.26</v>
      </c>
      <c r="AE169" s="24">
        <v>3.82</v>
      </c>
      <c r="AF169" s="21" t="s">
        <v>304</v>
      </c>
      <c r="AG169" s="21" t="s">
        <v>341</v>
      </c>
    </row>
    <row r="170" spans="1:33">
      <c r="A170" s="21" t="s">
        <v>73</v>
      </c>
      <c r="B170" s="21" t="s">
        <v>485</v>
      </c>
      <c r="C170" s="25">
        <v>46126.645833333336</v>
      </c>
      <c r="D170" s="21" t="s">
        <v>138</v>
      </c>
      <c r="E170" s="24">
        <v>3.08</v>
      </c>
      <c r="F170" s="24">
        <v>7.44</v>
      </c>
      <c r="G170" s="24">
        <f>E170-F170</f>
        <v>-4.3600000000000003</v>
      </c>
      <c r="H170" s="21" t="s">
        <v>294</v>
      </c>
      <c r="I170" s="21">
        <v>0</v>
      </c>
      <c r="J170" s="21">
        <v>0</v>
      </c>
      <c r="K170" s="21">
        <v>6</v>
      </c>
      <c r="L170" s="21">
        <v>0</v>
      </c>
      <c r="M170" s="21">
        <v>6</v>
      </c>
      <c r="P170" s="24">
        <f>J170+L170+N170</f>
        <v>0</v>
      </c>
      <c r="Q170" s="24">
        <f>K170+M170+O170</f>
        <v>12</v>
      </c>
      <c r="R170" s="24">
        <v>0</v>
      </c>
      <c r="S170" s="21" t="s">
        <v>486</v>
      </c>
      <c r="U170" s="21" t="s">
        <v>287</v>
      </c>
      <c r="V170" s="21" t="s">
        <v>286</v>
      </c>
      <c r="W170" s="21">
        <v>8</v>
      </c>
      <c r="X170" s="21" t="s">
        <v>285</v>
      </c>
      <c r="Y170" s="21" t="s">
        <v>284</v>
      </c>
      <c r="Z170" s="21" t="s">
        <v>283</v>
      </c>
      <c r="AA170" s="21" t="s">
        <v>73</v>
      </c>
      <c r="AB170" s="21">
        <v>1</v>
      </c>
      <c r="AD170" s="24">
        <v>4.26</v>
      </c>
      <c r="AE170" s="24">
        <v>7.44</v>
      </c>
      <c r="AF170" s="21" t="s">
        <v>322</v>
      </c>
      <c r="AG170" s="21" t="s">
        <v>301</v>
      </c>
    </row>
    <row r="171" spans="1:33">
      <c r="A171" s="21" t="s">
        <v>73</v>
      </c>
      <c r="B171" s="21" t="s">
        <v>485</v>
      </c>
      <c r="C171" s="25">
        <v>46133.645833333336</v>
      </c>
      <c r="D171" s="21" t="s">
        <v>72</v>
      </c>
      <c r="E171" s="24">
        <v>3.51</v>
      </c>
      <c r="F171" s="24">
        <v>3.98</v>
      </c>
      <c r="G171" s="24">
        <f>E171-F171</f>
        <v>-0.4700000000000002</v>
      </c>
      <c r="H171" s="21" t="s">
        <v>289</v>
      </c>
      <c r="I171" s="21">
        <v>1</v>
      </c>
      <c r="J171" s="21">
        <v>7</v>
      </c>
      <c r="K171" s="21">
        <v>5</v>
      </c>
      <c r="L171" s="21">
        <v>6</v>
      </c>
      <c r="M171" s="21">
        <v>2</v>
      </c>
      <c r="P171" s="24">
        <f>J171+L171+N171</f>
        <v>13</v>
      </c>
      <c r="Q171" s="24">
        <f>K171+M171+O171</f>
        <v>7</v>
      </c>
      <c r="R171" s="24">
        <v>0.65</v>
      </c>
      <c r="S171" s="21" t="s">
        <v>74</v>
      </c>
      <c r="U171" s="21" t="s">
        <v>287</v>
      </c>
      <c r="V171" s="21" t="s">
        <v>286</v>
      </c>
      <c r="W171" s="21">
        <v>9</v>
      </c>
      <c r="X171" s="21" t="s">
        <v>285</v>
      </c>
      <c r="Y171" s="21" t="s">
        <v>284</v>
      </c>
      <c r="Z171" s="21" t="s">
        <v>283</v>
      </c>
      <c r="AA171" s="21" t="s">
        <v>73</v>
      </c>
      <c r="AB171" s="21">
        <v>1</v>
      </c>
      <c r="AD171" s="24">
        <v>4.26</v>
      </c>
      <c r="AE171" s="24">
        <v>3.78</v>
      </c>
      <c r="AF171" s="21" t="s">
        <v>322</v>
      </c>
      <c r="AG171" s="21" t="s">
        <v>301</v>
      </c>
    </row>
    <row r="172" spans="1:33">
      <c r="A172" s="21" t="s">
        <v>73</v>
      </c>
      <c r="B172" s="21" t="s">
        <v>485</v>
      </c>
      <c r="C172" s="25">
        <v>46136.645833333336</v>
      </c>
      <c r="D172" s="21" t="s">
        <v>791</v>
      </c>
      <c r="E172" s="24">
        <v>3.51</v>
      </c>
      <c r="F172" s="24">
        <v>2.06</v>
      </c>
      <c r="G172" s="24">
        <f>E172-F172</f>
        <v>1.4499999999999997</v>
      </c>
      <c r="H172" s="21" t="s">
        <v>289</v>
      </c>
      <c r="I172" s="21">
        <v>1</v>
      </c>
      <c r="J172" s="21">
        <v>6</v>
      </c>
      <c r="K172" s="21">
        <v>0</v>
      </c>
      <c r="L172" s="21">
        <v>6</v>
      </c>
      <c r="M172" s="21">
        <v>1</v>
      </c>
      <c r="P172" s="24">
        <f>J172+L172+N172</f>
        <v>12</v>
      </c>
      <c r="Q172" s="24">
        <f>K172+M172+O172</f>
        <v>1</v>
      </c>
      <c r="R172" s="24">
        <v>0.92307692307692313</v>
      </c>
      <c r="S172" s="21" t="s">
        <v>55</v>
      </c>
      <c r="U172" s="21" t="s">
        <v>287</v>
      </c>
      <c r="V172" s="21" t="s">
        <v>286</v>
      </c>
      <c r="W172" s="21">
        <v>10</v>
      </c>
      <c r="X172" s="21" t="s">
        <v>285</v>
      </c>
      <c r="Y172" s="21" t="s">
        <v>284</v>
      </c>
      <c r="Z172" s="21" t="s">
        <v>283</v>
      </c>
      <c r="AA172" s="21" t="s">
        <v>73</v>
      </c>
      <c r="AB172" s="21">
        <v>1</v>
      </c>
      <c r="AD172" s="24">
        <v>4.26</v>
      </c>
      <c r="AE172" s="24">
        <v>2.06</v>
      </c>
      <c r="AF172" s="21" t="s">
        <v>304</v>
      </c>
      <c r="AG172" s="21" t="s">
        <v>341</v>
      </c>
    </row>
    <row r="173" spans="1:33">
      <c r="A173" s="21" t="s">
        <v>703</v>
      </c>
      <c r="B173" s="21" t="s">
        <v>473</v>
      </c>
      <c r="C173" s="25">
        <v>46118.625</v>
      </c>
      <c r="D173" s="21" t="s">
        <v>385</v>
      </c>
      <c r="E173" s="24">
        <v>6.69</v>
      </c>
      <c r="F173" s="24">
        <v>2.4900000000000002</v>
      </c>
      <c r="G173" s="24">
        <f>E173-F173</f>
        <v>4.2</v>
      </c>
      <c r="H173" s="21" t="s">
        <v>289</v>
      </c>
      <c r="I173" s="21">
        <v>1</v>
      </c>
      <c r="J173" s="21">
        <v>6</v>
      </c>
      <c r="K173" s="21">
        <v>0</v>
      </c>
      <c r="L173" s="21">
        <v>6</v>
      </c>
      <c r="M173" s="21">
        <v>1</v>
      </c>
      <c r="P173" s="24">
        <f>J173+L173+N173</f>
        <v>12</v>
      </c>
      <c r="Q173" s="24">
        <f>K173+M173+O173</f>
        <v>1</v>
      </c>
      <c r="R173" s="24">
        <v>0.92307692307692313</v>
      </c>
      <c r="S173" s="21" t="s">
        <v>166</v>
      </c>
      <c r="U173" s="21" t="s">
        <v>287</v>
      </c>
      <c r="V173" s="21" t="s">
        <v>286</v>
      </c>
      <c r="W173" s="21">
        <v>0</v>
      </c>
      <c r="X173" s="21" t="s">
        <v>312</v>
      </c>
      <c r="Y173" s="21" t="s">
        <v>284</v>
      </c>
      <c r="Z173" s="21" t="s">
        <v>283</v>
      </c>
      <c r="AA173" s="21" t="s">
        <v>703</v>
      </c>
      <c r="AB173" s="21">
        <v>1</v>
      </c>
      <c r="AD173" s="24">
        <v>6.81</v>
      </c>
      <c r="AE173" s="24">
        <v>3.65</v>
      </c>
      <c r="AF173" s="21" t="s">
        <v>302</v>
      </c>
      <c r="AG173" s="21" t="s">
        <v>301</v>
      </c>
    </row>
    <row r="174" spans="1:33">
      <c r="A174" s="21" t="s">
        <v>703</v>
      </c>
      <c r="B174" s="21" t="s">
        <v>473</v>
      </c>
      <c r="C174" s="25">
        <v>46127.645833333336</v>
      </c>
      <c r="D174" s="21" t="s">
        <v>58</v>
      </c>
      <c r="E174" s="24">
        <v>6.69</v>
      </c>
      <c r="F174" s="24">
        <v>4.51</v>
      </c>
      <c r="G174" s="24">
        <f>E174-F174</f>
        <v>2.1800000000000006</v>
      </c>
      <c r="H174" s="21" t="s">
        <v>289</v>
      </c>
      <c r="I174" s="21">
        <v>1</v>
      </c>
      <c r="J174" s="21">
        <v>6</v>
      </c>
      <c r="K174" s="21">
        <v>2</v>
      </c>
      <c r="L174" s="21">
        <v>6</v>
      </c>
      <c r="M174" s="21">
        <v>1</v>
      </c>
      <c r="P174" s="24">
        <f>J174+L174+N174</f>
        <v>12</v>
      </c>
      <c r="Q174" s="24">
        <f>K174+M174+O174</f>
        <v>3</v>
      </c>
      <c r="R174" s="24">
        <v>0.8</v>
      </c>
      <c r="S174" s="21" t="s">
        <v>586</v>
      </c>
      <c r="U174" s="21" t="s">
        <v>287</v>
      </c>
      <c r="V174" s="21" t="s">
        <v>286</v>
      </c>
      <c r="W174" s="21">
        <v>1</v>
      </c>
      <c r="X174" s="21" t="s">
        <v>323</v>
      </c>
      <c r="Y174" s="21" t="s">
        <v>284</v>
      </c>
      <c r="Z174" s="21" t="s">
        <v>283</v>
      </c>
      <c r="AA174" s="21" t="s">
        <v>703</v>
      </c>
      <c r="AB174" s="21">
        <v>1</v>
      </c>
      <c r="AD174" s="24">
        <v>6.81</v>
      </c>
      <c r="AE174" s="24">
        <v>4.79</v>
      </c>
      <c r="AF174" s="21" t="s">
        <v>304</v>
      </c>
      <c r="AG174" s="21" t="s">
        <v>303</v>
      </c>
    </row>
    <row r="175" spans="1:33">
      <c r="A175" s="21" t="s">
        <v>251</v>
      </c>
      <c r="B175" s="21" t="s">
        <v>788</v>
      </c>
      <c r="C175" s="25">
        <v>46046</v>
      </c>
      <c r="D175" s="21" t="s">
        <v>790</v>
      </c>
      <c r="E175" s="24">
        <v>5.43</v>
      </c>
      <c r="F175" s="24">
        <v>4.62</v>
      </c>
      <c r="G175" s="24">
        <f>E175-F175</f>
        <v>0.80999999999999961</v>
      </c>
      <c r="H175" s="21" t="s">
        <v>289</v>
      </c>
      <c r="I175" s="21">
        <v>1</v>
      </c>
      <c r="J175" s="21">
        <v>6</v>
      </c>
      <c r="K175" s="21">
        <v>3</v>
      </c>
      <c r="P175" s="24">
        <f>J175+L175+N175</f>
        <v>6</v>
      </c>
      <c r="Q175" s="24">
        <f>K175+M175+O175</f>
        <v>3</v>
      </c>
      <c r="R175" s="24">
        <v>0.66666666666666663</v>
      </c>
      <c r="S175" s="21" t="s">
        <v>734</v>
      </c>
      <c r="U175" s="21" t="s">
        <v>292</v>
      </c>
      <c r="V175" s="21" t="s">
        <v>286</v>
      </c>
      <c r="W175" s="21">
        <v>0</v>
      </c>
      <c r="X175" s="21" t="s">
        <v>312</v>
      </c>
      <c r="Y175" s="21" t="s">
        <v>603</v>
      </c>
      <c r="Z175" s="21" t="s">
        <v>602</v>
      </c>
      <c r="AA175" s="21" t="s">
        <v>251</v>
      </c>
      <c r="AB175" s="21">
        <v>1</v>
      </c>
      <c r="AC175" s="21" t="s">
        <v>785</v>
      </c>
      <c r="AD175" s="24">
        <v>5.43</v>
      </c>
      <c r="AE175" s="24">
        <v>4.62</v>
      </c>
      <c r="AF175" s="21" t="s">
        <v>304</v>
      </c>
      <c r="AG175" s="21" t="s">
        <v>303</v>
      </c>
    </row>
    <row r="176" spans="1:33">
      <c r="A176" s="21" t="s">
        <v>251</v>
      </c>
      <c r="B176" s="21" t="s">
        <v>788</v>
      </c>
      <c r="C176" s="25">
        <v>46088</v>
      </c>
      <c r="D176" s="21" t="s">
        <v>789</v>
      </c>
      <c r="E176" s="24">
        <v>5.43</v>
      </c>
      <c r="F176" s="24">
        <v>3.62</v>
      </c>
      <c r="G176" s="24">
        <f>E176-F176</f>
        <v>1.8099999999999996</v>
      </c>
      <c r="H176" s="21" t="s">
        <v>294</v>
      </c>
      <c r="I176" s="21">
        <v>0</v>
      </c>
      <c r="J176" s="21">
        <v>3</v>
      </c>
      <c r="K176" s="21">
        <v>6</v>
      </c>
      <c r="P176" s="24">
        <f>J176+L176+N176</f>
        <v>3</v>
      </c>
      <c r="Q176" s="24">
        <f>K176+M176+O176</f>
        <v>6</v>
      </c>
      <c r="R176" s="24">
        <v>0.33333333333333331</v>
      </c>
      <c r="S176" s="21" t="s">
        <v>786</v>
      </c>
      <c r="U176" s="21" t="s">
        <v>292</v>
      </c>
      <c r="V176" s="21" t="s">
        <v>286</v>
      </c>
      <c r="W176" s="21">
        <v>1</v>
      </c>
      <c r="X176" s="21" t="s">
        <v>323</v>
      </c>
      <c r="Y176" s="21" t="s">
        <v>603</v>
      </c>
      <c r="Z176" s="21" t="s">
        <v>602</v>
      </c>
      <c r="AA176" s="21" t="s">
        <v>251</v>
      </c>
      <c r="AB176" s="21">
        <v>1</v>
      </c>
      <c r="AC176" s="21" t="s">
        <v>785</v>
      </c>
      <c r="AD176" s="24">
        <v>5.43</v>
      </c>
      <c r="AE176" s="24">
        <v>3.62</v>
      </c>
      <c r="AF176" s="21" t="s">
        <v>304</v>
      </c>
      <c r="AG176" s="21" t="s">
        <v>303</v>
      </c>
    </row>
    <row r="177" spans="1:33">
      <c r="A177" s="21" t="s">
        <v>251</v>
      </c>
      <c r="B177" s="21" t="s">
        <v>788</v>
      </c>
      <c r="C177" s="25">
        <v>46088.000694444447</v>
      </c>
      <c r="D177" s="21" t="s">
        <v>787</v>
      </c>
      <c r="E177" s="24">
        <v>5.43</v>
      </c>
      <c r="F177" s="24">
        <v>6.29</v>
      </c>
      <c r="G177" s="24">
        <f>E177-F177</f>
        <v>-0.86000000000000032</v>
      </c>
      <c r="H177" s="21" t="s">
        <v>294</v>
      </c>
      <c r="I177" s="21">
        <v>0</v>
      </c>
      <c r="J177" s="21">
        <v>2</v>
      </c>
      <c r="K177" s="21">
        <v>6</v>
      </c>
      <c r="P177" s="24">
        <f>J177+L177+N177</f>
        <v>2</v>
      </c>
      <c r="Q177" s="24">
        <f>K177+M177+O177</f>
        <v>6</v>
      </c>
      <c r="R177" s="24">
        <v>0.25</v>
      </c>
      <c r="S177" s="21" t="s">
        <v>786</v>
      </c>
      <c r="T177" s="21" t="s">
        <v>313</v>
      </c>
      <c r="U177" s="21" t="s">
        <v>292</v>
      </c>
      <c r="V177" s="21" t="s">
        <v>286</v>
      </c>
      <c r="W177" s="21">
        <v>2</v>
      </c>
      <c r="X177" s="21" t="s">
        <v>310</v>
      </c>
      <c r="Y177" s="21" t="s">
        <v>603</v>
      </c>
      <c r="Z177" s="21" t="s">
        <v>602</v>
      </c>
      <c r="AA177" s="21" t="s">
        <v>251</v>
      </c>
      <c r="AB177" s="21">
        <v>1</v>
      </c>
      <c r="AC177" s="21" t="s">
        <v>785</v>
      </c>
      <c r="AD177" s="24">
        <v>5.43</v>
      </c>
      <c r="AE177" s="24">
        <v>6.29</v>
      </c>
      <c r="AF177" s="21" t="s">
        <v>304</v>
      </c>
      <c r="AG177" s="21" t="s">
        <v>341</v>
      </c>
    </row>
    <row r="178" spans="1:33">
      <c r="A178" s="21" t="s">
        <v>115</v>
      </c>
      <c r="B178" s="21" t="s">
        <v>732</v>
      </c>
      <c r="C178" s="25">
        <v>46039</v>
      </c>
      <c r="D178" s="21" t="s">
        <v>784</v>
      </c>
      <c r="E178" s="24">
        <v>5.45</v>
      </c>
      <c r="F178" s="24">
        <v>4.59</v>
      </c>
      <c r="G178" s="24">
        <f>E178-F178</f>
        <v>0.86000000000000032</v>
      </c>
      <c r="H178" s="21" t="s">
        <v>289</v>
      </c>
      <c r="I178" s="21">
        <v>1</v>
      </c>
      <c r="J178" s="21">
        <v>8</v>
      </c>
      <c r="K178" s="21">
        <v>4</v>
      </c>
      <c r="P178" s="24">
        <f>J178+L178+N178</f>
        <v>8</v>
      </c>
      <c r="Q178" s="24">
        <f>K178+M178+O178</f>
        <v>4</v>
      </c>
      <c r="R178" s="24">
        <v>0.66666666666666663</v>
      </c>
      <c r="S178" s="21" t="s">
        <v>533</v>
      </c>
      <c r="U178" s="21" t="s">
        <v>287</v>
      </c>
      <c r="V178" s="21" t="s">
        <v>286</v>
      </c>
      <c r="W178" s="21">
        <v>0</v>
      </c>
      <c r="X178" s="21" t="s">
        <v>312</v>
      </c>
      <c r="Y178" s="21" t="s">
        <v>284</v>
      </c>
      <c r="Z178" s="21" t="s">
        <v>283</v>
      </c>
      <c r="AA178" s="21" t="s">
        <v>115</v>
      </c>
      <c r="AB178" s="21">
        <v>1</v>
      </c>
      <c r="AD178" s="24">
        <v>5.45</v>
      </c>
      <c r="AE178" s="24">
        <v>4.59</v>
      </c>
      <c r="AF178" s="21" t="s">
        <v>302</v>
      </c>
      <c r="AG178" s="21" t="s">
        <v>301</v>
      </c>
    </row>
    <row r="179" spans="1:33">
      <c r="A179" s="21" t="s">
        <v>115</v>
      </c>
      <c r="B179" s="21" t="s">
        <v>732</v>
      </c>
      <c r="C179" s="25">
        <v>46060</v>
      </c>
      <c r="D179" s="21" t="s">
        <v>784</v>
      </c>
      <c r="E179" s="24">
        <v>5.45</v>
      </c>
      <c r="F179" s="24">
        <v>4.59</v>
      </c>
      <c r="G179" s="24">
        <f>E179-F179</f>
        <v>0.86000000000000032</v>
      </c>
      <c r="H179" s="21" t="s">
        <v>289</v>
      </c>
      <c r="I179" s="21">
        <v>1</v>
      </c>
      <c r="J179" s="21">
        <v>8</v>
      </c>
      <c r="K179" s="21">
        <v>4</v>
      </c>
      <c r="P179" s="24">
        <f>J179+L179+N179</f>
        <v>8</v>
      </c>
      <c r="Q179" s="24">
        <f>K179+M179+O179</f>
        <v>4</v>
      </c>
      <c r="R179" s="24">
        <v>0.66666666666666663</v>
      </c>
      <c r="S179" s="21" t="s">
        <v>533</v>
      </c>
      <c r="U179" s="21" t="s">
        <v>287</v>
      </c>
      <c r="V179" s="21" t="s">
        <v>286</v>
      </c>
      <c r="W179" s="21">
        <v>1</v>
      </c>
      <c r="X179" s="21" t="s">
        <v>323</v>
      </c>
      <c r="Y179" s="21" t="s">
        <v>284</v>
      </c>
      <c r="Z179" s="21" t="s">
        <v>283</v>
      </c>
      <c r="AA179" s="21" t="s">
        <v>115</v>
      </c>
      <c r="AB179" s="21">
        <v>1</v>
      </c>
      <c r="AD179" s="24">
        <v>5.45</v>
      </c>
      <c r="AE179" s="24">
        <v>4.59</v>
      </c>
      <c r="AF179" s="21" t="s">
        <v>304</v>
      </c>
      <c r="AG179" s="21" t="s">
        <v>303</v>
      </c>
    </row>
    <row r="180" spans="1:33">
      <c r="A180" s="21" t="s">
        <v>115</v>
      </c>
      <c r="B180" s="21" t="s">
        <v>732</v>
      </c>
      <c r="C180" s="25">
        <v>46091.145833333336</v>
      </c>
      <c r="D180" s="21" t="s">
        <v>97</v>
      </c>
      <c r="E180" s="24">
        <v>4.9800000000000004</v>
      </c>
      <c r="F180" s="24">
        <v>3.83</v>
      </c>
      <c r="G180" s="24">
        <f>E180-F180</f>
        <v>1.1500000000000004</v>
      </c>
      <c r="H180" s="21" t="s">
        <v>294</v>
      </c>
      <c r="I180" s="21">
        <v>0</v>
      </c>
      <c r="J180" s="21">
        <v>5</v>
      </c>
      <c r="K180" s="21">
        <v>7</v>
      </c>
      <c r="L180" s="21">
        <v>0</v>
      </c>
      <c r="M180" s="21">
        <v>6</v>
      </c>
      <c r="P180" s="24">
        <f>J180+L180+N180</f>
        <v>5</v>
      </c>
      <c r="Q180" s="24">
        <f>K180+M180+O180</f>
        <v>13</v>
      </c>
      <c r="R180" s="24">
        <v>0.27777777777777779</v>
      </c>
      <c r="S180" s="21" t="s">
        <v>533</v>
      </c>
      <c r="U180" s="21" t="s">
        <v>287</v>
      </c>
      <c r="V180" s="21" t="s">
        <v>286</v>
      </c>
      <c r="W180" s="21">
        <v>2</v>
      </c>
      <c r="X180" s="21" t="s">
        <v>310</v>
      </c>
      <c r="Y180" s="21" t="s">
        <v>284</v>
      </c>
      <c r="Z180" s="21" t="s">
        <v>283</v>
      </c>
      <c r="AA180" s="21" t="s">
        <v>115</v>
      </c>
      <c r="AB180" s="21">
        <v>1</v>
      </c>
      <c r="AD180" s="24">
        <v>5.45</v>
      </c>
      <c r="AE180" s="24">
        <v>7.43</v>
      </c>
      <c r="AF180" s="21" t="s">
        <v>302</v>
      </c>
      <c r="AG180" s="21" t="s">
        <v>301</v>
      </c>
    </row>
    <row r="181" spans="1:33">
      <c r="A181" s="21" t="s">
        <v>115</v>
      </c>
      <c r="B181" s="21" t="s">
        <v>732</v>
      </c>
      <c r="C181" s="25">
        <v>46092.625</v>
      </c>
      <c r="D181" s="21" t="s">
        <v>783</v>
      </c>
      <c r="E181" s="24">
        <v>4.9800000000000004</v>
      </c>
      <c r="F181" s="24">
        <v>3.54</v>
      </c>
      <c r="G181" s="24">
        <f>E181-F181</f>
        <v>1.4400000000000004</v>
      </c>
      <c r="H181" s="21" t="s">
        <v>289</v>
      </c>
      <c r="I181" s="21">
        <v>1</v>
      </c>
      <c r="J181" s="21">
        <v>6</v>
      </c>
      <c r="K181" s="21">
        <v>2</v>
      </c>
      <c r="L181" s="21">
        <v>6</v>
      </c>
      <c r="M181" s="21">
        <v>1</v>
      </c>
      <c r="P181" s="24">
        <f>J181+L181+N181</f>
        <v>12</v>
      </c>
      <c r="Q181" s="24">
        <f>K181+M181+O181</f>
        <v>3</v>
      </c>
      <c r="R181" s="24">
        <v>0.8</v>
      </c>
      <c r="S181" s="21" t="s">
        <v>524</v>
      </c>
      <c r="U181" s="21" t="s">
        <v>287</v>
      </c>
      <c r="V181" s="21" t="s">
        <v>286</v>
      </c>
      <c r="W181" s="21">
        <v>3</v>
      </c>
      <c r="X181" s="21" t="s">
        <v>285</v>
      </c>
      <c r="Y181" s="21" t="s">
        <v>284</v>
      </c>
      <c r="Z181" s="21" t="s">
        <v>283</v>
      </c>
      <c r="AA181" s="21" t="s">
        <v>115</v>
      </c>
      <c r="AB181" s="21">
        <v>1</v>
      </c>
      <c r="AD181" s="24">
        <v>5.45</v>
      </c>
      <c r="AE181" s="24">
        <v>3.54</v>
      </c>
      <c r="AF181" s="21" t="s">
        <v>302</v>
      </c>
      <c r="AG181" s="21" t="s">
        <v>301</v>
      </c>
    </row>
    <row r="182" spans="1:33">
      <c r="A182" s="21" t="s">
        <v>115</v>
      </c>
      <c r="B182" s="21" t="s">
        <v>732</v>
      </c>
      <c r="C182" s="25">
        <v>46094.645833333336</v>
      </c>
      <c r="D182" s="21" t="s">
        <v>131</v>
      </c>
      <c r="E182" s="24">
        <v>4.9800000000000004</v>
      </c>
      <c r="F182" s="24">
        <v>5.75</v>
      </c>
      <c r="G182" s="24">
        <f>E182-F182</f>
        <v>-0.76999999999999957</v>
      </c>
      <c r="H182" s="21" t="s">
        <v>294</v>
      </c>
      <c r="I182" s="21">
        <v>0</v>
      </c>
      <c r="J182" s="21">
        <v>6</v>
      </c>
      <c r="K182" s="21">
        <v>4</v>
      </c>
      <c r="L182" s="21">
        <v>4</v>
      </c>
      <c r="M182" s="21">
        <v>6</v>
      </c>
      <c r="N182" s="21">
        <v>3</v>
      </c>
      <c r="O182" s="21">
        <v>6</v>
      </c>
      <c r="P182" s="24">
        <f>J182+L182+N182</f>
        <v>13</v>
      </c>
      <c r="Q182" s="24">
        <f>K182+M182+O182</f>
        <v>16</v>
      </c>
      <c r="R182" s="24">
        <v>0.44827586206896552</v>
      </c>
      <c r="S182" s="21" t="s">
        <v>245</v>
      </c>
      <c r="U182" s="21" t="s">
        <v>287</v>
      </c>
      <c r="V182" s="21" t="s">
        <v>286</v>
      </c>
      <c r="W182" s="21">
        <v>4</v>
      </c>
      <c r="X182" s="21" t="s">
        <v>285</v>
      </c>
      <c r="Y182" s="21" t="s">
        <v>284</v>
      </c>
      <c r="Z182" s="21" t="s">
        <v>283</v>
      </c>
      <c r="AA182" s="21" t="s">
        <v>115</v>
      </c>
      <c r="AB182" s="21">
        <v>1</v>
      </c>
      <c r="AD182" s="24">
        <v>5.45</v>
      </c>
      <c r="AE182" s="24">
        <v>5.89</v>
      </c>
      <c r="AF182" s="21" t="s">
        <v>304</v>
      </c>
      <c r="AG182" s="21" t="s">
        <v>341</v>
      </c>
    </row>
    <row r="183" spans="1:33">
      <c r="A183" s="21" t="s">
        <v>115</v>
      </c>
      <c r="B183" s="21" t="s">
        <v>732</v>
      </c>
      <c r="C183" s="25">
        <v>46099.645833333336</v>
      </c>
      <c r="D183" s="21" t="s">
        <v>2</v>
      </c>
      <c r="E183" s="24">
        <v>5.03</v>
      </c>
      <c r="F183" s="24">
        <v>7.76</v>
      </c>
      <c r="G183" s="24">
        <f>E183-F183</f>
        <v>-2.7299999999999995</v>
      </c>
      <c r="H183" s="21" t="s">
        <v>294</v>
      </c>
      <c r="I183" s="21">
        <v>0</v>
      </c>
      <c r="J183" s="21">
        <v>3</v>
      </c>
      <c r="K183" s="21">
        <v>6</v>
      </c>
      <c r="L183" s="21">
        <v>1</v>
      </c>
      <c r="M183" s="21">
        <v>6</v>
      </c>
      <c r="P183" s="24">
        <f>J183+L183+N183</f>
        <v>4</v>
      </c>
      <c r="Q183" s="24">
        <f>K183+M183+O183</f>
        <v>12</v>
      </c>
      <c r="R183" s="24">
        <v>0.25</v>
      </c>
      <c r="S183" s="21" t="s">
        <v>237</v>
      </c>
      <c r="U183" s="21" t="s">
        <v>287</v>
      </c>
      <c r="V183" s="21" t="s">
        <v>286</v>
      </c>
      <c r="W183" s="21">
        <v>5</v>
      </c>
      <c r="X183" s="21" t="s">
        <v>285</v>
      </c>
      <c r="Y183" s="21" t="s">
        <v>284</v>
      </c>
      <c r="Z183" s="21" t="s">
        <v>283</v>
      </c>
      <c r="AA183" s="21" t="s">
        <v>115</v>
      </c>
      <c r="AB183" s="21">
        <v>1</v>
      </c>
      <c r="AD183" s="24">
        <v>5.45</v>
      </c>
      <c r="AE183" s="24">
        <v>7.09</v>
      </c>
      <c r="AF183" s="21" t="s">
        <v>304</v>
      </c>
      <c r="AG183" s="21" t="s">
        <v>341</v>
      </c>
    </row>
    <row r="184" spans="1:33">
      <c r="A184" s="21" t="s">
        <v>115</v>
      </c>
      <c r="B184" s="21" t="s">
        <v>732</v>
      </c>
      <c r="C184" s="25">
        <v>46101.645833333336</v>
      </c>
      <c r="D184" s="21" t="s">
        <v>34</v>
      </c>
      <c r="E184" s="24">
        <v>5.03</v>
      </c>
      <c r="F184" s="24">
        <v>4.83</v>
      </c>
      <c r="G184" s="24">
        <f>E184-F184</f>
        <v>0.20000000000000018</v>
      </c>
      <c r="H184" s="21" t="s">
        <v>294</v>
      </c>
      <c r="I184" s="21">
        <v>0</v>
      </c>
      <c r="J184" s="21">
        <v>6</v>
      </c>
      <c r="K184" s="21">
        <v>0</v>
      </c>
      <c r="L184" s="21">
        <v>3</v>
      </c>
      <c r="M184" s="21">
        <v>6</v>
      </c>
      <c r="N184" s="21">
        <v>3</v>
      </c>
      <c r="O184" s="21">
        <v>6</v>
      </c>
      <c r="P184" s="24">
        <f>J184+L184+N184</f>
        <v>12</v>
      </c>
      <c r="Q184" s="24">
        <f>K184+M184+O184</f>
        <v>12</v>
      </c>
      <c r="R184" s="24">
        <v>0.5</v>
      </c>
      <c r="S184" s="21" t="s">
        <v>223</v>
      </c>
      <c r="U184" s="21" t="s">
        <v>287</v>
      </c>
      <c r="V184" s="21" t="s">
        <v>286</v>
      </c>
      <c r="W184" s="21">
        <v>6</v>
      </c>
      <c r="X184" s="21" t="s">
        <v>285</v>
      </c>
      <c r="Y184" s="21" t="s">
        <v>284</v>
      </c>
      <c r="Z184" s="21" t="s">
        <v>283</v>
      </c>
      <c r="AA184" s="21" t="s">
        <v>115</v>
      </c>
      <c r="AB184" s="21">
        <v>1</v>
      </c>
      <c r="AD184" s="24">
        <v>5.45</v>
      </c>
      <c r="AE184" s="24">
        <v>5.24</v>
      </c>
      <c r="AF184" s="21" t="s">
        <v>304</v>
      </c>
      <c r="AG184" s="21" t="s">
        <v>303</v>
      </c>
    </row>
    <row r="185" spans="1:33">
      <c r="A185" s="21" t="s">
        <v>115</v>
      </c>
      <c r="B185" s="21" t="s">
        <v>732</v>
      </c>
      <c r="C185" s="25">
        <v>46105.645833333336</v>
      </c>
      <c r="D185" s="21" t="s">
        <v>165</v>
      </c>
      <c r="E185" s="24">
        <v>5.32</v>
      </c>
      <c r="F185" s="24">
        <v>5.54</v>
      </c>
      <c r="G185" s="24">
        <f>E185-F185</f>
        <v>-0.21999999999999975</v>
      </c>
      <c r="H185" s="21" t="s">
        <v>294</v>
      </c>
      <c r="I185" s="21">
        <v>0</v>
      </c>
      <c r="J185" s="21">
        <v>1</v>
      </c>
      <c r="K185" s="21">
        <v>6</v>
      </c>
      <c r="L185" s="21">
        <v>2</v>
      </c>
      <c r="M185" s="21">
        <v>6</v>
      </c>
      <c r="P185" s="24">
        <f>J185+L185+N185</f>
        <v>3</v>
      </c>
      <c r="Q185" s="24">
        <f>K185+M185+O185</f>
        <v>12</v>
      </c>
      <c r="R185" s="24">
        <v>0.2</v>
      </c>
      <c r="S185" s="21" t="s">
        <v>220</v>
      </c>
      <c r="U185" s="21" t="s">
        <v>287</v>
      </c>
      <c r="V185" s="21" t="s">
        <v>286</v>
      </c>
      <c r="W185" s="21">
        <v>7</v>
      </c>
      <c r="X185" s="21" t="s">
        <v>285</v>
      </c>
      <c r="Y185" s="21" t="s">
        <v>284</v>
      </c>
      <c r="Z185" s="21" t="s">
        <v>283</v>
      </c>
      <c r="AA185" s="21" t="s">
        <v>115</v>
      </c>
      <c r="AB185" s="21">
        <v>1</v>
      </c>
      <c r="AD185" s="24">
        <v>5.45</v>
      </c>
      <c r="AE185" s="24">
        <v>6.12</v>
      </c>
      <c r="AF185" s="21" t="s">
        <v>322</v>
      </c>
      <c r="AG185" s="21" t="s">
        <v>301</v>
      </c>
    </row>
    <row r="186" spans="1:33">
      <c r="A186" s="21" t="s">
        <v>115</v>
      </c>
      <c r="B186" s="21" t="s">
        <v>732</v>
      </c>
      <c r="C186" s="25">
        <v>46107.645833333336</v>
      </c>
      <c r="D186" s="21" t="s">
        <v>589</v>
      </c>
      <c r="E186" s="24">
        <v>5.32</v>
      </c>
      <c r="F186" s="24">
        <v>5.29</v>
      </c>
      <c r="G186" s="24">
        <f>E186-F186</f>
        <v>3.0000000000000249E-2</v>
      </c>
      <c r="H186" s="21" t="s">
        <v>289</v>
      </c>
      <c r="I186" s="21">
        <v>1</v>
      </c>
      <c r="J186" s="21">
        <v>2</v>
      </c>
      <c r="K186" s="21">
        <v>6</v>
      </c>
      <c r="L186" s="21">
        <v>6</v>
      </c>
      <c r="M186" s="21">
        <v>1</v>
      </c>
      <c r="N186" s="21">
        <v>6</v>
      </c>
      <c r="O186" s="21">
        <v>2</v>
      </c>
      <c r="P186" s="24">
        <f>J186+L186+N186</f>
        <v>14</v>
      </c>
      <c r="Q186" s="24">
        <f>K186+M186+O186</f>
        <v>9</v>
      </c>
      <c r="R186" s="24">
        <v>0.60869565217391308</v>
      </c>
      <c r="S186" s="21" t="s">
        <v>782</v>
      </c>
      <c r="U186" s="21" t="s">
        <v>287</v>
      </c>
      <c r="V186" s="21" t="s">
        <v>286</v>
      </c>
      <c r="W186" s="21">
        <v>8</v>
      </c>
      <c r="X186" s="21" t="s">
        <v>285</v>
      </c>
      <c r="Y186" s="21" t="s">
        <v>284</v>
      </c>
      <c r="Z186" s="21" t="s">
        <v>283</v>
      </c>
      <c r="AA186" s="21" t="s">
        <v>115</v>
      </c>
      <c r="AB186" s="21">
        <v>1</v>
      </c>
      <c r="AD186" s="24">
        <v>5.45</v>
      </c>
      <c r="AE186" s="24">
        <v>5.29</v>
      </c>
      <c r="AF186" s="21" t="s">
        <v>322</v>
      </c>
      <c r="AG186" s="21" t="s">
        <v>301</v>
      </c>
    </row>
    <row r="187" spans="1:33">
      <c r="A187" s="21" t="s">
        <v>115</v>
      </c>
      <c r="B187" s="21" t="s">
        <v>732</v>
      </c>
      <c r="C187" s="25">
        <v>46112.333333333336</v>
      </c>
      <c r="D187" s="21" t="s">
        <v>114</v>
      </c>
      <c r="E187" s="24">
        <v>5.32</v>
      </c>
      <c r="F187" s="24">
        <v>7.69</v>
      </c>
      <c r="G187" s="24">
        <f>E187-F187</f>
        <v>-2.37</v>
      </c>
      <c r="H187" s="21" t="s">
        <v>294</v>
      </c>
      <c r="I187" s="21">
        <v>0</v>
      </c>
      <c r="J187" s="21">
        <v>0</v>
      </c>
      <c r="K187" s="21">
        <v>6</v>
      </c>
      <c r="L187" s="21">
        <v>0</v>
      </c>
      <c r="M187" s="21">
        <v>6</v>
      </c>
      <c r="P187" s="24">
        <f>J187+L187+N187</f>
        <v>0</v>
      </c>
      <c r="Q187" s="24">
        <f>K187+M187+O187</f>
        <v>12</v>
      </c>
      <c r="R187" s="24">
        <v>0</v>
      </c>
      <c r="S187" s="21" t="s">
        <v>179</v>
      </c>
      <c r="U187" s="21" t="s">
        <v>287</v>
      </c>
      <c r="V187" s="21" t="s">
        <v>286</v>
      </c>
      <c r="W187" s="21">
        <v>9</v>
      </c>
      <c r="X187" s="21" t="s">
        <v>285</v>
      </c>
      <c r="Y187" s="21" t="s">
        <v>284</v>
      </c>
      <c r="Z187" s="21" t="s">
        <v>283</v>
      </c>
      <c r="AA187" s="21" t="s">
        <v>115</v>
      </c>
      <c r="AB187" s="21">
        <v>1</v>
      </c>
      <c r="AD187" s="24">
        <v>5.45</v>
      </c>
      <c r="AE187" s="24">
        <v>8.18</v>
      </c>
      <c r="AF187" s="21" t="s">
        <v>322</v>
      </c>
      <c r="AG187" s="21" t="s">
        <v>301</v>
      </c>
    </row>
    <row r="188" spans="1:33">
      <c r="A188" s="21" t="s">
        <v>115</v>
      </c>
      <c r="B188" s="21" t="s">
        <v>732</v>
      </c>
      <c r="C188" s="25">
        <v>46118.645833333336</v>
      </c>
      <c r="D188" s="21" t="s">
        <v>587</v>
      </c>
      <c r="E188" s="24">
        <v>5.32</v>
      </c>
      <c r="F188" s="24">
        <v>2.78</v>
      </c>
      <c r="G188" s="24">
        <f>E188-F188</f>
        <v>2.5400000000000005</v>
      </c>
      <c r="H188" s="21" t="s">
        <v>289</v>
      </c>
      <c r="I188" s="21">
        <v>1</v>
      </c>
      <c r="J188" s="21">
        <v>6</v>
      </c>
      <c r="K188" s="21">
        <v>1</v>
      </c>
      <c r="L188" s="21">
        <v>6</v>
      </c>
      <c r="M188" s="21">
        <v>1</v>
      </c>
      <c r="P188" s="24">
        <f>J188+L188+N188</f>
        <v>12</v>
      </c>
      <c r="Q188" s="24">
        <f>K188+M188+O188</f>
        <v>2</v>
      </c>
      <c r="R188" s="24">
        <v>0.8571428571428571</v>
      </c>
      <c r="S188" s="21" t="s">
        <v>172</v>
      </c>
      <c r="U188" s="21" t="s">
        <v>287</v>
      </c>
      <c r="V188" s="21" t="s">
        <v>286</v>
      </c>
      <c r="W188" s="21">
        <v>10</v>
      </c>
      <c r="X188" s="21" t="s">
        <v>285</v>
      </c>
      <c r="Y188" s="21" t="s">
        <v>284</v>
      </c>
      <c r="Z188" s="21" t="s">
        <v>283</v>
      </c>
      <c r="AA188" s="21" t="s">
        <v>115</v>
      </c>
      <c r="AB188" s="21">
        <v>1</v>
      </c>
      <c r="AD188" s="24">
        <v>5.45</v>
      </c>
      <c r="AE188" s="24">
        <v>2.78</v>
      </c>
      <c r="AF188" s="21" t="s">
        <v>322</v>
      </c>
      <c r="AG188" s="21" t="s">
        <v>301</v>
      </c>
    </row>
    <row r="189" spans="1:33">
      <c r="A189" s="21" t="s">
        <v>115</v>
      </c>
      <c r="B189" s="21" t="s">
        <v>732</v>
      </c>
      <c r="C189" s="25">
        <v>46120.645833333336</v>
      </c>
      <c r="D189" s="21" t="s">
        <v>781</v>
      </c>
      <c r="E189" s="24">
        <v>5.33</v>
      </c>
      <c r="F189" s="24">
        <v>2.99</v>
      </c>
      <c r="G189" s="24">
        <f>E189-F189</f>
        <v>2.34</v>
      </c>
      <c r="H189" s="21" t="s">
        <v>289</v>
      </c>
      <c r="I189" s="21">
        <v>1</v>
      </c>
      <c r="J189" s="21">
        <v>6</v>
      </c>
      <c r="K189" s="21">
        <v>0</v>
      </c>
      <c r="L189" s="21">
        <v>6</v>
      </c>
      <c r="M189" s="21">
        <v>0</v>
      </c>
      <c r="P189" s="24">
        <f>J189+L189+N189</f>
        <v>12</v>
      </c>
      <c r="Q189" s="24">
        <f>K189+M189+O189</f>
        <v>0</v>
      </c>
      <c r="R189" s="24">
        <v>1</v>
      </c>
      <c r="S189" s="21" t="s">
        <v>780</v>
      </c>
      <c r="U189" s="21" t="s">
        <v>287</v>
      </c>
      <c r="V189" s="21" t="s">
        <v>286</v>
      </c>
      <c r="W189" s="21">
        <v>11</v>
      </c>
      <c r="X189" s="21" t="s">
        <v>285</v>
      </c>
      <c r="Y189" s="21" t="s">
        <v>284</v>
      </c>
      <c r="Z189" s="21" t="s">
        <v>283</v>
      </c>
      <c r="AA189" s="21" t="s">
        <v>115</v>
      </c>
      <c r="AB189" s="21">
        <v>1</v>
      </c>
      <c r="AD189" s="24">
        <v>5.45</v>
      </c>
      <c r="AE189" s="24">
        <v>2.99</v>
      </c>
      <c r="AF189" s="21" t="s">
        <v>322</v>
      </c>
      <c r="AG189" s="21" t="s">
        <v>301</v>
      </c>
    </row>
    <row r="190" spans="1:33">
      <c r="A190" s="21" t="s">
        <v>115</v>
      </c>
      <c r="B190" s="21" t="s">
        <v>732</v>
      </c>
      <c r="C190" s="25">
        <v>46121.645833333336</v>
      </c>
      <c r="D190" s="21" t="s">
        <v>111</v>
      </c>
      <c r="E190" s="24">
        <v>5.33</v>
      </c>
      <c r="F190" s="24">
        <v>6.5</v>
      </c>
      <c r="G190" s="24">
        <f>E190-F190</f>
        <v>-1.17</v>
      </c>
      <c r="H190" s="21" t="s">
        <v>294</v>
      </c>
      <c r="I190" s="21">
        <v>0</v>
      </c>
      <c r="J190" s="21">
        <v>6</v>
      </c>
      <c r="K190" s="21">
        <v>3</v>
      </c>
      <c r="L190" s="21">
        <v>3</v>
      </c>
      <c r="M190" s="21">
        <v>6</v>
      </c>
      <c r="N190" s="21">
        <v>5</v>
      </c>
      <c r="O190" s="21">
        <v>7</v>
      </c>
      <c r="P190" s="24">
        <f>J190+L190+N190</f>
        <v>14</v>
      </c>
      <c r="Q190" s="24">
        <f>K190+M190+O190</f>
        <v>16</v>
      </c>
      <c r="R190" s="24">
        <v>0.46666666666666667</v>
      </c>
      <c r="S190" s="21" t="s">
        <v>673</v>
      </c>
      <c r="U190" s="21" t="s">
        <v>287</v>
      </c>
      <c r="V190" s="21" t="s">
        <v>286</v>
      </c>
      <c r="W190" s="21">
        <v>12</v>
      </c>
      <c r="X190" s="21" t="s">
        <v>285</v>
      </c>
      <c r="Y190" s="21" t="s">
        <v>284</v>
      </c>
      <c r="Z190" s="21" t="s">
        <v>283</v>
      </c>
      <c r="AA190" s="21" t="s">
        <v>115</v>
      </c>
      <c r="AB190" s="21">
        <v>1</v>
      </c>
      <c r="AD190" s="24">
        <v>5.45</v>
      </c>
      <c r="AE190" s="24">
        <v>6.5</v>
      </c>
      <c r="AF190" s="21" t="s">
        <v>322</v>
      </c>
      <c r="AG190" s="21" t="s">
        <v>301</v>
      </c>
    </row>
    <row r="191" spans="1:33">
      <c r="A191" s="21" t="s">
        <v>115</v>
      </c>
      <c r="B191" s="21" t="s">
        <v>732</v>
      </c>
      <c r="C191" s="25">
        <v>46126.645833333336</v>
      </c>
      <c r="D191" s="21" t="s">
        <v>58</v>
      </c>
      <c r="E191" s="24">
        <v>5.33</v>
      </c>
      <c r="F191" s="24">
        <v>4.51</v>
      </c>
      <c r="G191" s="24">
        <f>E191-F191</f>
        <v>0.82000000000000028</v>
      </c>
      <c r="H191" s="21" t="s">
        <v>289</v>
      </c>
      <c r="I191" s="21">
        <v>1</v>
      </c>
      <c r="J191" s="21">
        <v>6</v>
      </c>
      <c r="K191" s="21">
        <v>4</v>
      </c>
      <c r="L191" s="21">
        <v>6</v>
      </c>
      <c r="M191" s="21">
        <v>2</v>
      </c>
      <c r="P191" s="24">
        <f>J191+L191+N191</f>
        <v>12</v>
      </c>
      <c r="Q191" s="24">
        <f>K191+M191+O191</f>
        <v>6</v>
      </c>
      <c r="R191" s="24">
        <v>0.66666666666666663</v>
      </c>
      <c r="S191" s="21" t="s">
        <v>108</v>
      </c>
      <c r="U191" s="21" t="s">
        <v>287</v>
      </c>
      <c r="V191" s="21" t="s">
        <v>286</v>
      </c>
      <c r="W191" s="21">
        <v>13</v>
      </c>
      <c r="X191" s="21" t="s">
        <v>285</v>
      </c>
      <c r="Y191" s="21" t="s">
        <v>284</v>
      </c>
      <c r="Z191" s="21" t="s">
        <v>283</v>
      </c>
      <c r="AA191" s="21" t="s">
        <v>115</v>
      </c>
      <c r="AB191" s="21">
        <v>1</v>
      </c>
      <c r="AD191" s="24">
        <v>5.45</v>
      </c>
      <c r="AE191" s="24">
        <v>4.79</v>
      </c>
      <c r="AF191" s="21" t="s">
        <v>322</v>
      </c>
      <c r="AG191" s="21" t="s">
        <v>301</v>
      </c>
    </row>
    <row r="192" spans="1:33">
      <c r="A192" s="21" t="s">
        <v>115</v>
      </c>
      <c r="B192" s="21" t="s">
        <v>732</v>
      </c>
      <c r="C192" s="25">
        <v>46134.625</v>
      </c>
      <c r="D192" s="21" t="s">
        <v>26</v>
      </c>
      <c r="E192" s="24">
        <v>5.38</v>
      </c>
      <c r="F192" s="24">
        <v>7.34</v>
      </c>
      <c r="G192" s="24">
        <f>E192-F192</f>
        <v>-1.96</v>
      </c>
      <c r="H192" s="21" t="s">
        <v>294</v>
      </c>
      <c r="I192" s="21">
        <v>0</v>
      </c>
      <c r="J192" s="21">
        <v>1</v>
      </c>
      <c r="K192" s="21">
        <v>6</v>
      </c>
      <c r="L192" s="21">
        <v>0</v>
      </c>
      <c r="M192" s="21">
        <v>6</v>
      </c>
      <c r="P192" s="24">
        <f>J192+L192+N192</f>
        <v>1</v>
      </c>
      <c r="Q192" s="24">
        <f>K192+M192+O192</f>
        <v>12</v>
      </c>
      <c r="R192" s="24">
        <v>7.6923076923076927E-2</v>
      </c>
      <c r="S192" s="21" t="s">
        <v>62</v>
      </c>
      <c r="U192" s="21" t="s">
        <v>287</v>
      </c>
      <c r="V192" s="21" t="s">
        <v>286</v>
      </c>
      <c r="W192" s="21">
        <v>14</v>
      </c>
      <c r="X192" s="21" t="s">
        <v>285</v>
      </c>
      <c r="Y192" s="21" t="s">
        <v>284</v>
      </c>
      <c r="Z192" s="21" t="s">
        <v>283</v>
      </c>
      <c r="AA192" s="21" t="s">
        <v>115</v>
      </c>
      <c r="AB192" s="21">
        <v>1</v>
      </c>
      <c r="AD192" s="24">
        <v>5.45</v>
      </c>
      <c r="AE192" s="24">
        <v>7.98</v>
      </c>
      <c r="AF192" s="21" t="s">
        <v>322</v>
      </c>
      <c r="AG192" s="21" t="s">
        <v>301</v>
      </c>
    </row>
    <row r="193" spans="1:33">
      <c r="A193" s="21" t="s">
        <v>18</v>
      </c>
      <c r="B193" s="21" t="s">
        <v>534</v>
      </c>
      <c r="C193" s="25">
        <v>46017</v>
      </c>
      <c r="D193" s="21" t="s">
        <v>410</v>
      </c>
      <c r="E193" s="24">
        <v>8.73</v>
      </c>
      <c r="F193" s="24">
        <v>5.66</v>
      </c>
      <c r="G193" s="24">
        <f>E193-F193</f>
        <v>3.0700000000000003</v>
      </c>
      <c r="H193" s="21" t="s">
        <v>289</v>
      </c>
      <c r="I193" s="21">
        <v>1</v>
      </c>
      <c r="J193" s="21">
        <v>6</v>
      </c>
      <c r="K193" s="21">
        <v>0</v>
      </c>
      <c r="L193" s="21">
        <v>6</v>
      </c>
      <c r="M193" s="21">
        <v>3</v>
      </c>
      <c r="P193" s="24">
        <f>J193+L193+N193</f>
        <v>12</v>
      </c>
      <c r="Q193" s="24">
        <f>K193+M193+O193</f>
        <v>3</v>
      </c>
      <c r="R193" s="24">
        <v>0.8</v>
      </c>
      <c r="S193" s="21" t="s">
        <v>778</v>
      </c>
      <c r="T193" s="21" t="s">
        <v>313</v>
      </c>
      <c r="U193" s="21" t="s">
        <v>292</v>
      </c>
      <c r="V193" s="21" t="s">
        <v>286</v>
      </c>
      <c r="W193" s="21">
        <v>0</v>
      </c>
      <c r="X193" s="21" t="s">
        <v>312</v>
      </c>
      <c r="Y193" s="21" t="s">
        <v>318</v>
      </c>
      <c r="Z193" s="21" t="s">
        <v>317</v>
      </c>
      <c r="AA193" s="21" t="s">
        <v>18</v>
      </c>
      <c r="AB193" s="21">
        <v>1</v>
      </c>
      <c r="AD193" s="24">
        <v>8.73</v>
      </c>
      <c r="AE193" s="24">
        <v>5.66</v>
      </c>
      <c r="AF193" s="21" t="s">
        <v>322</v>
      </c>
      <c r="AG193" s="21" t="s">
        <v>301</v>
      </c>
    </row>
    <row r="194" spans="1:33">
      <c r="A194" s="21" t="s">
        <v>18</v>
      </c>
      <c r="B194" s="21" t="s">
        <v>534</v>
      </c>
      <c r="C194" s="25">
        <v>46017</v>
      </c>
      <c r="D194" s="21" t="s">
        <v>624</v>
      </c>
      <c r="E194" s="24">
        <v>8.73</v>
      </c>
      <c r="F194" s="24">
        <v>7.76</v>
      </c>
      <c r="G194" s="24">
        <f>E194-F194</f>
        <v>0.97000000000000064</v>
      </c>
      <c r="H194" s="21" t="s">
        <v>294</v>
      </c>
      <c r="I194" s="21">
        <v>0</v>
      </c>
      <c r="J194" s="21">
        <v>6</v>
      </c>
      <c r="K194" s="21">
        <v>3</v>
      </c>
      <c r="L194" s="21">
        <v>4</v>
      </c>
      <c r="M194" s="21">
        <v>6</v>
      </c>
      <c r="N194" s="21">
        <v>0</v>
      </c>
      <c r="O194" s="21">
        <v>1</v>
      </c>
      <c r="P194" s="24">
        <f>J194+L194+N194</f>
        <v>10</v>
      </c>
      <c r="Q194" s="24">
        <f>K194+M194+O194</f>
        <v>10</v>
      </c>
      <c r="R194" s="24">
        <v>0.125</v>
      </c>
      <c r="S194" s="21" t="s">
        <v>778</v>
      </c>
      <c r="T194" s="21" t="s">
        <v>481</v>
      </c>
      <c r="U194" s="21" t="s">
        <v>292</v>
      </c>
      <c r="V194" s="21" t="s">
        <v>286</v>
      </c>
      <c r="W194" s="21">
        <v>0</v>
      </c>
      <c r="X194" s="21" t="s">
        <v>312</v>
      </c>
      <c r="Y194" s="21" t="s">
        <v>318</v>
      </c>
      <c r="Z194" s="21" t="s">
        <v>317</v>
      </c>
      <c r="AA194" s="21" t="s">
        <v>18</v>
      </c>
      <c r="AB194" s="21">
        <v>1</v>
      </c>
      <c r="AD194" s="24">
        <v>8.73</v>
      </c>
      <c r="AE194" s="24">
        <v>7.76</v>
      </c>
      <c r="AF194" s="21" t="s">
        <v>322</v>
      </c>
      <c r="AG194" s="21" t="s">
        <v>301</v>
      </c>
    </row>
    <row r="195" spans="1:33">
      <c r="A195" s="21" t="s">
        <v>18</v>
      </c>
      <c r="B195" s="21" t="s">
        <v>534</v>
      </c>
      <c r="C195" s="25">
        <v>46017</v>
      </c>
      <c r="D195" s="21" t="s">
        <v>779</v>
      </c>
      <c r="E195" s="24">
        <v>8.73</v>
      </c>
      <c r="F195" s="24">
        <v>6.47</v>
      </c>
      <c r="G195" s="24">
        <f>E195-F195</f>
        <v>2.2600000000000007</v>
      </c>
      <c r="H195" s="21" t="s">
        <v>289</v>
      </c>
      <c r="I195" s="21">
        <v>1</v>
      </c>
      <c r="J195" s="21">
        <v>6</v>
      </c>
      <c r="K195" s="21">
        <v>2</v>
      </c>
      <c r="L195" s="21">
        <v>6</v>
      </c>
      <c r="M195" s="21">
        <v>3</v>
      </c>
      <c r="P195" s="24">
        <f>J195+L195+N195</f>
        <v>12</v>
      </c>
      <c r="Q195" s="24">
        <f>K195+M195+O195</f>
        <v>5</v>
      </c>
      <c r="R195" s="24">
        <v>0.70588235294117652</v>
      </c>
      <c r="S195" s="21" t="s">
        <v>778</v>
      </c>
      <c r="T195" s="21" t="s">
        <v>316</v>
      </c>
      <c r="U195" s="21" t="s">
        <v>292</v>
      </c>
      <c r="V195" s="21" t="s">
        <v>286</v>
      </c>
      <c r="W195" s="21">
        <v>0</v>
      </c>
      <c r="X195" s="21" t="s">
        <v>312</v>
      </c>
      <c r="Y195" s="21" t="s">
        <v>318</v>
      </c>
      <c r="Z195" s="21" t="s">
        <v>317</v>
      </c>
      <c r="AA195" s="21" t="s">
        <v>18</v>
      </c>
      <c r="AB195" s="21">
        <v>1</v>
      </c>
      <c r="AD195" s="24">
        <v>8.73</v>
      </c>
      <c r="AE195" s="24">
        <v>6.47</v>
      </c>
      <c r="AF195" s="21" t="s">
        <v>322</v>
      </c>
      <c r="AG195" s="21" t="s">
        <v>301</v>
      </c>
    </row>
    <row r="196" spans="1:33">
      <c r="A196" s="21" t="s">
        <v>18</v>
      </c>
      <c r="B196" s="21" t="s">
        <v>534</v>
      </c>
      <c r="C196" s="25">
        <v>46046</v>
      </c>
      <c r="D196" s="21" t="s">
        <v>777</v>
      </c>
      <c r="E196" s="24">
        <v>8.73</v>
      </c>
      <c r="F196" s="24">
        <v>7.08</v>
      </c>
      <c r="G196" s="24">
        <f>E196-F196</f>
        <v>1.6500000000000004</v>
      </c>
      <c r="H196" s="21" t="s">
        <v>289</v>
      </c>
      <c r="I196" s="21">
        <v>1</v>
      </c>
      <c r="J196" s="21">
        <v>8</v>
      </c>
      <c r="K196" s="21">
        <v>0</v>
      </c>
      <c r="P196" s="24">
        <f>J196+L196+N196</f>
        <v>8</v>
      </c>
      <c r="Q196" s="24">
        <f>K196+M196+O196</f>
        <v>0</v>
      </c>
      <c r="R196" s="24">
        <v>1</v>
      </c>
      <c r="S196" s="21" t="s">
        <v>447</v>
      </c>
      <c r="U196" s="21" t="s">
        <v>292</v>
      </c>
      <c r="V196" s="21" t="s">
        <v>286</v>
      </c>
      <c r="W196" s="21">
        <v>3</v>
      </c>
      <c r="X196" s="21" t="s">
        <v>285</v>
      </c>
      <c r="Y196" s="21" t="s">
        <v>318</v>
      </c>
      <c r="Z196" s="21" t="s">
        <v>317</v>
      </c>
      <c r="AA196" s="21" t="s">
        <v>18</v>
      </c>
      <c r="AB196" s="21">
        <v>1</v>
      </c>
      <c r="AD196" s="24">
        <v>8.73</v>
      </c>
      <c r="AE196" s="24">
        <v>7.08</v>
      </c>
      <c r="AF196" s="21" t="s">
        <v>302</v>
      </c>
      <c r="AG196" s="21" t="s">
        <v>301</v>
      </c>
    </row>
    <row r="197" spans="1:33">
      <c r="A197" s="21" t="s">
        <v>18</v>
      </c>
      <c r="B197" s="21" t="s">
        <v>534</v>
      </c>
      <c r="C197" s="25">
        <v>46053</v>
      </c>
      <c r="D197" s="21" t="s">
        <v>61</v>
      </c>
      <c r="E197" s="24">
        <v>8.73</v>
      </c>
      <c r="F197" s="24">
        <v>6.95</v>
      </c>
      <c r="G197" s="24">
        <f>E197-F197</f>
        <v>1.7800000000000002</v>
      </c>
      <c r="H197" s="21" t="s">
        <v>289</v>
      </c>
      <c r="I197" s="21">
        <v>1</v>
      </c>
      <c r="J197" s="21">
        <v>8</v>
      </c>
      <c r="K197" s="21">
        <v>1</v>
      </c>
      <c r="P197" s="24">
        <f>J197+L197+N197</f>
        <v>8</v>
      </c>
      <c r="Q197" s="24">
        <f>K197+M197+O197</f>
        <v>1</v>
      </c>
      <c r="R197" s="24">
        <v>0.88888888888888884</v>
      </c>
      <c r="S197" s="21" t="s">
        <v>447</v>
      </c>
      <c r="U197" s="21" t="s">
        <v>292</v>
      </c>
      <c r="V197" s="21" t="s">
        <v>286</v>
      </c>
      <c r="W197" s="21">
        <v>4</v>
      </c>
      <c r="X197" s="21" t="s">
        <v>285</v>
      </c>
      <c r="Y197" s="21" t="s">
        <v>318</v>
      </c>
      <c r="Z197" s="21" t="s">
        <v>317</v>
      </c>
      <c r="AA197" s="21" t="s">
        <v>18</v>
      </c>
      <c r="AB197" s="21">
        <v>1</v>
      </c>
      <c r="AD197" s="24">
        <v>8.73</v>
      </c>
      <c r="AE197" s="24">
        <v>6.95</v>
      </c>
      <c r="AF197" s="21" t="s">
        <v>304</v>
      </c>
      <c r="AG197" s="21" t="s">
        <v>303</v>
      </c>
    </row>
    <row r="198" spans="1:33">
      <c r="A198" s="21" t="s">
        <v>18</v>
      </c>
      <c r="B198" s="21" t="s">
        <v>534</v>
      </c>
      <c r="C198" s="25">
        <v>46060</v>
      </c>
      <c r="D198" s="21" t="s">
        <v>748</v>
      </c>
      <c r="E198" s="24">
        <v>8.73</v>
      </c>
      <c r="F198" s="24">
        <v>7.07</v>
      </c>
      <c r="G198" s="24">
        <f>E198-F198</f>
        <v>1.6600000000000001</v>
      </c>
      <c r="H198" s="21" t="s">
        <v>289</v>
      </c>
      <c r="I198" s="21">
        <v>1</v>
      </c>
      <c r="J198" s="21">
        <v>4</v>
      </c>
      <c r="K198" s="21">
        <v>1</v>
      </c>
      <c r="L198" s="21">
        <v>4</v>
      </c>
      <c r="M198" s="21">
        <v>2</v>
      </c>
      <c r="P198" s="24">
        <f>J198+L198+N198</f>
        <v>8</v>
      </c>
      <c r="Q198" s="24">
        <f>K198+M198+O198</f>
        <v>3</v>
      </c>
      <c r="R198" s="24">
        <v>0.72727272727272729</v>
      </c>
      <c r="S198" s="21" t="s">
        <v>447</v>
      </c>
      <c r="T198" s="21" t="s">
        <v>454</v>
      </c>
      <c r="U198" s="21" t="s">
        <v>292</v>
      </c>
      <c r="V198" s="21" t="s">
        <v>286</v>
      </c>
      <c r="W198" s="21">
        <v>5</v>
      </c>
      <c r="X198" s="21" t="s">
        <v>285</v>
      </c>
      <c r="Y198" s="21" t="s">
        <v>318</v>
      </c>
      <c r="Z198" s="21" t="s">
        <v>317</v>
      </c>
      <c r="AA198" s="21" t="s">
        <v>18</v>
      </c>
      <c r="AB198" s="21">
        <v>1</v>
      </c>
      <c r="AD198" s="24">
        <v>8.73</v>
      </c>
      <c r="AE198" s="24">
        <v>7.07</v>
      </c>
      <c r="AF198" s="21" t="s">
        <v>302</v>
      </c>
      <c r="AG198" s="21" t="s">
        <v>301</v>
      </c>
    </row>
    <row r="199" spans="1:33">
      <c r="A199" s="21" t="s">
        <v>18</v>
      </c>
      <c r="B199" s="21" t="s">
        <v>534</v>
      </c>
      <c r="C199" s="25">
        <v>46060</v>
      </c>
      <c r="D199" s="21" t="s">
        <v>364</v>
      </c>
      <c r="E199" s="24">
        <v>8.73</v>
      </c>
      <c r="F199" s="24">
        <v>7.3</v>
      </c>
      <c r="G199" s="24">
        <f>E199-F199</f>
        <v>1.4300000000000006</v>
      </c>
      <c r="H199" s="21" t="s">
        <v>289</v>
      </c>
      <c r="I199" s="21">
        <v>1</v>
      </c>
      <c r="J199" s="21">
        <v>6</v>
      </c>
      <c r="K199" s="21">
        <v>3</v>
      </c>
      <c r="L199" s="21">
        <v>6</v>
      </c>
      <c r="M199" s="21">
        <v>3</v>
      </c>
      <c r="P199" s="24">
        <f>J199+L199+N199</f>
        <v>12</v>
      </c>
      <c r="Q199" s="24">
        <f>K199+M199+O199</f>
        <v>6</v>
      </c>
      <c r="R199" s="24">
        <v>0.66666666666666663</v>
      </c>
      <c r="S199" s="21" t="s">
        <v>447</v>
      </c>
      <c r="T199" s="21" t="s">
        <v>297</v>
      </c>
      <c r="U199" s="21" t="s">
        <v>292</v>
      </c>
      <c r="V199" s="21" t="s">
        <v>286</v>
      </c>
      <c r="W199" s="21">
        <v>5</v>
      </c>
      <c r="X199" s="21" t="s">
        <v>285</v>
      </c>
      <c r="Y199" s="21" t="s">
        <v>318</v>
      </c>
      <c r="Z199" s="21" t="s">
        <v>317</v>
      </c>
      <c r="AA199" s="21" t="s">
        <v>18</v>
      </c>
      <c r="AB199" s="21">
        <v>1</v>
      </c>
      <c r="AD199" s="24">
        <v>8.73</v>
      </c>
      <c r="AE199" s="24">
        <v>7.3</v>
      </c>
      <c r="AF199" s="21" t="s">
        <v>302</v>
      </c>
      <c r="AG199" s="21" t="s">
        <v>301</v>
      </c>
    </row>
    <row r="200" spans="1:33">
      <c r="A200" s="21" t="s">
        <v>18</v>
      </c>
      <c r="B200" s="21" t="s">
        <v>534</v>
      </c>
      <c r="C200" s="25">
        <v>46060</v>
      </c>
      <c r="D200" s="21" t="s">
        <v>369</v>
      </c>
      <c r="E200" s="24">
        <v>8.73</v>
      </c>
      <c r="F200" s="24">
        <v>9.5299999999999994</v>
      </c>
      <c r="G200" s="24">
        <f>E200-F200</f>
        <v>-0.79999999999999893</v>
      </c>
      <c r="H200" s="21" t="s">
        <v>294</v>
      </c>
      <c r="I200" s="21">
        <v>0</v>
      </c>
      <c r="J200" s="21">
        <v>4</v>
      </c>
      <c r="K200" s="21">
        <v>6</v>
      </c>
      <c r="L200" s="21">
        <v>4</v>
      </c>
      <c r="M200" s="21">
        <v>6</v>
      </c>
      <c r="P200" s="24">
        <f>J200+L200+N200</f>
        <v>8</v>
      </c>
      <c r="Q200" s="24">
        <f>K200+M200+O200</f>
        <v>12</v>
      </c>
      <c r="R200" s="24">
        <v>0.4</v>
      </c>
      <c r="S200" s="21" t="s">
        <v>447</v>
      </c>
      <c r="T200" s="21" t="s">
        <v>296</v>
      </c>
      <c r="U200" s="21" t="s">
        <v>292</v>
      </c>
      <c r="V200" s="21" t="s">
        <v>286</v>
      </c>
      <c r="W200" s="21">
        <v>5</v>
      </c>
      <c r="X200" s="21" t="s">
        <v>285</v>
      </c>
      <c r="Y200" s="21" t="s">
        <v>318</v>
      </c>
      <c r="Z200" s="21" t="s">
        <v>317</v>
      </c>
      <c r="AA200" s="21" t="s">
        <v>18</v>
      </c>
      <c r="AB200" s="21">
        <v>1</v>
      </c>
      <c r="AD200" s="24">
        <v>8.73</v>
      </c>
      <c r="AE200" s="24">
        <v>9.5299999999999994</v>
      </c>
      <c r="AF200" s="21" t="s">
        <v>302</v>
      </c>
      <c r="AG200" s="21" t="s">
        <v>301</v>
      </c>
    </row>
    <row r="201" spans="1:33">
      <c r="A201" s="21" t="s">
        <v>18</v>
      </c>
      <c r="B201" s="21" t="s">
        <v>534</v>
      </c>
      <c r="C201" s="25">
        <v>46060</v>
      </c>
      <c r="D201" s="21" t="s">
        <v>81</v>
      </c>
      <c r="E201" s="24">
        <v>8.73</v>
      </c>
      <c r="F201" s="24">
        <v>7.6</v>
      </c>
      <c r="G201" s="24">
        <f>E201-F201</f>
        <v>1.1300000000000008</v>
      </c>
      <c r="H201" s="21" t="s">
        <v>289</v>
      </c>
      <c r="I201" s="21">
        <v>1</v>
      </c>
      <c r="J201" s="21">
        <v>4</v>
      </c>
      <c r="K201" s="21">
        <v>2</v>
      </c>
      <c r="L201" s="21">
        <v>4</v>
      </c>
      <c r="M201" s="21">
        <v>1</v>
      </c>
      <c r="P201" s="24">
        <f>J201+L201+N201</f>
        <v>8</v>
      </c>
      <c r="Q201" s="24">
        <f>K201+M201+O201</f>
        <v>3</v>
      </c>
      <c r="R201" s="24">
        <v>0.72727272727272729</v>
      </c>
      <c r="S201" s="21" t="s">
        <v>447</v>
      </c>
      <c r="T201" s="21" t="s">
        <v>420</v>
      </c>
      <c r="U201" s="21" t="s">
        <v>292</v>
      </c>
      <c r="V201" s="21" t="s">
        <v>286</v>
      </c>
      <c r="W201" s="21">
        <v>5</v>
      </c>
      <c r="X201" s="21" t="s">
        <v>285</v>
      </c>
      <c r="Y201" s="21" t="s">
        <v>318</v>
      </c>
      <c r="Z201" s="21" t="s">
        <v>317</v>
      </c>
      <c r="AA201" s="21" t="s">
        <v>18</v>
      </c>
      <c r="AB201" s="21">
        <v>1</v>
      </c>
      <c r="AD201" s="24">
        <v>8.73</v>
      </c>
      <c r="AE201" s="24">
        <v>7.6</v>
      </c>
      <c r="AF201" s="21" t="s">
        <v>302</v>
      </c>
      <c r="AG201" s="21" t="s">
        <v>301</v>
      </c>
    </row>
    <row r="202" spans="1:33">
      <c r="A202" s="21" t="s">
        <v>18</v>
      </c>
      <c r="B202" s="21" t="s">
        <v>534</v>
      </c>
      <c r="C202" s="25">
        <v>46060</v>
      </c>
      <c r="D202" s="21" t="s">
        <v>360</v>
      </c>
      <c r="E202" s="24">
        <v>8.73</v>
      </c>
      <c r="F202" s="24">
        <v>7.98</v>
      </c>
      <c r="G202" s="24">
        <f>E202-F202</f>
        <v>0.75</v>
      </c>
      <c r="H202" s="21" t="s">
        <v>289</v>
      </c>
      <c r="I202" s="21">
        <v>1</v>
      </c>
      <c r="J202" s="21">
        <v>4</v>
      </c>
      <c r="K202" s="21">
        <v>1</v>
      </c>
      <c r="L202" s="21">
        <v>3</v>
      </c>
      <c r="M202" s="21">
        <v>5</v>
      </c>
      <c r="N202" s="21">
        <v>1</v>
      </c>
      <c r="O202" s="21">
        <v>0</v>
      </c>
      <c r="P202" s="24">
        <f>J202+L202+N202</f>
        <v>8</v>
      </c>
      <c r="Q202" s="24">
        <f>K202+M202+O202</f>
        <v>6</v>
      </c>
      <c r="R202" s="24">
        <v>0.5714285714285714</v>
      </c>
      <c r="S202" s="21" t="s">
        <v>447</v>
      </c>
      <c r="T202" s="21" t="s">
        <v>418</v>
      </c>
      <c r="U202" s="21" t="s">
        <v>292</v>
      </c>
      <c r="V202" s="21" t="s">
        <v>286</v>
      </c>
      <c r="W202" s="21">
        <v>5</v>
      </c>
      <c r="X202" s="21" t="s">
        <v>285</v>
      </c>
      <c r="Y202" s="21" t="s">
        <v>318</v>
      </c>
      <c r="Z202" s="21" t="s">
        <v>317</v>
      </c>
      <c r="AA202" s="21" t="s">
        <v>18</v>
      </c>
      <c r="AB202" s="21">
        <v>1</v>
      </c>
      <c r="AD202" s="24">
        <v>8.73</v>
      </c>
      <c r="AE202" s="24">
        <v>7.98</v>
      </c>
      <c r="AF202" s="21" t="s">
        <v>302</v>
      </c>
      <c r="AG202" s="21" t="s">
        <v>301</v>
      </c>
    </row>
    <row r="203" spans="1:33">
      <c r="A203" s="21" t="s">
        <v>18</v>
      </c>
      <c r="B203" s="21" t="s">
        <v>534</v>
      </c>
      <c r="C203" s="25">
        <v>46074</v>
      </c>
      <c r="D203" s="21" t="s">
        <v>371</v>
      </c>
      <c r="E203" s="24">
        <v>8.73</v>
      </c>
      <c r="F203" s="24">
        <v>8.9700000000000006</v>
      </c>
      <c r="G203" s="24">
        <f>E203-F203</f>
        <v>-0.24000000000000021</v>
      </c>
      <c r="H203" s="21" t="s">
        <v>294</v>
      </c>
      <c r="I203" s="21">
        <v>0</v>
      </c>
      <c r="J203" s="21">
        <v>3</v>
      </c>
      <c r="K203" s="21">
        <v>6</v>
      </c>
      <c r="L203" s="21">
        <v>2</v>
      </c>
      <c r="M203" s="21">
        <v>6</v>
      </c>
      <c r="P203" s="24">
        <f>J203+L203+N203</f>
        <v>5</v>
      </c>
      <c r="Q203" s="24">
        <f>K203+M203+O203</f>
        <v>12</v>
      </c>
      <c r="R203" s="24">
        <v>0.29411764705882354</v>
      </c>
      <c r="S203" s="21" t="s">
        <v>367</v>
      </c>
      <c r="T203" s="21" t="s">
        <v>297</v>
      </c>
      <c r="U203" s="21" t="s">
        <v>292</v>
      </c>
      <c r="V203" s="21" t="s">
        <v>286</v>
      </c>
      <c r="W203" s="21">
        <v>10</v>
      </c>
      <c r="X203" s="21" t="s">
        <v>285</v>
      </c>
      <c r="Y203" s="21" t="s">
        <v>318</v>
      </c>
      <c r="Z203" s="21" t="s">
        <v>317</v>
      </c>
      <c r="AA203" s="21" t="s">
        <v>18</v>
      </c>
      <c r="AB203" s="21">
        <v>1</v>
      </c>
      <c r="AD203" s="24">
        <v>8.73</v>
      </c>
      <c r="AE203" s="24">
        <v>8.9700000000000006</v>
      </c>
      <c r="AF203" s="21" t="s">
        <v>304</v>
      </c>
      <c r="AG203" s="21" t="s">
        <v>303</v>
      </c>
    </row>
    <row r="204" spans="1:33">
      <c r="A204" s="21" t="s">
        <v>18</v>
      </c>
      <c r="B204" s="21" t="s">
        <v>534</v>
      </c>
      <c r="C204" s="25">
        <v>46094.666666666664</v>
      </c>
      <c r="D204" s="21" t="s">
        <v>776</v>
      </c>
      <c r="E204" s="24">
        <v>8.08</v>
      </c>
      <c r="F204" s="24">
        <v>7.08</v>
      </c>
      <c r="G204" s="24">
        <f>E204-F204</f>
        <v>1</v>
      </c>
      <c r="H204" s="21" t="s">
        <v>289</v>
      </c>
      <c r="I204" s="21">
        <v>1</v>
      </c>
      <c r="J204" s="21">
        <v>6</v>
      </c>
      <c r="K204" s="21">
        <v>0</v>
      </c>
      <c r="L204" s="21">
        <v>6</v>
      </c>
      <c r="M204" s="21">
        <v>0</v>
      </c>
      <c r="P204" s="24">
        <f>J204+L204+N204</f>
        <v>12</v>
      </c>
      <c r="Q204" s="24">
        <f>K204+M204+O204</f>
        <v>0</v>
      </c>
      <c r="R204" s="24">
        <v>1</v>
      </c>
      <c r="S204" s="21" t="s">
        <v>400</v>
      </c>
      <c r="U204" s="21" t="s">
        <v>287</v>
      </c>
      <c r="V204" s="21" t="s">
        <v>286</v>
      </c>
      <c r="W204" s="21">
        <v>11</v>
      </c>
      <c r="X204" s="21" t="s">
        <v>285</v>
      </c>
      <c r="Y204" s="21" t="s">
        <v>318</v>
      </c>
      <c r="Z204" s="21" t="s">
        <v>317</v>
      </c>
      <c r="AA204" s="21" t="s">
        <v>18</v>
      </c>
      <c r="AB204" s="21">
        <v>1</v>
      </c>
      <c r="AD204" s="24">
        <v>8.73</v>
      </c>
      <c r="AE204" s="24">
        <v>7.08</v>
      </c>
      <c r="AF204" s="21" t="s">
        <v>304</v>
      </c>
      <c r="AG204" s="21" t="s">
        <v>303</v>
      </c>
    </row>
    <row r="205" spans="1:33">
      <c r="A205" s="21" t="s">
        <v>18</v>
      </c>
      <c r="B205" s="21" t="s">
        <v>534</v>
      </c>
      <c r="C205" s="25">
        <v>46099.666666666664</v>
      </c>
      <c r="D205" s="21" t="s">
        <v>235</v>
      </c>
      <c r="E205" s="24">
        <v>8.08</v>
      </c>
      <c r="F205" s="24">
        <v>7.57</v>
      </c>
      <c r="G205" s="24">
        <f>E205-F205</f>
        <v>0.50999999999999979</v>
      </c>
      <c r="H205" s="21" t="s">
        <v>294</v>
      </c>
      <c r="I205" s="21">
        <v>0</v>
      </c>
      <c r="J205" s="21">
        <v>2</v>
      </c>
      <c r="K205" s="21">
        <v>6</v>
      </c>
      <c r="L205" s="21">
        <v>4</v>
      </c>
      <c r="M205" s="21">
        <v>6</v>
      </c>
      <c r="P205" s="24">
        <f>J205+L205+N205</f>
        <v>6</v>
      </c>
      <c r="Q205" s="24">
        <f>K205+M205+O205</f>
        <v>12</v>
      </c>
      <c r="R205" s="24">
        <v>0.33333333333333331</v>
      </c>
      <c r="S205" s="21" t="s">
        <v>236</v>
      </c>
      <c r="U205" s="21" t="s">
        <v>287</v>
      </c>
      <c r="V205" s="21" t="s">
        <v>286</v>
      </c>
      <c r="W205" s="21">
        <v>12</v>
      </c>
      <c r="X205" s="21" t="s">
        <v>285</v>
      </c>
      <c r="Y205" s="21" t="s">
        <v>318</v>
      </c>
      <c r="Z205" s="21" t="s">
        <v>317</v>
      </c>
      <c r="AA205" s="21" t="s">
        <v>18</v>
      </c>
      <c r="AB205" s="21">
        <v>1</v>
      </c>
      <c r="AD205" s="24">
        <v>8.73</v>
      </c>
      <c r="AE205" s="24">
        <v>8.07</v>
      </c>
      <c r="AF205" s="21" t="s">
        <v>304</v>
      </c>
      <c r="AG205" s="21" t="s">
        <v>303</v>
      </c>
    </row>
    <row r="206" spans="1:33">
      <c r="A206" s="21" t="s">
        <v>18</v>
      </c>
      <c r="B206" s="21" t="s">
        <v>534</v>
      </c>
      <c r="C206" s="25">
        <v>46100.666666666664</v>
      </c>
      <c r="D206" s="21" t="s">
        <v>775</v>
      </c>
      <c r="E206" s="24">
        <v>8.08</v>
      </c>
      <c r="F206" s="24">
        <v>9.8800000000000008</v>
      </c>
      <c r="G206" s="24">
        <f>E206-F206</f>
        <v>-1.8000000000000007</v>
      </c>
      <c r="H206" s="21" t="s">
        <v>294</v>
      </c>
      <c r="I206" s="21">
        <v>0</v>
      </c>
      <c r="J206" s="21">
        <v>4</v>
      </c>
      <c r="K206" s="21">
        <v>6</v>
      </c>
      <c r="L206" s="21">
        <v>4</v>
      </c>
      <c r="M206" s="21">
        <v>6</v>
      </c>
      <c r="P206" s="24">
        <f>J206+L206+N206</f>
        <v>8</v>
      </c>
      <c r="Q206" s="24">
        <f>K206+M206+O206</f>
        <v>12</v>
      </c>
      <c r="R206" s="24">
        <v>0.4</v>
      </c>
      <c r="S206" s="21" t="s">
        <v>595</v>
      </c>
      <c r="U206" s="21" t="s">
        <v>287</v>
      </c>
      <c r="V206" s="21" t="s">
        <v>286</v>
      </c>
      <c r="W206" s="21">
        <v>13</v>
      </c>
      <c r="X206" s="21" t="s">
        <v>285</v>
      </c>
      <c r="Y206" s="21" t="s">
        <v>318</v>
      </c>
      <c r="Z206" s="21" t="s">
        <v>317</v>
      </c>
      <c r="AA206" s="21" t="s">
        <v>18</v>
      </c>
      <c r="AB206" s="21">
        <v>1</v>
      </c>
      <c r="AD206" s="24">
        <v>8.73</v>
      </c>
      <c r="AE206" s="24">
        <v>9.8800000000000008</v>
      </c>
      <c r="AF206" s="21" t="s">
        <v>304</v>
      </c>
      <c r="AG206" s="21" t="s">
        <v>303</v>
      </c>
    </row>
    <row r="207" spans="1:33">
      <c r="A207" s="21" t="s">
        <v>18</v>
      </c>
      <c r="B207" s="21" t="s">
        <v>534</v>
      </c>
      <c r="C207" s="25">
        <v>46102</v>
      </c>
      <c r="D207" s="21" t="s">
        <v>361</v>
      </c>
      <c r="E207" s="24">
        <v>8.08</v>
      </c>
      <c r="F207" s="24">
        <v>8.48</v>
      </c>
      <c r="G207" s="24">
        <f>E207-F207</f>
        <v>-0.40000000000000036</v>
      </c>
      <c r="H207" s="21" t="s">
        <v>294</v>
      </c>
      <c r="I207" s="21">
        <v>0</v>
      </c>
      <c r="J207" s="21">
        <v>4</v>
      </c>
      <c r="K207" s="21">
        <v>1</v>
      </c>
      <c r="L207" s="21">
        <v>2</v>
      </c>
      <c r="M207" s="21">
        <v>4</v>
      </c>
      <c r="N207" s="21">
        <v>0</v>
      </c>
      <c r="O207" s="21">
        <v>1</v>
      </c>
      <c r="P207" s="24">
        <f>J207+L207+N207</f>
        <v>6</v>
      </c>
      <c r="Q207" s="24">
        <f>K207+M207+O207</f>
        <v>6</v>
      </c>
      <c r="R207" s="24">
        <v>0.5</v>
      </c>
      <c r="S207" s="21" t="s">
        <v>554</v>
      </c>
      <c r="T207" s="21" t="s">
        <v>420</v>
      </c>
      <c r="U207" s="21" t="s">
        <v>292</v>
      </c>
      <c r="V207" s="21" t="s">
        <v>286</v>
      </c>
      <c r="W207" s="21">
        <v>14</v>
      </c>
      <c r="X207" s="21" t="s">
        <v>285</v>
      </c>
      <c r="Y207" s="21" t="s">
        <v>318</v>
      </c>
      <c r="Z207" s="21" t="s">
        <v>317</v>
      </c>
      <c r="AA207" s="21" t="s">
        <v>18</v>
      </c>
      <c r="AB207" s="21">
        <v>1</v>
      </c>
      <c r="AD207" s="24">
        <v>8.73</v>
      </c>
      <c r="AE207" s="24">
        <v>8.48</v>
      </c>
      <c r="AF207" s="21" t="s">
        <v>304</v>
      </c>
      <c r="AG207" s="21" t="s">
        <v>303</v>
      </c>
    </row>
    <row r="208" spans="1:33">
      <c r="A208" s="21" t="s">
        <v>18</v>
      </c>
      <c r="B208" s="21" t="s">
        <v>534</v>
      </c>
      <c r="C208" s="25">
        <v>46102</v>
      </c>
      <c r="D208" s="21" t="s">
        <v>556</v>
      </c>
      <c r="E208" s="24">
        <v>8.08</v>
      </c>
      <c r="F208" s="24">
        <v>10.119999999999999</v>
      </c>
      <c r="G208" s="24">
        <f>E208-F208</f>
        <v>-2.0399999999999991</v>
      </c>
      <c r="H208" s="21" t="s">
        <v>294</v>
      </c>
      <c r="I208" s="21">
        <v>0</v>
      </c>
      <c r="J208" s="21">
        <v>4</v>
      </c>
      <c r="K208" s="21">
        <v>6</v>
      </c>
      <c r="L208" s="21">
        <v>4</v>
      </c>
      <c r="M208" s="21">
        <v>6</v>
      </c>
      <c r="P208" s="24">
        <f>J208+L208+N208</f>
        <v>8</v>
      </c>
      <c r="Q208" s="24">
        <f>K208+M208+O208</f>
        <v>12</v>
      </c>
      <c r="R208" s="24">
        <v>0.4</v>
      </c>
      <c r="S208" s="21" t="s">
        <v>554</v>
      </c>
      <c r="T208" s="21" t="s">
        <v>296</v>
      </c>
      <c r="U208" s="21" t="s">
        <v>292</v>
      </c>
      <c r="V208" s="21" t="s">
        <v>286</v>
      </c>
      <c r="W208" s="21">
        <v>14</v>
      </c>
      <c r="X208" s="21" t="s">
        <v>285</v>
      </c>
      <c r="Y208" s="21" t="s">
        <v>318</v>
      </c>
      <c r="Z208" s="21" t="s">
        <v>317</v>
      </c>
      <c r="AA208" s="21" t="s">
        <v>18</v>
      </c>
      <c r="AB208" s="21">
        <v>1</v>
      </c>
      <c r="AD208" s="24">
        <v>8.73</v>
      </c>
      <c r="AE208" s="24">
        <v>10.119999999999999</v>
      </c>
      <c r="AF208" s="21" t="s">
        <v>304</v>
      </c>
      <c r="AG208" s="21" t="s">
        <v>303</v>
      </c>
    </row>
    <row r="209" spans="1:33">
      <c r="A209" s="21" t="s">
        <v>18</v>
      </c>
      <c r="B209" s="21" t="s">
        <v>534</v>
      </c>
      <c r="C209" s="25">
        <v>46102</v>
      </c>
      <c r="D209" s="21" t="s">
        <v>720</v>
      </c>
      <c r="E209" s="24">
        <v>8.08</v>
      </c>
      <c r="F209" s="24">
        <v>8.24</v>
      </c>
      <c r="G209" s="24">
        <f>E209-F209</f>
        <v>-0.16000000000000014</v>
      </c>
      <c r="H209" s="21" t="s">
        <v>289</v>
      </c>
      <c r="I209" s="21">
        <v>1</v>
      </c>
      <c r="J209" s="21">
        <v>7</v>
      </c>
      <c r="K209" s="21">
        <v>5</v>
      </c>
      <c r="L209" s="21">
        <v>7</v>
      </c>
      <c r="M209" s="21">
        <v>6</v>
      </c>
      <c r="P209" s="24">
        <f>J209+L209+N209</f>
        <v>14</v>
      </c>
      <c r="Q209" s="24">
        <f>K209+M209+O209</f>
        <v>11</v>
      </c>
      <c r="R209" s="24">
        <v>0.5490196078431373</v>
      </c>
      <c r="S209" s="21" t="s">
        <v>554</v>
      </c>
      <c r="T209" s="21" t="s">
        <v>297</v>
      </c>
      <c r="U209" s="21" t="s">
        <v>292</v>
      </c>
      <c r="V209" s="21" t="s">
        <v>286</v>
      </c>
      <c r="W209" s="21">
        <v>14</v>
      </c>
      <c r="X209" s="21" t="s">
        <v>285</v>
      </c>
      <c r="Y209" s="21" t="s">
        <v>318</v>
      </c>
      <c r="Z209" s="21" t="s">
        <v>317</v>
      </c>
      <c r="AA209" s="21" t="s">
        <v>18</v>
      </c>
      <c r="AB209" s="21">
        <v>1</v>
      </c>
      <c r="AD209" s="24">
        <v>8.73</v>
      </c>
      <c r="AE209" s="24">
        <v>8.24</v>
      </c>
      <c r="AF209" s="21" t="s">
        <v>304</v>
      </c>
      <c r="AG209" s="21" t="s">
        <v>303</v>
      </c>
    </row>
    <row r="210" spans="1:33">
      <c r="A210" s="21" t="s">
        <v>18</v>
      </c>
      <c r="B210" s="21" t="s">
        <v>534</v>
      </c>
      <c r="C210" s="25">
        <v>46105.666666666664</v>
      </c>
      <c r="D210" s="21" t="s">
        <v>774</v>
      </c>
      <c r="E210" s="24">
        <v>8.08</v>
      </c>
      <c r="F210" s="24">
        <v>7.13</v>
      </c>
      <c r="G210" s="24">
        <f>E210-F210</f>
        <v>0.95000000000000018</v>
      </c>
      <c r="H210" s="21" t="s">
        <v>289</v>
      </c>
      <c r="I210" s="21">
        <v>1</v>
      </c>
      <c r="J210" s="21">
        <v>6</v>
      </c>
      <c r="K210" s="21">
        <v>0</v>
      </c>
      <c r="L210" s="21">
        <v>6</v>
      </c>
      <c r="M210" s="21">
        <v>3</v>
      </c>
      <c r="P210" s="24">
        <f>J210+L210+N210</f>
        <v>12</v>
      </c>
      <c r="Q210" s="24">
        <f>K210+M210+O210</f>
        <v>3</v>
      </c>
      <c r="R210" s="24">
        <v>0.8</v>
      </c>
      <c r="S210" s="21" t="s">
        <v>773</v>
      </c>
      <c r="U210" s="21" t="s">
        <v>287</v>
      </c>
      <c r="V210" s="21" t="s">
        <v>286</v>
      </c>
      <c r="W210" s="21">
        <v>17</v>
      </c>
      <c r="X210" s="21" t="s">
        <v>285</v>
      </c>
      <c r="Y210" s="21" t="s">
        <v>318</v>
      </c>
      <c r="Z210" s="21" t="s">
        <v>317</v>
      </c>
      <c r="AA210" s="21" t="s">
        <v>18</v>
      </c>
      <c r="AB210" s="21">
        <v>1</v>
      </c>
      <c r="AD210" s="24">
        <v>8.73</v>
      </c>
      <c r="AE210" s="24">
        <v>7.13</v>
      </c>
      <c r="AF210" s="21" t="s">
        <v>304</v>
      </c>
      <c r="AG210" s="21" t="s">
        <v>303</v>
      </c>
    </row>
    <row r="211" spans="1:33">
      <c r="A211" s="21" t="s">
        <v>18</v>
      </c>
      <c r="B211" s="21" t="s">
        <v>534</v>
      </c>
      <c r="C211" s="25">
        <v>46107.645833333336</v>
      </c>
      <c r="D211" s="21" t="s">
        <v>14</v>
      </c>
      <c r="E211" s="24">
        <v>8.08</v>
      </c>
      <c r="F211" s="24">
        <v>6.72</v>
      </c>
      <c r="G211" s="24">
        <f>E211-F211</f>
        <v>1.3600000000000003</v>
      </c>
      <c r="H211" s="21" t="s">
        <v>289</v>
      </c>
      <c r="I211" s="21">
        <v>1</v>
      </c>
      <c r="J211" s="21">
        <v>6</v>
      </c>
      <c r="K211" s="21">
        <v>1</v>
      </c>
      <c r="L211" s="21">
        <v>6</v>
      </c>
      <c r="M211" s="21">
        <v>0</v>
      </c>
      <c r="P211" s="24">
        <f>J211+L211+N211</f>
        <v>12</v>
      </c>
      <c r="Q211" s="24">
        <f>K211+M211+O211</f>
        <v>1</v>
      </c>
      <c r="R211" s="24">
        <v>0.92307692307692313</v>
      </c>
      <c r="S211" s="21" t="s">
        <v>202</v>
      </c>
      <c r="U211" s="21" t="s">
        <v>287</v>
      </c>
      <c r="V211" s="21" t="s">
        <v>286</v>
      </c>
      <c r="W211" s="21">
        <v>18</v>
      </c>
      <c r="X211" s="21" t="s">
        <v>285</v>
      </c>
      <c r="Y211" s="21" t="s">
        <v>318</v>
      </c>
      <c r="Z211" s="21" t="s">
        <v>317</v>
      </c>
      <c r="AA211" s="21" t="s">
        <v>18</v>
      </c>
      <c r="AB211" s="21">
        <v>1</v>
      </c>
      <c r="AD211" s="24">
        <v>8.73</v>
      </c>
      <c r="AE211" s="24">
        <v>8.06</v>
      </c>
      <c r="AF211" s="21" t="s">
        <v>304</v>
      </c>
      <c r="AG211" s="21" t="s">
        <v>303</v>
      </c>
    </row>
    <row r="212" spans="1:33">
      <c r="A212" s="21" t="s">
        <v>18</v>
      </c>
      <c r="B212" s="21" t="s">
        <v>534</v>
      </c>
      <c r="C212" s="25">
        <v>46126.645833333336</v>
      </c>
      <c r="D212" s="21" t="s">
        <v>114</v>
      </c>
      <c r="E212" s="24">
        <v>8.1300000000000008</v>
      </c>
      <c r="F212" s="24">
        <v>7.91</v>
      </c>
      <c r="G212" s="24">
        <f>E212-F212</f>
        <v>0.22000000000000064</v>
      </c>
      <c r="H212" s="21" t="s">
        <v>289</v>
      </c>
      <c r="I212" s="21">
        <v>1</v>
      </c>
      <c r="J212" s="21">
        <v>7</v>
      </c>
      <c r="K212" s="21">
        <v>6</v>
      </c>
      <c r="L212" s="21">
        <v>6</v>
      </c>
      <c r="M212" s="21">
        <v>4</v>
      </c>
      <c r="P212" s="24">
        <f>J212+L212+N212</f>
        <v>13</v>
      </c>
      <c r="Q212" s="24">
        <f>K212+M212+O212</f>
        <v>10</v>
      </c>
      <c r="R212" s="24">
        <v>0.54545454545454541</v>
      </c>
      <c r="S212" s="21" t="s">
        <v>105</v>
      </c>
      <c r="U212" s="21" t="s">
        <v>287</v>
      </c>
      <c r="V212" s="21" t="s">
        <v>286</v>
      </c>
      <c r="W212" s="21">
        <v>19</v>
      </c>
      <c r="X212" s="21" t="s">
        <v>285</v>
      </c>
      <c r="Y212" s="21" t="s">
        <v>318</v>
      </c>
      <c r="Z212" s="21" t="s">
        <v>317</v>
      </c>
      <c r="AA212" s="21" t="s">
        <v>18</v>
      </c>
      <c r="AB212" s="21">
        <v>1</v>
      </c>
      <c r="AD212" s="24">
        <v>8.73</v>
      </c>
      <c r="AE212" s="24">
        <v>8.2799999999999994</v>
      </c>
      <c r="AF212" s="21" t="s">
        <v>304</v>
      </c>
      <c r="AG212" s="21" t="s">
        <v>303</v>
      </c>
    </row>
    <row r="213" spans="1:33">
      <c r="A213" s="21" t="s">
        <v>18</v>
      </c>
      <c r="B213" s="21" t="s">
        <v>534</v>
      </c>
      <c r="C213" s="25">
        <v>46127.666666666664</v>
      </c>
      <c r="D213" s="21" t="s">
        <v>38</v>
      </c>
      <c r="E213" s="24">
        <v>8.1300000000000008</v>
      </c>
      <c r="F213" s="24">
        <v>10.18</v>
      </c>
      <c r="G213" s="24">
        <f>E213-F213</f>
        <v>-2.0499999999999989</v>
      </c>
      <c r="H213" s="21" t="s">
        <v>294</v>
      </c>
      <c r="I213" s="21">
        <v>0</v>
      </c>
      <c r="J213" s="21">
        <v>4</v>
      </c>
      <c r="K213" s="21">
        <v>6</v>
      </c>
      <c r="L213" s="21">
        <v>4</v>
      </c>
      <c r="M213" s="21">
        <v>6</v>
      </c>
      <c r="P213" s="24">
        <f>J213+L213+N213</f>
        <v>8</v>
      </c>
      <c r="Q213" s="24">
        <f>K213+M213+O213</f>
        <v>12</v>
      </c>
      <c r="R213" s="24">
        <v>0.4</v>
      </c>
      <c r="S213" s="21" t="s">
        <v>98</v>
      </c>
      <c r="U213" s="21" t="s">
        <v>287</v>
      </c>
      <c r="V213" s="21" t="s">
        <v>286</v>
      </c>
      <c r="W213" s="21">
        <v>20</v>
      </c>
      <c r="X213" s="21" t="s">
        <v>285</v>
      </c>
      <c r="Y213" s="21" t="s">
        <v>318</v>
      </c>
      <c r="Z213" s="21" t="s">
        <v>317</v>
      </c>
      <c r="AA213" s="21" t="s">
        <v>18</v>
      </c>
      <c r="AB213" s="21">
        <v>1</v>
      </c>
      <c r="AD213" s="24">
        <v>8.73</v>
      </c>
      <c r="AE213" s="24">
        <v>10.01</v>
      </c>
      <c r="AF213" s="21" t="s">
        <v>304</v>
      </c>
      <c r="AG213" s="21" t="s">
        <v>303</v>
      </c>
    </row>
    <row r="214" spans="1:33">
      <c r="A214" s="21" t="s">
        <v>18</v>
      </c>
      <c r="B214" s="21" t="s">
        <v>534</v>
      </c>
      <c r="C214" s="25">
        <v>46130.84652777778</v>
      </c>
      <c r="D214" s="21" t="s">
        <v>78</v>
      </c>
      <c r="E214" s="24">
        <v>8.1300000000000008</v>
      </c>
      <c r="F214" s="24">
        <v>10.45</v>
      </c>
      <c r="G214" s="24">
        <f>E214-F214</f>
        <v>-2.3199999999999985</v>
      </c>
      <c r="H214" s="21" t="s">
        <v>294</v>
      </c>
      <c r="I214" s="21">
        <v>0</v>
      </c>
      <c r="J214" s="21">
        <v>3</v>
      </c>
      <c r="K214" s="21">
        <v>6</v>
      </c>
      <c r="L214" s="21">
        <v>2</v>
      </c>
      <c r="M214" s="21">
        <v>6</v>
      </c>
      <c r="P214" s="24">
        <f>J214+L214+N214</f>
        <v>5</v>
      </c>
      <c r="Q214" s="24">
        <f>K214+M214+O214</f>
        <v>12</v>
      </c>
      <c r="R214" s="24">
        <v>0.29411764705882354</v>
      </c>
      <c r="S214" s="21" t="s">
        <v>68</v>
      </c>
      <c r="T214" s="21" t="s">
        <v>351</v>
      </c>
      <c r="U214" s="21" t="s">
        <v>287</v>
      </c>
      <c r="V214" s="21" t="s">
        <v>286</v>
      </c>
      <c r="W214" s="21">
        <v>21</v>
      </c>
      <c r="X214" s="21" t="s">
        <v>285</v>
      </c>
      <c r="Y214" s="21" t="s">
        <v>318</v>
      </c>
      <c r="Z214" s="21" t="s">
        <v>317</v>
      </c>
      <c r="AA214" s="21" t="s">
        <v>18</v>
      </c>
      <c r="AB214" s="21">
        <v>1</v>
      </c>
      <c r="AD214" s="24">
        <v>8.73</v>
      </c>
      <c r="AE214" s="24">
        <v>9.77</v>
      </c>
      <c r="AF214" s="21" t="s">
        <v>304</v>
      </c>
      <c r="AG214" s="21" t="s">
        <v>303</v>
      </c>
    </row>
    <row r="215" spans="1:33">
      <c r="A215" s="21" t="s">
        <v>18</v>
      </c>
      <c r="B215" s="21" t="s">
        <v>534</v>
      </c>
      <c r="C215" s="25">
        <v>46133.666666666664</v>
      </c>
      <c r="D215" s="21" t="s">
        <v>70</v>
      </c>
      <c r="E215" s="24">
        <v>8.14</v>
      </c>
      <c r="F215" s="24">
        <v>7.33</v>
      </c>
      <c r="G215" s="24">
        <f>E215-F215</f>
        <v>0.8100000000000005</v>
      </c>
      <c r="H215" s="21" t="s">
        <v>289</v>
      </c>
      <c r="I215" s="21">
        <v>1</v>
      </c>
      <c r="J215" s="21">
        <v>6</v>
      </c>
      <c r="K215" s="21">
        <v>2</v>
      </c>
      <c r="L215" s="21">
        <v>6</v>
      </c>
      <c r="M215" s="21">
        <v>3</v>
      </c>
      <c r="P215" s="24">
        <f>J215+L215+N215</f>
        <v>12</v>
      </c>
      <c r="Q215" s="24">
        <f>K215+M215+O215</f>
        <v>5</v>
      </c>
      <c r="R215" s="24">
        <v>0.70588235294117652</v>
      </c>
      <c r="S215" s="21" t="s">
        <v>68</v>
      </c>
      <c r="U215" s="21" t="s">
        <v>287</v>
      </c>
      <c r="V215" s="21" t="s">
        <v>286</v>
      </c>
      <c r="W215" s="21">
        <v>22</v>
      </c>
      <c r="X215" s="21" t="s">
        <v>285</v>
      </c>
      <c r="Y215" s="21" t="s">
        <v>318</v>
      </c>
      <c r="Z215" s="21" t="s">
        <v>317</v>
      </c>
      <c r="AA215" s="21" t="s">
        <v>18</v>
      </c>
      <c r="AB215" s="21">
        <v>1</v>
      </c>
      <c r="AD215" s="24">
        <v>8.73</v>
      </c>
      <c r="AE215" s="24">
        <v>7.26</v>
      </c>
      <c r="AF215" s="21" t="s">
        <v>304</v>
      </c>
      <c r="AG215" s="21" t="s">
        <v>303</v>
      </c>
    </row>
    <row r="216" spans="1:33">
      <c r="A216" s="21" t="s">
        <v>18</v>
      </c>
      <c r="B216" s="21" t="s">
        <v>534</v>
      </c>
      <c r="C216" s="25">
        <v>46139.666666666664</v>
      </c>
      <c r="D216" s="21" t="s">
        <v>78</v>
      </c>
      <c r="E216" s="24">
        <v>8.14</v>
      </c>
      <c r="F216" s="24">
        <v>10.41</v>
      </c>
      <c r="G216" s="24">
        <f>E216-F216</f>
        <v>-2.2699999999999996</v>
      </c>
      <c r="H216" s="21" t="s">
        <v>294</v>
      </c>
      <c r="I216" s="21">
        <v>0</v>
      </c>
      <c r="J216" s="21">
        <v>4</v>
      </c>
      <c r="K216" s="21">
        <v>6</v>
      </c>
      <c r="L216" s="21">
        <v>6</v>
      </c>
      <c r="M216" s="21">
        <v>4</v>
      </c>
      <c r="N216" s="21">
        <v>3</v>
      </c>
      <c r="O216" s="21">
        <v>6</v>
      </c>
      <c r="P216" s="24">
        <f>J216+L216+N216</f>
        <v>13</v>
      </c>
      <c r="Q216" s="24">
        <f>K216+M216+O216</f>
        <v>16</v>
      </c>
      <c r="R216" s="24">
        <v>0.44827586206896552</v>
      </c>
      <c r="S216" s="21" t="s">
        <v>49</v>
      </c>
      <c r="U216" s="21" t="s">
        <v>287</v>
      </c>
      <c r="V216" s="21" t="s">
        <v>286</v>
      </c>
      <c r="W216" s="21">
        <v>23</v>
      </c>
      <c r="X216" s="21" t="s">
        <v>285</v>
      </c>
      <c r="Y216" s="21" t="s">
        <v>318</v>
      </c>
      <c r="Z216" s="21" t="s">
        <v>317</v>
      </c>
      <c r="AA216" s="21" t="s">
        <v>18</v>
      </c>
      <c r="AB216" s="21">
        <v>1</v>
      </c>
      <c r="AD216" s="24">
        <v>8.73</v>
      </c>
      <c r="AE216" s="24">
        <v>9.77</v>
      </c>
      <c r="AF216" s="21" t="s">
        <v>302</v>
      </c>
      <c r="AG216" s="21" t="s">
        <v>301</v>
      </c>
    </row>
    <row r="217" spans="1:33">
      <c r="A217" s="21" t="s">
        <v>18</v>
      </c>
      <c r="B217" s="21" t="s">
        <v>534</v>
      </c>
      <c r="C217" s="25">
        <v>46141.572916666664</v>
      </c>
      <c r="D217" s="21" t="s">
        <v>42</v>
      </c>
      <c r="E217" s="24">
        <v>8.18</v>
      </c>
      <c r="F217" s="24">
        <v>7.69</v>
      </c>
      <c r="G217" s="24">
        <f>E217-F217</f>
        <v>0.48999999999999932</v>
      </c>
      <c r="H217" s="21" t="s">
        <v>289</v>
      </c>
      <c r="I217" s="21">
        <v>1</v>
      </c>
      <c r="J217" s="21">
        <v>6</v>
      </c>
      <c r="K217" s="21">
        <v>2</v>
      </c>
      <c r="L217" s="21">
        <v>3</v>
      </c>
      <c r="M217" s="21">
        <v>6</v>
      </c>
      <c r="N217" s="21">
        <v>1</v>
      </c>
      <c r="O217" s="21">
        <v>0</v>
      </c>
      <c r="P217" s="24">
        <f>J217+L217+N217</f>
        <v>10</v>
      </c>
      <c r="Q217" s="24">
        <f>K217+M217+O217</f>
        <v>8</v>
      </c>
      <c r="R217" s="24">
        <v>0.88148148148148153</v>
      </c>
      <c r="S217" s="21" t="s">
        <v>29</v>
      </c>
      <c r="T217" s="21" t="s">
        <v>298</v>
      </c>
      <c r="U217" s="21" t="s">
        <v>292</v>
      </c>
      <c r="V217" s="21" t="s">
        <v>286</v>
      </c>
      <c r="W217" s="21">
        <v>24</v>
      </c>
      <c r="X217" s="21" t="s">
        <v>285</v>
      </c>
      <c r="Y217" s="21" t="s">
        <v>318</v>
      </c>
      <c r="Z217" s="21" t="s">
        <v>317</v>
      </c>
      <c r="AA217" s="21" t="s">
        <v>18</v>
      </c>
      <c r="AB217" s="21">
        <v>1</v>
      </c>
      <c r="AD217" s="24">
        <v>8.73</v>
      </c>
      <c r="AE217" s="24">
        <v>8.3699999999999992</v>
      </c>
      <c r="AF217" s="21" t="s">
        <v>302</v>
      </c>
      <c r="AG217" s="21" t="s">
        <v>301</v>
      </c>
    </row>
    <row r="218" spans="1:33">
      <c r="A218" s="21" t="s">
        <v>18</v>
      </c>
      <c r="B218" s="21" t="s">
        <v>534</v>
      </c>
      <c r="C218" s="25">
        <v>46141.581944444442</v>
      </c>
      <c r="D218" s="21" t="s">
        <v>14</v>
      </c>
      <c r="E218" s="24">
        <v>8.18</v>
      </c>
      <c r="F218" s="24">
        <v>6.86</v>
      </c>
      <c r="G218" s="24">
        <f>E218-F218</f>
        <v>1.3199999999999994</v>
      </c>
      <c r="H218" s="21" t="s">
        <v>289</v>
      </c>
      <c r="I218" s="21">
        <v>1</v>
      </c>
      <c r="J218" s="21">
        <v>6</v>
      </c>
      <c r="K218" s="21">
        <v>3</v>
      </c>
      <c r="L218" s="21">
        <v>6</v>
      </c>
      <c r="M218" s="21">
        <v>3</v>
      </c>
      <c r="P218" s="24">
        <f>J218+L218+N218</f>
        <v>12</v>
      </c>
      <c r="Q218" s="24">
        <f>K218+M218+O218</f>
        <v>6</v>
      </c>
      <c r="R218" s="24">
        <v>0.66666666666666663</v>
      </c>
      <c r="S218" s="21" t="s">
        <v>29</v>
      </c>
      <c r="T218" s="21" t="s">
        <v>297</v>
      </c>
      <c r="U218" s="21" t="s">
        <v>292</v>
      </c>
      <c r="V218" s="21" t="s">
        <v>286</v>
      </c>
      <c r="W218" s="21">
        <v>25</v>
      </c>
      <c r="X218" s="21" t="s">
        <v>285</v>
      </c>
      <c r="Y218" s="21" t="s">
        <v>318</v>
      </c>
      <c r="Z218" s="21" t="s">
        <v>317</v>
      </c>
      <c r="AA218" s="21" t="s">
        <v>18</v>
      </c>
      <c r="AB218" s="21">
        <v>1</v>
      </c>
      <c r="AD218" s="24">
        <v>8.73</v>
      </c>
      <c r="AE218" s="24">
        <v>8.06</v>
      </c>
      <c r="AF218" s="21" t="s">
        <v>302</v>
      </c>
      <c r="AG218" s="21" t="s">
        <v>301</v>
      </c>
    </row>
    <row r="219" spans="1:33">
      <c r="A219" s="21" t="s">
        <v>18</v>
      </c>
      <c r="B219" s="21" t="s">
        <v>534</v>
      </c>
      <c r="C219" s="25">
        <v>46141.587500000001</v>
      </c>
      <c r="D219" s="21" t="s">
        <v>78</v>
      </c>
      <c r="E219" s="24">
        <v>8.18</v>
      </c>
      <c r="F219" s="24">
        <v>10.37</v>
      </c>
      <c r="G219" s="24">
        <f>E219-F219</f>
        <v>-2.1899999999999995</v>
      </c>
      <c r="H219" s="21" t="s">
        <v>294</v>
      </c>
      <c r="I219" s="21">
        <v>0</v>
      </c>
      <c r="J219" s="21">
        <v>3</v>
      </c>
      <c r="K219" s="21">
        <v>6</v>
      </c>
      <c r="L219" s="21">
        <v>5</v>
      </c>
      <c r="M219" s="21">
        <v>7</v>
      </c>
      <c r="P219" s="24">
        <f>J219+L219+N219</f>
        <v>8</v>
      </c>
      <c r="Q219" s="24">
        <f>K219+M219+O219</f>
        <v>13</v>
      </c>
      <c r="R219" s="24">
        <v>0.38095238095238093</v>
      </c>
      <c r="S219" s="21" t="s">
        <v>29</v>
      </c>
      <c r="T219" s="21" t="s">
        <v>296</v>
      </c>
      <c r="U219" s="21" t="s">
        <v>292</v>
      </c>
      <c r="V219" s="21" t="s">
        <v>286</v>
      </c>
      <c r="W219" s="21">
        <v>26</v>
      </c>
      <c r="X219" s="21" t="s">
        <v>285</v>
      </c>
      <c r="Y219" s="21" t="s">
        <v>318</v>
      </c>
      <c r="Z219" s="21" t="s">
        <v>317</v>
      </c>
      <c r="AA219" s="21" t="s">
        <v>18</v>
      </c>
      <c r="AB219" s="21">
        <v>1</v>
      </c>
      <c r="AD219" s="24">
        <v>8.73</v>
      </c>
      <c r="AE219" s="24">
        <v>9.77</v>
      </c>
      <c r="AF219" s="21" t="s">
        <v>302</v>
      </c>
      <c r="AG219" s="21" t="s">
        <v>301</v>
      </c>
    </row>
    <row r="220" spans="1:33">
      <c r="A220" s="21" t="s">
        <v>18</v>
      </c>
      <c r="B220" s="21" t="s">
        <v>534</v>
      </c>
      <c r="C220" s="25">
        <v>46141.607638888891</v>
      </c>
      <c r="D220" s="21" t="s">
        <v>6</v>
      </c>
      <c r="E220" s="24">
        <v>8.18</v>
      </c>
      <c r="F220" s="24">
        <v>8.64</v>
      </c>
      <c r="G220" s="24">
        <f>E220-F220</f>
        <v>-0.46000000000000085</v>
      </c>
      <c r="H220" s="21" t="s">
        <v>289</v>
      </c>
      <c r="I220" s="21">
        <v>1</v>
      </c>
      <c r="J220" s="21">
        <v>3</v>
      </c>
      <c r="K220" s="21">
        <v>6</v>
      </c>
      <c r="L220" s="21">
        <v>6</v>
      </c>
      <c r="M220" s="21">
        <v>4</v>
      </c>
      <c r="N220" s="21">
        <v>7</v>
      </c>
      <c r="O220" s="21">
        <v>4</v>
      </c>
      <c r="P220" s="24">
        <f>J220+L220+N220</f>
        <v>16</v>
      </c>
      <c r="Q220" s="24">
        <f>K220+M220+O220</f>
        <v>14</v>
      </c>
      <c r="R220" s="24">
        <v>0.53333333333333333</v>
      </c>
      <c r="S220" s="21" t="s">
        <v>29</v>
      </c>
      <c r="T220" s="21" t="s">
        <v>295</v>
      </c>
      <c r="U220" s="21" t="s">
        <v>292</v>
      </c>
      <c r="V220" s="21" t="s">
        <v>286</v>
      </c>
      <c r="W220" s="21">
        <v>27</v>
      </c>
      <c r="X220" s="21" t="s">
        <v>285</v>
      </c>
      <c r="Y220" s="21" t="s">
        <v>318</v>
      </c>
      <c r="Z220" s="21" t="s">
        <v>317</v>
      </c>
      <c r="AA220" s="21" t="s">
        <v>18</v>
      </c>
      <c r="AB220" s="21">
        <v>1</v>
      </c>
      <c r="AD220" s="24">
        <v>8.73</v>
      </c>
      <c r="AE220" s="24">
        <v>8.9700000000000006</v>
      </c>
      <c r="AF220" s="21" t="s">
        <v>304</v>
      </c>
      <c r="AG220" s="21" t="s">
        <v>341</v>
      </c>
    </row>
    <row r="221" spans="1:33">
      <c r="A221" s="21" t="s">
        <v>18</v>
      </c>
      <c r="B221" s="21" t="s">
        <v>534</v>
      </c>
      <c r="C221" s="25">
        <v>46141.60833333333</v>
      </c>
      <c r="D221" s="21" t="s">
        <v>28</v>
      </c>
      <c r="E221" s="24">
        <v>8.18</v>
      </c>
      <c r="F221" s="24">
        <v>8.31</v>
      </c>
      <c r="G221" s="24">
        <f>E221-F221</f>
        <v>-0.13000000000000078</v>
      </c>
      <c r="H221" s="21" t="s">
        <v>289</v>
      </c>
      <c r="I221" s="21">
        <v>1</v>
      </c>
      <c r="J221" s="21">
        <v>7</v>
      </c>
      <c r="K221" s="21">
        <v>6</v>
      </c>
      <c r="L221" s="21">
        <v>7</v>
      </c>
      <c r="M221" s="21">
        <v>5</v>
      </c>
      <c r="P221" s="24">
        <f>J221+L221+N221</f>
        <v>14</v>
      </c>
      <c r="Q221" s="24">
        <f>K221+M221+O221</f>
        <v>11</v>
      </c>
      <c r="R221" s="24">
        <v>0.54545454545454541</v>
      </c>
      <c r="S221" s="21" t="s">
        <v>29</v>
      </c>
      <c r="T221" s="21" t="s">
        <v>293</v>
      </c>
      <c r="U221" s="21" t="s">
        <v>292</v>
      </c>
      <c r="V221" s="21" t="s">
        <v>286</v>
      </c>
      <c r="W221" s="21">
        <v>28</v>
      </c>
      <c r="X221" s="21" t="s">
        <v>285</v>
      </c>
      <c r="Y221" s="21" t="s">
        <v>318</v>
      </c>
      <c r="Z221" s="21" t="s">
        <v>317</v>
      </c>
      <c r="AA221" s="21" t="s">
        <v>18</v>
      </c>
      <c r="AB221" s="21">
        <v>1</v>
      </c>
      <c r="AD221" s="24">
        <v>8.73</v>
      </c>
      <c r="AE221" s="24">
        <v>8.57</v>
      </c>
      <c r="AF221" s="21" t="s">
        <v>304</v>
      </c>
      <c r="AG221" s="21" t="s">
        <v>341</v>
      </c>
    </row>
    <row r="222" spans="1:33">
      <c r="A222" s="21" t="s">
        <v>18</v>
      </c>
      <c r="B222" s="21" t="s">
        <v>534</v>
      </c>
      <c r="C222" s="25">
        <v>46142.645833333336</v>
      </c>
      <c r="D222" s="21" t="s">
        <v>17</v>
      </c>
      <c r="E222" s="24">
        <v>8.18</v>
      </c>
      <c r="F222" s="24">
        <v>8.36</v>
      </c>
      <c r="G222" s="24">
        <f>E222-F222</f>
        <v>-0.17999999999999972</v>
      </c>
      <c r="H222" s="21" t="s">
        <v>289</v>
      </c>
      <c r="I222" s="21">
        <v>1</v>
      </c>
      <c r="J222" s="21">
        <v>6</v>
      </c>
      <c r="K222" s="21">
        <v>3</v>
      </c>
      <c r="L222" s="21">
        <v>6</v>
      </c>
      <c r="M222" s="21">
        <v>4</v>
      </c>
      <c r="P222" s="24">
        <f>J222+L222+N222</f>
        <v>12</v>
      </c>
      <c r="Q222" s="24">
        <f>K222+M222+O222</f>
        <v>7</v>
      </c>
      <c r="R222" s="24">
        <v>0.63157894736842102</v>
      </c>
      <c r="S222" s="21" t="s">
        <v>19</v>
      </c>
      <c r="U222" s="21" t="s">
        <v>287</v>
      </c>
      <c r="V222" s="21" t="s">
        <v>286</v>
      </c>
      <c r="W222" s="21">
        <v>29</v>
      </c>
      <c r="X222" s="21" t="s">
        <v>285</v>
      </c>
      <c r="Y222" s="21" t="s">
        <v>318</v>
      </c>
      <c r="Z222" s="21" t="s">
        <v>317</v>
      </c>
      <c r="AA222" s="21" t="s">
        <v>18</v>
      </c>
      <c r="AB222" s="21">
        <v>1</v>
      </c>
      <c r="AD222" s="24">
        <v>8.73</v>
      </c>
      <c r="AE222" s="24">
        <v>8.51</v>
      </c>
      <c r="AF222" s="21" t="s">
        <v>302</v>
      </c>
      <c r="AG222" s="21" t="s">
        <v>301</v>
      </c>
    </row>
    <row r="223" spans="1:33">
      <c r="A223" s="21" t="s">
        <v>18</v>
      </c>
      <c r="B223" s="21" t="s">
        <v>534</v>
      </c>
      <c r="C223" s="25">
        <v>46147.708333333336</v>
      </c>
      <c r="D223" s="21" t="s">
        <v>14</v>
      </c>
      <c r="E223" s="24">
        <v>8.24</v>
      </c>
      <c r="F223" s="24">
        <v>6.93</v>
      </c>
      <c r="G223" s="24">
        <f>E223-F223</f>
        <v>1.3100000000000005</v>
      </c>
      <c r="H223" s="21" t="s">
        <v>289</v>
      </c>
      <c r="I223" s="21">
        <v>1</v>
      </c>
      <c r="J223" s="21">
        <v>6</v>
      </c>
      <c r="K223" s="21">
        <v>3</v>
      </c>
      <c r="L223" s="21">
        <v>6</v>
      </c>
      <c r="M223" s="21">
        <v>4</v>
      </c>
      <c r="P223" s="24">
        <f>J223+L223+N223</f>
        <v>12</v>
      </c>
      <c r="Q223" s="24">
        <f>K223+M223+O223</f>
        <v>7</v>
      </c>
      <c r="R223" s="24">
        <v>0.63157894736842102</v>
      </c>
      <c r="S223" s="21" t="s">
        <v>3</v>
      </c>
      <c r="U223" s="21" t="s">
        <v>287</v>
      </c>
      <c r="V223" s="21" t="s">
        <v>286</v>
      </c>
      <c r="W223" s="21">
        <v>30</v>
      </c>
      <c r="X223" s="21" t="s">
        <v>285</v>
      </c>
      <c r="Y223" s="21" t="s">
        <v>318</v>
      </c>
      <c r="Z223" s="21" t="s">
        <v>317</v>
      </c>
      <c r="AA223" s="21" t="s">
        <v>18</v>
      </c>
      <c r="AB223" s="21">
        <v>1</v>
      </c>
      <c r="AD223" s="24">
        <v>8.73</v>
      </c>
      <c r="AE223" s="24">
        <v>8.06</v>
      </c>
      <c r="AF223" s="21" t="s">
        <v>304</v>
      </c>
      <c r="AG223" s="21" t="s">
        <v>341</v>
      </c>
    </row>
    <row r="224" spans="1:33">
      <c r="A224" s="21" t="s">
        <v>18</v>
      </c>
      <c r="B224" s="21" t="s">
        <v>534</v>
      </c>
      <c r="C224" s="25">
        <v>46194</v>
      </c>
      <c r="D224" s="21" t="s">
        <v>772</v>
      </c>
      <c r="E224" s="24">
        <v>8.42</v>
      </c>
      <c r="F224" s="24">
        <v>6.66</v>
      </c>
      <c r="G224" s="24">
        <f>E224-F224</f>
        <v>1.7599999999999998</v>
      </c>
      <c r="H224" s="21" t="s">
        <v>289</v>
      </c>
      <c r="I224" s="21">
        <v>1</v>
      </c>
      <c r="J224" s="21">
        <v>5</v>
      </c>
      <c r="K224" s="21">
        <v>1</v>
      </c>
      <c r="P224" s="24">
        <f>J224+L224+N224</f>
        <v>5</v>
      </c>
      <c r="Q224" s="24">
        <f>K224+M224+O224</f>
        <v>1</v>
      </c>
      <c r="R224" s="24">
        <v>0.83333333333333337</v>
      </c>
      <c r="S224" s="21" t="s">
        <v>771</v>
      </c>
      <c r="U224" s="21" t="s">
        <v>292</v>
      </c>
      <c r="V224" s="21" t="s">
        <v>286</v>
      </c>
      <c r="W224" s="21">
        <v>31</v>
      </c>
      <c r="X224" s="21" t="s">
        <v>285</v>
      </c>
      <c r="Y224" s="21" t="s">
        <v>318</v>
      </c>
      <c r="Z224" s="21" t="s">
        <v>317</v>
      </c>
      <c r="AA224" s="21" t="s">
        <v>18</v>
      </c>
      <c r="AB224" s="21">
        <v>1</v>
      </c>
      <c r="AD224" s="24">
        <v>8.73</v>
      </c>
      <c r="AE224" s="24">
        <v>6.66</v>
      </c>
      <c r="AF224" s="21" t="s">
        <v>322</v>
      </c>
      <c r="AG224" s="21" t="s">
        <v>301</v>
      </c>
    </row>
    <row r="225" spans="1:33">
      <c r="A225" s="21" t="s">
        <v>18</v>
      </c>
      <c r="B225" s="21" t="s">
        <v>534</v>
      </c>
      <c r="C225" s="25">
        <v>46194</v>
      </c>
      <c r="D225" s="21" t="s">
        <v>770</v>
      </c>
      <c r="E225" s="24">
        <v>8.42</v>
      </c>
      <c r="F225" s="24">
        <v>6.86</v>
      </c>
      <c r="G225" s="24">
        <f>E225-F225</f>
        <v>1.5599999999999996</v>
      </c>
      <c r="H225" s="21" t="s">
        <v>289</v>
      </c>
      <c r="I225" s="21">
        <v>1</v>
      </c>
      <c r="J225" s="21">
        <v>6</v>
      </c>
      <c r="K225" s="21">
        <v>0</v>
      </c>
      <c r="P225" s="24">
        <f>J225+L225+N225</f>
        <v>6</v>
      </c>
      <c r="Q225" s="24">
        <f>K225+M225+O225</f>
        <v>0</v>
      </c>
      <c r="R225" s="24">
        <v>1</v>
      </c>
      <c r="S225" s="21" t="s">
        <v>769</v>
      </c>
      <c r="U225" s="21" t="s">
        <v>292</v>
      </c>
      <c r="V225" s="21" t="s">
        <v>286</v>
      </c>
      <c r="W225" s="21">
        <v>31</v>
      </c>
      <c r="X225" s="21" t="s">
        <v>285</v>
      </c>
      <c r="Y225" s="21" t="s">
        <v>318</v>
      </c>
      <c r="Z225" s="21" t="s">
        <v>317</v>
      </c>
      <c r="AA225" s="21" t="s">
        <v>18</v>
      </c>
      <c r="AB225" s="21">
        <v>1</v>
      </c>
      <c r="AD225" s="24">
        <v>8.73</v>
      </c>
      <c r="AE225" s="24">
        <v>6.86</v>
      </c>
      <c r="AF225" s="21" t="s">
        <v>322</v>
      </c>
      <c r="AG225" s="21" t="s">
        <v>301</v>
      </c>
    </row>
    <row r="226" spans="1:33">
      <c r="A226" s="21" t="s">
        <v>18</v>
      </c>
      <c r="B226" s="21" t="s">
        <v>534</v>
      </c>
      <c r="C226" s="25">
        <v>46194</v>
      </c>
      <c r="D226" s="21" t="s">
        <v>768</v>
      </c>
      <c r="E226" s="24">
        <v>8.42</v>
      </c>
      <c r="F226" s="24">
        <v>6.12</v>
      </c>
      <c r="G226" s="24">
        <f>E226-F226</f>
        <v>2.2999999999999998</v>
      </c>
      <c r="H226" s="21" t="s">
        <v>289</v>
      </c>
      <c r="I226" s="21">
        <v>1</v>
      </c>
      <c r="J226" s="21">
        <v>4</v>
      </c>
      <c r="K226" s="21">
        <v>2</v>
      </c>
      <c r="P226" s="24">
        <f>J226+L226+N226</f>
        <v>4</v>
      </c>
      <c r="Q226" s="24">
        <f>K226+M226+O226</f>
        <v>2</v>
      </c>
      <c r="R226" s="24">
        <v>0.66666666666666663</v>
      </c>
      <c r="S226" s="21" t="s">
        <v>767</v>
      </c>
      <c r="U226" s="21" t="s">
        <v>292</v>
      </c>
      <c r="V226" s="21" t="s">
        <v>286</v>
      </c>
      <c r="W226" s="21">
        <v>31</v>
      </c>
      <c r="X226" s="21" t="s">
        <v>285</v>
      </c>
      <c r="Y226" s="21" t="s">
        <v>318</v>
      </c>
      <c r="Z226" s="21" t="s">
        <v>317</v>
      </c>
      <c r="AA226" s="21" t="s">
        <v>18</v>
      </c>
      <c r="AB226" s="21">
        <v>1</v>
      </c>
      <c r="AD226" s="24">
        <v>8.73</v>
      </c>
      <c r="AE226" s="24">
        <v>6.12</v>
      </c>
      <c r="AF226" s="21" t="s">
        <v>322</v>
      </c>
      <c r="AG226" s="21" t="s">
        <v>301</v>
      </c>
    </row>
    <row r="227" spans="1:33">
      <c r="A227" s="21" t="s">
        <v>492</v>
      </c>
      <c r="B227" s="21" t="s">
        <v>763</v>
      </c>
      <c r="C227" s="25">
        <v>46092.645833333336</v>
      </c>
      <c r="D227" s="21" t="s">
        <v>531</v>
      </c>
      <c r="E227" s="24">
        <v>3.57</v>
      </c>
      <c r="F227" s="24">
        <v>2.89</v>
      </c>
      <c r="G227" s="24">
        <f>E227-F227</f>
        <v>0.67999999999999972</v>
      </c>
      <c r="H227" s="21" t="s">
        <v>289</v>
      </c>
      <c r="I227" s="21">
        <v>1</v>
      </c>
      <c r="J227" s="21">
        <v>6</v>
      </c>
      <c r="K227" s="21">
        <v>0</v>
      </c>
      <c r="L227" s="21">
        <v>2</v>
      </c>
      <c r="M227" s="21">
        <v>6</v>
      </c>
      <c r="N227" s="21">
        <v>1</v>
      </c>
      <c r="O227" s="21">
        <v>0</v>
      </c>
      <c r="P227" s="24">
        <f>J227+L227+N227</f>
        <v>9</v>
      </c>
      <c r="Q227" s="24">
        <f>K227+M227+O227</f>
        <v>6</v>
      </c>
      <c r="R227" s="24">
        <v>0.89393939393939392</v>
      </c>
      <c r="S227" s="21" t="s">
        <v>766</v>
      </c>
      <c r="U227" s="21" t="s">
        <v>287</v>
      </c>
      <c r="V227" s="21" t="s">
        <v>286</v>
      </c>
      <c r="W227" s="21">
        <v>0</v>
      </c>
      <c r="X227" s="21" t="s">
        <v>312</v>
      </c>
      <c r="Y227" s="21" t="s">
        <v>284</v>
      </c>
      <c r="Z227" s="21" t="s">
        <v>283</v>
      </c>
      <c r="AA227" s="21" t="s">
        <v>492</v>
      </c>
      <c r="AB227" s="21">
        <v>1</v>
      </c>
      <c r="AD227" s="24">
        <v>3.57</v>
      </c>
      <c r="AE227" s="24">
        <v>2.89</v>
      </c>
      <c r="AF227" s="21" t="s">
        <v>322</v>
      </c>
      <c r="AG227" s="21" t="s">
        <v>301</v>
      </c>
    </row>
    <row r="228" spans="1:33">
      <c r="A228" s="21" t="s">
        <v>492</v>
      </c>
      <c r="B228" s="21" t="s">
        <v>763</v>
      </c>
      <c r="C228" s="25">
        <v>46099.645833333336</v>
      </c>
      <c r="D228" s="21" t="s">
        <v>90</v>
      </c>
      <c r="E228" s="24">
        <v>3.57</v>
      </c>
      <c r="F228" s="24">
        <v>5.82</v>
      </c>
      <c r="G228" s="24">
        <f>E228-F228</f>
        <v>-2.2500000000000004</v>
      </c>
      <c r="H228" s="21" t="s">
        <v>294</v>
      </c>
      <c r="I228" s="21">
        <v>0</v>
      </c>
      <c r="J228" s="21">
        <v>0</v>
      </c>
      <c r="K228" s="21">
        <v>6</v>
      </c>
      <c r="L228" s="21">
        <v>2</v>
      </c>
      <c r="M228" s="21">
        <v>6</v>
      </c>
      <c r="P228" s="24">
        <f>J228+L228+N228</f>
        <v>2</v>
      </c>
      <c r="Q228" s="24">
        <f>K228+M228+O228</f>
        <v>12</v>
      </c>
      <c r="R228" s="24">
        <v>0.14285714285714285</v>
      </c>
      <c r="S228" s="21" t="s">
        <v>491</v>
      </c>
      <c r="U228" s="21" t="s">
        <v>287</v>
      </c>
      <c r="V228" s="21" t="s">
        <v>286</v>
      </c>
      <c r="W228" s="21">
        <v>1</v>
      </c>
      <c r="X228" s="21" t="s">
        <v>323</v>
      </c>
      <c r="Y228" s="21" t="s">
        <v>284</v>
      </c>
      <c r="Z228" s="21" t="s">
        <v>283</v>
      </c>
      <c r="AA228" s="21" t="s">
        <v>492</v>
      </c>
      <c r="AB228" s="21">
        <v>1</v>
      </c>
      <c r="AD228" s="24">
        <v>3.57</v>
      </c>
      <c r="AE228" s="24">
        <v>6.31</v>
      </c>
      <c r="AF228" s="21" t="s">
        <v>322</v>
      </c>
      <c r="AG228" s="21" t="s">
        <v>301</v>
      </c>
    </row>
    <row r="229" spans="1:33">
      <c r="A229" s="21" t="s">
        <v>492</v>
      </c>
      <c r="B229" s="21" t="s">
        <v>763</v>
      </c>
      <c r="C229" s="25">
        <v>46106.645833333336</v>
      </c>
      <c r="D229" s="21" t="s">
        <v>9</v>
      </c>
      <c r="E229" s="24">
        <v>3.57</v>
      </c>
      <c r="F229" s="24">
        <v>7.48</v>
      </c>
      <c r="G229" s="24">
        <f>E229-F229</f>
        <v>-3.9100000000000006</v>
      </c>
      <c r="H229" s="21" t="s">
        <v>294</v>
      </c>
      <c r="I229" s="21">
        <v>0</v>
      </c>
      <c r="J229" s="21">
        <v>0</v>
      </c>
      <c r="K229" s="21">
        <v>6</v>
      </c>
      <c r="L229" s="21">
        <v>0</v>
      </c>
      <c r="M229" s="21">
        <v>6</v>
      </c>
      <c r="P229" s="24">
        <f>J229+L229+N229</f>
        <v>0</v>
      </c>
      <c r="Q229" s="24">
        <f>K229+M229+O229</f>
        <v>12</v>
      </c>
      <c r="R229" s="24">
        <f>P229/(P229+Q229)</f>
        <v>0</v>
      </c>
      <c r="S229" s="21" t="s">
        <v>443</v>
      </c>
      <c r="U229" s="21" t="s">
        <v>287</v>
      </c>
      <c r="V229" s="21" t="s">
        <v>286</v>
      </c>
      <c r="W229" s="21">
        <v>2</v>
      </c>
      <c r="X229" s="21" t="s">
        <v>310</v>
      </c>
      <c r="Y229" s="21" t="s">
        <v>284</v>
      </c>
      <c r="Z229" s="21" t="s">
        <v>283</v>
      </c>
      <c r="AA229" s="21" t="s">
        <v>492</v>
      </c>
      <c r="AB229" s="21">
        <v>1</v>
      </c>
      <c r="AD229" s="24">
        <v>3.57</v>
      </c>
      <c r="AE229" s="24">
        <v>7.8</v>
      </c>
      <c r="AF229" s="21" t="s">
        <v>322</v>
      </c>
      <c r="AG229" s="21" t="s">
        <v>301</v>
      </c>
    </row>
    <row r="230" spans="1:33">
      <c r="A230" s="21" t="s">
        <v>492</v>
      </c>
      <c r="B230" s="21" t="s">
        <v>763</v>
      </c>
      <c r="C230" s="25">
        <v>46108.645833333336</v>
      </c>
      <c r="D230" s="21" t="s">
        <v>765</v>
      </c>
      <c r="E230" s="24">
        <v>3.57</v>
      </c>
      <c r="F230" s="24">
        <v>4.01</v>
      </c>
      <c r="G230" s="24">
        <f>E230-F230</f>
        <v>-0.43999999999999995</v>
      </c>
      <c r="H230" s="21" t="s">
        <v>294</v>
      </c>
      <c r="I230" s="21">
        <v>0</v>
      </c>
      <c r="J230" s="21">
        <v>6</v>
      </c>
      <c r="K230" s="21">
        <v>6</v>
      </c>
      <c r="L230" s="21">
        <v>2</v>
      </c>
      <c r="M230" s="21">
        <v>6</v>
      </c>
      <c r="N230" s="21">
        <v>0</v>
      </c>
      <c r="O230" s="21">
        <v>1</v>
      </c>
      <c r="P230" s="24">
        <f>J230+L230+N230</f>
        <v>8</v>
      </c>
      <c r="Q230" s="24">
        <f>K230+M230+O230</f>
        <v>13</v>
      </c>
      <c r="R230" s="24">
        <f>P230/(P230+Q230)</f>
        <v>0.38095238095238093</v>
      </c>
      <c r="S230" s="21" t="s">
        <v>764</v>
      </c>
      <c r="U230" s="21" t="s">
        <v>287</v>
      </c>
      <c r="V230" s="21" t="s">
        <v>286</v>
      </c>
      <c r="W230" s="21">
        <v>3</v>
      </c>
      <c r="X230" s="21" t="s">
        <v>285</v>
      </c>
      <c r="Y230" s="21" t="s">
        <v>284</v>
      </c>
      <c r="Z230" s="21" t="s">
        <v>283</v>
      </c>
      <c r="AA230" s="21" t="s">
        <v>492</v>
      </c>
      <c r="AB230" s="21">
        <v>1</v>
      </c>
      <c r="AD230" s="24">
        <v>3.57</v>
      </c>
      <c r="AE230" s="24">
        <v>4.01</v>
      </c>
      <c r="AF230" s="21" t="s">
        <v>322</v>
      </c>
      <c r="AG230" s="21" t="s">
        <v>301</v>
      </c>
    </row>
    <row r="231" spans="1:33">
      <c r="A231" s="21" t="s">
        <v>492</v>
      </c>
      <c r="B231" s="21" t="s">
        <v>763</v>
      </c>
      <c r="C231" s="25">
        <v>46111.645833333336</v>
      </c>
      <c r="D231" s="21" t="s">
        <v>121</v>
      </c>
      <c r="E231" s="24">
        <v>3.57</v>
      </c>
      <c r="F231" s="24">
        <v>6.37</v>
      </c>
      <c r="G231" s="24">
        <f>E231-F231</f>
        <v>-2.8000000000000003</v>
      </c>
      <c r="H231" s="21" t="s">
        <v>294</v>
      </c>
      <c r="I231" s="21">
        <v>0</v>
      </c>
      <c r="J231" s="21">
        <v>0</v>
      </c>
      <c r="K231" s="21">
        <v>6</v>
      </c>
      <c r="L231" s="21">
        <v>0</v>
      </c>
      <c r="M231" s="21">
        <v>6</v>
      </c>
      <c r="P231" s="24">
        <f>J231+L231+N231</f>
        <v>0</v>
      </c>
      <c r="Q231" s="24">
        <f>K231+M231+O231</f>
        <v>12</v>
      </c>
      <c r="R231" s="24">
        <v>0</v>
      </c>
      <c r="S231" s="21" t="s">
        <v>517</v>
      </c>
      <c r="U231" s="21" t="s">
        <v>287</v>
      </c>
      <c r="V231" s="21" t="s">
        <v>286</v>
      </c>
      <c r="W231" s="21">
        <v>4</v>
      </c>
      <c r="X231" s="21" t="s">
        <v>285</v>
      </c>
      <c r="Y231" s="21" t="s">
        <v>284</v>
      </c>
      <c r="Z231" s="21" t="s">
        <v>283</v>
      </c>
      <c r="AA231" s="21" t="s">
        <v>492</v>
      </c>
      <c r="AB231" s="21">
        <v>1</v>
      </c>
      <c r="AD231" s="24">
        <v>3.57</v>
      </c>
      <c r="AE231" s="24">
        <v>6.07</v>
      </c>
      <c r="AF231" s="21" t="s">
        <v>322</v>
      </c>
      <c r="AG231" s="21" t="s">
        <v>301</v>
      </c>
    </row>
    <row r="232" spans="1:33">
      <c r="A232" s="21" t="s">
        <v>128</v>
      </c>
      <c r="B232" s="21" t="s">
        <v>515</v>
      </c>
      <c r="C232" s="25">
        <v>46031</v>
      </c>
      <c r="D232" s="21" t="s">
        <v>762</v>
      </c>
      <c r="E232" s="24">
        <v>6.89</v>
      </c>
      <c r="F232" s="24">
        <v>6.89</v>
      </c>
      <c r="G232" s="24">
        <f>E232-F232</f>
        <v>0</v>
      </c>
      <c r="H232" s="21" t="s">
        <v>294</v>
      </c>
      <c r="I232" s="21">
        <v>0</v>
      </c>
      <c r="J232" s="21">
        <v>2</v>
      </c>
      <c r="K232" s="21">
        <v>6</v>
      </c>
      <c r="L232" s="21">
        <v>3</v>
      </c>
      <c r="M232" s="21">
        <v>6</v>
      </c>
      <c r="P232" s="24">
        <f>J232+L232+N232</f>
        <v>5</v>
      </c>
      <c r="Q232" s="24">
        <f>K232+M232+O232</f>
        <v>12</v>
      </c>
      <c r="R232" s="24">
        <v>0.29411764705882354</v>
      </c>
      <c r="S232" s="21" t="s">
        <v>761</v>
      </c>
      <c r="T232" s="21" t="s">
        <v>298</v>
      </c>
      <c r="U232" s="21" t="s">
        <v>292</v>
      </c>
      <c r="V232" s="21" t="s">
        <v>286</v>
      </c>
      <c r="W232" s="21">
        <v>0</v>
      </c>
      <c r="X232" s="21" t="s">
        <v>312</v>
      </c>
      <c r="Y232" s="21" t="s">
        <v>318</v>
      </c>
      <c r="Z232" s="21" t="s">
        <v>317</v>
      </c>
      <c r="AA232" s="21" t="s">
        <v>128</v>
      </c>
      <c r="AB232" s="21">
        <v>1</v>
      </c>
      <c r="AD232" s="24">
        <v>6.89</v>
      </c>
      <c r="AE232" s="24">
        <v>6.89</v>
      </c>
      <c r="AF232" s="21" t="s">
        <v>322</v>
      </c>
      <c r="AG232" s="21" t="s">
        <v>301</v>
      </c>
    </row>
    <row r="233" spans="1:33">
      <c r="A233" s="21" t="s">
        <v>128</v>
      </c>
      <c r="B233" s="21" t="s">
        <v>515</v>
      </c>
      <c r="C233" s="25">
        <v>46038</v>
      </c>
      <c r="D233" s="21" t="s">
        <v>760</v>
      </c>
      <c r="E233" s="24">
        <v>6.89</v>
      </c>
      <c r="F233" s="24">
        <v>8.01</v>
      </c>
      <c r="G233" s="24">
        <f>E233-F233</f>
        <v>-1.1200000000000001</v>
      </c>
      <c r="H233" s="21" t="s">
        <v>294</v>
      </c>
      <c r="I233" s="21">
        <v>0</v>
      </c>
      <c r="J233" s="21">
        <v>0</v>
      </c>
      <c r="K233" s="21">
        <v>6</v>
      </c>
      <c r="L233" s="21">
        <v>0</v>
      </c>
      <c r="M233" s="21">
        <v>6</v>
      </c>
      <c r="P233" s="24">
        <f>J233+L233+N233</f>
        <v>0</v>
      </c>
      <c r="Q233" s="24">
        <f>K233+M233+O233</f>
        <v>12</v>
      </c>
      <c r="R233" s="24">
        <v>0</v>
      </c>
      <c r="S233" s="21" t="s">
        <v>314</v>
      </c>
      <c r="T233" s="21" t="s">
        <v>297</v>
      </c>
      <c r="U233" s="21" t="s">
        <v>292</v>
      </c>
      <c r="V233" s="21" t="s">
        <v>286</v>
      </c>
      <c r="W233" s="21">
        <v>1</v>
      </c>
      <c r="X233" s="21" t="s">
        <v>323</v>
      </c>
      <c r="Y233" s="21" t="s">
        <v>318</v>
      </c>
      <c r="Z233" s="21" t="s">
        <v>317</v>
      </c>
      <c r="AA233" s="21" t="s">
        <v>128</v>
      </c>
      <c r="AB233" s="21">
        <v>1</v>
      </c>
      <c r="AD233" s="24">
        <v>6.89</v>
      </c>
      <c r="AE233" s="24">
        <v>8.01</v>
      </c>
      <c r="AF233" s="21" t="s">
        <v>322</v>
      </c>
      <c r="AG233" s="21" t="s">
        <v>301</v>
      </c>
    </row>
    <row r="234" spans="1:33">
      <c r="A234" s="21" t="s">
        <v>128</v>
      </c>
      <c r="B234" s="21" t="s">
        <v>515</v>
      </c>
      <c r="C234" s="25">
        <v>46046</v>
      </c>
      <c r="D234" s="21" t="s">
        <v>759</v>
      </c>
      <c r="E234" s="24">
        <v>6.89</v>
      </c>
      <c r="F234" s="24">
        <v>7.78</v>
      </c>
      <c r="G234" s="24">
        <f>E234-F234</f>
        <v>-0.89000000000000057</v>
      </c>
      <c r="H234" s="21" t="s">
        <v>294</v>
      </c>
      <c r="I234" s="21">
        <v>0</v>
      </c>
      <c r="J234" s="21">
        <v>1</v>
      </c>
      <c r="K234" s="21">
        <v>4</v>
      </c>
      <c r="L234" s="21">
        <v>4</v>
      </c>
      <c r="M234" s="21">
        <v>1</v>
      </c>
      <c r="N234" s="21">
        <v>0</v>
      </c>
      <c r="O234" s="21">
        <v>1</v>
      </c>
      <c r="P234" s="24">
        <f>J234+L234+N234</f>
        <v>5</v>
      </c>
      <c r="Q234" s="24">
        <f>K234+M234+O234</f>
        <v>6</v>
      </c>
      <c r="R234" s="24">
        <v>0.45454545454545453</v>
      </c>
      <c r="S234" s="21" t="s">
        <v>314</v>
      </c>
      <c r="T234" s="21" t="s">
        <v>481</v>
      </c>
      <c r="U234" s="21" t="s">
        <v>292</v>
      </c>
      <c r="V234" s="21" t="s">
        <v>286</v>
      </c>
      <c r="W234" s="21">
        <v>2</v>
      </c>
      <c r="X234" s="21" t="s">
        <v>310</v>
      </c>
      <c r="Y234" s="21" t="s">
        <v>318</v>
      </c>
      <c r="Z234" s="21" t="s">
        <v>317</v>
      </c>
      <c r="AA234" s="21" t="s">
        <v>128</v>
      </c>
      <c r="AB234" s="21">
        <v>1</v>
      </c>
      <c r="AD234" s="24">
        <v>6.89</v>
      </c>
      <c r="AE234" s="24">
        <v>7.78</v>
      </c>
      <c r="AF234" s="21" t="s">
        <v>322</v>
      </c>
      <c r="AG234" s="21" t="s">
        <v>301</v>
      </c>
    </row>
    <row r="235" spans="1:33">
      <c r="A235" s="21" t="s">
        <v>128</v>
      </c>
      <c r="B235" s="21" t="s">
        <v>515</v>
      </c>
      <c r="C235" s="25">
        <v>46046</v>
      </c>
      <c r="D235" s="21" t="s">
        <v>364</v>
      </c>
      <c r="E235" s="24">
        <v>6.89</v>
      </c>
      <c r="F235" s="24">
        <v>7.3</v>
      </c>
      <c r="G235" s="24">
        <f>E235-F235</f>
        <v>-0.41000000000000014</v>
      </c>
      <c r="H235" s="21" t="s">
        <v>289</v>
      </c>
      <c r="I235" s="21">
        <v>1</v>
      </c>
      <c r="J235" s="21">
        <v>4</v>
      </c>
      <c r="K235" s="21">
        <v>0</v>
      </c>
      <c r="L235" s="21">
        <v>2</v>
      </c>
      <c r="M235" s="21">
        <v>4</v>
      </c>
      <c r="N235" s="21">
        <v>1</v>
      </c>
      <c r="O235" s="21">
        <v>0</v>
      </c>
      <c r="P235" s="24">
        <f>J235+L235+N235</f>
        <v>7</v>
      </c>
      <c r="Q235" s="24">
        <f>K235+M235+O235</f>
        <v>4</v>
      </c>
      <c r="R235" s="24">
        <v>0.63636363636363635</v>
      </c>
      <c r="S235" s="21" t="s">
        <v>314</v>
      </c>
      <c r="T235" s="21" t="s">
        <v>316</v>
      </c>
      <c r="U235" s="21" t="s">
        <v>292</v>
      </c>
      <c r="V235" s="21" t="s">
        <v>286</v>
      </c>
      <c r="W235" s="21">
        <v>2</v>
      </c>
      <c r="X235" s="21" t="s">
        <v>310</v>
      </c>
      <c r="Y235" s="21" t="s">
        <v>318</v>
      </c>
      <c r="Z235" s="21" t="s">
        <v>317</v>
      </c>
      <c r="AA235" s="21" t="s">
        <v>128</v>
      </c>
      <c r="AB235" s="21">
        <v>1</v>
      </c>
      <c r="AD235" s="24">
        <v>6.89</v>
      </c>
      <c r="AE235" s="24">
        <v>7.3</v>
      </c>
      <c r="AF235" s="21" t="s">
        <v>322</v>
      </c>
      <c r="AG235" s="21" t="s">
        <v>301</v>
      </c>
    </row>
    <row r="236" spans="1:33">
      <c r="A236" s="21" t="s">
        <v>128</v>
      </c>
      <c r="B236" s="21" t="s">
        <v>515</v>
      </c>
      <c r="C236" s="25">
        <v>46046</v>
      </c>
      <c r="D236" s="21" t="s">
        <v>758</v>
      </c>
      <c r="E236" s="24">
        <v>6.89</v>
      </c>
      <c r="F236" s="24">
        <v>3.75</v>
      </c>
      <c r="G236" s="24">
        <f>E236-F236</f>
        <v>3.1399999999999997</v>
      </c>
      <c r="H236" s="21" t="s">
        <v>289</v>
      </c>
      <c r="I236" s="21">
        <v>1</v>
      </c>
      <c r="J236" s="21">
        <v>4</v>
      </c>
      <c r="K236" s="21">
        <v>1</v>
      </c>
      <c r="L236" s="21">
        <v>4</v>
      </c>
      <c r="M236" s="21">
        <v>0</v>
      </c>
      <c r="P236" s="24">
        <f>J236+L236+N236</f>
        <v>8</v>
      </c>
      <c r="Q236" s="24">
        <f>K236+M236+O236</f>
        <v>1</v>
      </c>
      <c r="R236" s="24">
        <v>0.88888888888888884</v>
      </c>
      <c r="S236" s="21" t="s">
        <v>314</v>
      </c>
      <c r="T236" s="21" t="s">
        <v>313</v>
      </c>
      <c r="U236" s="21" t="s">
        <v>292</v>
      </c>
      <c r="V236" s="21" t="s">
        <v>286</v>
      </c>
      <c r="W236" s="21">
        <v>2</v>
      </c>
      <c r="X236" s="21" t="s">
        <v>310</v>
      </c>
      <c r="Y236" s="21" t="s">
        <v>318</v>
      </c>
      <c r="Z236" s="21" t="s">
        <v>317</v>
      </c>
      <c r="AA236" s="21" t="s">
        <v>128</v>
      </c>
      <c r="AB236" s="21">
        <v>1</v>
      </c>
      <c r="AD236" s="24">
        <v>6.89</v>
      </c>
      <c r="AE236" s="24">
        <v>3.75</v>
      </c>
      <c r="AF236" s="21" t="s">
        <v>322</v>
      </c>
      <c r="AG236" s="21" t="s">
        <v>301</v>
      </c>
    </row>
    <row r="237" spans="1:33">
      <c r="A237" s="21" t="s">
        <v>128</v>
      </c>
      <c r="B237" s="21" t="s">
        <v>515</v>
      </c>
      <c r="C237" s="25">
        <v>46060</v>
      </c>
      <c r="D237" s="21" t="s">
        <v>141</v>
      </c>
      <c r="E237" s="24">
        <v>6.89</v>
      </c>
      <c r="F237" s="24">
        <v>5.97</v>
      </c>
      <c r="G237" s="24">
        <f>E237-F237</f>
        <v>0.91999999999999993</v>
      </c>
      <c r="H237" s="21" t="s">
        <v>289</v>
      </c>
      <c r="I237" s="21">
        <v>1</v>
      </c>
      <c r="J237" s="21">
        <v>8</v>
      </c>
      <c r="K237" s="21">
        <v>1</v>
      </c>
      <c r="P237" s="24">
        <f>J237+L237+N237</f>
        <v>8</v>
      </c>
      <c r="Q237" s="24">
        <f>K237+M237+O237</f>
        <v>1</v>
      </c>
      <c r="R237" s="24">
        <v>0.88888888888888884</v>
      </c>
      <c r="S237" s="21" t="s">
        <v>631</v>
      </c>
      <c r="T237" s="21" t="s">
        <v>298</v>
      </c>
      <c r="U237" s="21" t="s">
        <v>412</v>
      </c>
      <c r="V237" s="21" t="s">
        <v>286</v>
      </c>
      <c r="W237" s="21">
        <v>5</v>
      </c>
      <c r="X237" s="21" t="s">
        <v>285</v>
      </c>
      <c r="Y237" s="21" t="s">
        <v>318</v>
      </c>
      <c r="Z237" s="21" t="s">
        <v>317</v>
      </c>
      <c r="AA237" s="21" t="s">
        <v>128</v>
      </c>
      <c r="AB237" s="21">
        <v>1</v>
      </c>
      <c r="AD237" s="24">
        <v>6.89</v>
      </c>
      <c r="AE237" s="24">
        <v>5.97</v>
      </c>
      <c r="AF237" s="21" t="s">
        <v>302</v>
      </c>
      <c r="AG237" s="21" t="s">
        <v>301</v>
      </c>
    </row>
    <row r="238" spans="1:33">
      <c r="A238" s="21" t="s">
        <v>128</v>
      </c>
      <c r="B238" s="21" t="s">
        <v>515</v>
      </c>
      <c r="C238" s="25">
        <v>46060</v>
      </c>
      <c r="D238" s="21" t="s">
        <v>757</v>
      </c>
      <c r="E238" s="24">
        <v>6.89</v>
      </c>
      <c r="F238" s="24">
        <v>6.83</v>
      </c>
      <c r="G238" s="24">
        <f>E238-F238</f>
        <v>5.9999999999999609E-2</v>
      </c>
      <c r="H238" s="21" t="s">
        <v>294</v>
      </c>
      <c r="I238" s="21">
        <v>0</v>
      </c>
      <c r="J238" s="21">
        <v>6</v>
      </c>
      <c r="K238" s="21">
        <v>8</v>
      </c>
      <c r="P238" s="24">
        <f>J238+L238+N238</f>
        <v>6</v>
      </c>
      <c r="Q238" s="24">
        <f>K238+M238+O238</f>
        <v>8</v>
      </c>
      <c r="R238" s="24">
        <v>0.42857142857142855</v>
      </c>
      <c r="S238" s="21" t="s">
        <v>631</v>
      </c>
      <c r="T238" s="21" t="s">
        <v>297</v>
      </c>
      <c r="U238" s="21" t="s">
        <v>412</v>
      </c>
      <c r="V238" s="21" t="s">
        <v>286</v>
      </c>
      <c r="W238" s="21">
        <v>5</v>
      </c>
      <c r="X238" s="21" t="s">
        <v>285</v>
      </c>
      <c r="Y238" s="21" t="s">
        <v>318</v>
      </c>
      <c r="Z238" s="21" t="s">
        <v>317</v>
      </c>
      <c r="AA238" s="21" t="s">
        <v>128</v>
      </c>
      <c r="AB238" s="21">
        <v>1</v>
      </c>
      <c r="AD238" s="24">
        <v>6.89</v>
      </c>
      <c r="AE238" s="24">
        <v>6.83</v>
      </c>
      <c r="AF238" s="21" t="s">
        <v>304</v>
      </c>
      <c r="AG238" s="21" t="s">
        <v>303</v>
      </c>
    </row>
    <row r="239" spans="1:33">
      <c r="A239" s="21" t="s">
        <v>128</v>
      </c>
      <c r="B239" s="21" t="s">
        <v>515</v>
      </c>
      <c r="C239" s="25">
        <v>46073</v>
      </c>
      <c r="D239" s="21" t="s">
        <v>756</v>
      </c>
      <c r="E239" s="24">
        <v>6.89</v>
      </c>
      <c r="F239" s="24">
        <v>6.68</v>
      </c>
      <c r="G239" s="24">
        <f>E239-F239</f>
        <v>0.20999999999999996</v>
      </c>
      <c r="H239" s="21" t="s">
        <v>289</v>
      </c>
      <c r="I239" s="21">
        <v>1</v>
      </c>
      <c r="J239" s="21">
        <v>6</v>
      </c>
      <c r="K239" s="21">
        <v>4</v>
      </c>
      <c r="L239" s="21">
        <v>6</v>
      </c>
      <c r="M239" s="21">
        <v>1</v>
      </c>
      <c r="P239" s="24">
        <f>J239+L239+N239</f>
        <v>12</v>
      </c>
      <c r="Q239" s="24">
        <f>K239+M239+O239</f>
        <v>5</v>
      </c>
      <c r="R239" s="24">
        <v>0.70588235294117652</v>
      </c>
      <c r="S239" s="21" t="s">
        <v>752</v>
      </c>
      <c r="T239" s="21" t="s">
        <v>296</v>
      </c>
      <c r="U239" s="21" t="s">
        <v>292</v>
      </c>
      <c r="V239" s="21" t="s">
        <v>286</v>
      </c>
      <c r="W239" s="21">
        <v>7</v>
      </c>
      <c r="X239" s="21" t="s">
        <v>285</v>
      </c>
      <c r="Y239" s="21" t="s">
        <v>318</v>
      </c>
      <c r="Z239" s="21" t="s">
        <v>317</v>
      </c>
      <c r="AA239" s="21" t="s">
        <v>128</v>
      </c>
      <c r="AB239" s="21">
        <v>1</v>
      </c>
      <c r="AD239" s="24">
        <v>6.89</v>
      </c>
      <c r="AE239" s="24">
        <v>6.68</v>
      </c>
      <c r="AF239" s="21" t="s">
        <v>304</v>
      </c>
      <c r="AG239" s="21" t="s">
        <v>303</v>
      </c>
    </row>
    <row r="240" spans="1:33">
      <c r="A240" s="21" t="s">
        <v>128</v>
      </c>
      <c r="B240" s="21" t="s">
        <v>515</v>
      </c>
      <c r="C240" s="25">
        <v>46073</v>
      </c>
      <c r="D240" s="21" t="s">
        <v>755</v>
      </c>
      <c r="E240" s="24">
        <v>6.89</v>
      </c>
      <c r="F240" s="24">
        <v>7.41</v>
      </c>
      <c r="G240" s="24">
        <f>E240-F240</f>
        <v>-0.52000000000000046</v>
      </c>
      <c r="H240" s="21" t="s">
        <v>289</v>
      </c>
      <c r="I240" s="21">
        <v>1</v>
      </c>
      <c r="J240" s="21">
        <v>4</v>
      </c>
      <c r="K240" s="21">
        <v>6</v>
      </c>
      <c r="L240" s="21">
        <v>7</v>
      </c>
      <c r="M240" s="21">
        <v>6</v>
      </c>
      <c r="N240" s="21">
        <v>1</v>
      </c>
      <c r="O240" s="21">
        <v>0</v>
      </c>
      <c r="P240" s="24">
        <f>J240+L240+N240</f>
        <v>12</v>
      </c>
      <c r="Q240" s="24">
        <f>K240+M240+O240</f>
        <v>12</v>
      </c>
      <c r="R240" s="24">
        <v>0.70588235294117652</v>
      </c>
      <c r="S240" s="21" t="s">
        <v>752</v>
      </c>
      <c r="T240" s="21" t="s">
        <v>297</v>
      </c>
      <c r="U240" s="21" t="s">
        <v>292</v>
      </c>
      <c r="V240" s="21" t="s">
        <v>286</v>
      </c>
      <c r="W240" s="21">
        <v>7</v>
      </c>
      <c r="X240" s="21" t="s">
        <v>285</v>
      </c>
      <c r="Y240" s="21" t="s">
        <v>318</v>
      </c>
      <c r="Z240" s="21" t="s">
        <v>317</v>
      </c>
      <c r="AA240" s="21" t="s">
        <v>128</v>
      </c>
      <c r="AB240" s="21">
        <v>1</v>
      </c>
      <c r="AD240" s="24">
        <v>6.89</v>
      </c>
      <c r="AE240" s="24">
        <v>7.41</v>
      </c>
      <c r="AF240" s="21" t="s">
        <v>304</v>
      </c>
      <c r="AG240" s="21" t="s">
        <v>303</v>
      </c>
    </row>
    <row r="241" spans="1:33">
      <c r="A241" s="21" t="s">
        <v>128</v>
      </c>
      <c r="B241" s="21" t="s">
        <v>515</v>
      </c>
      <c r="C241" s="25">
        <v>46073</v>
      </c>
      <c r="D241" s="21" t="s">
        <v>754</v>
      </c>
      <c r="E241" s="24">
        <v>6.89</v>
      </c>
      <c r="F241" s="24">
        <v>7.55</v>
      </c>
      <c r="G241" s="24">
        <f>E241-F241</f>
        <v>-0.66000000000000014</v>
      </c>
      <c r="H241" s="21" t="s">
        <v>294</v>
      </c>
      <c r="I241" s="21">
        <v>0</v>
      </c>
      <c r="J241" s="21">
        <v>5</v>
      </c>
      <c r="K241" s="21">
        <v>7</v>
      </c>
      <c r="L241" s="21">
        <v>2</v>
      </c>
      <c r="M241" s="21">
        <v>6</v>
      </c>
      <c r="P241" s="24">
        <f>J241+L241+N241</f>
        <v>7</v>
      </c>
      <c r="Q241" s="24">
        <f>K241+M241+O241</f>
        <v>13</v>
      </c>
      <c r="R241" s="24">
        <v>0.35</v>
      </c>
      <c r="S241" s="21" t="s">
        <v>752</v>
      </c>
      <c r="T241" s="21" t="s">
        <v>355</v>
      </c>
      <c r="U241" s="21" t="s">
        <v>292</v>
      </c>
      <c r="V241" s="21" t="s">
        <v>286</v>
      </c>
      <c r="W241" s="21">
        <v>7</v>
      </c>
      <c r="X241" s="21" t="s">
        <v>285</v>
      </c>
      <c r="Y241" s="21" t="s">
        <v>318</v>
      </c>
      <c r="Z241" s="21" t="s">
        <v>317</v>
      </c>
      <c r="AA241" s="21" t="s">
        <v>128</v>
      </c>
      <c r="AB241" s="21">
        <v>1</v>
      </c>
      <c r="AD241" s="24">
        <v>6.89</v>
      </c>
      <c r="AE241" s="24">
        <v>7.55</v>
      </c>
      <c r="AF241" s="21" t="s">
        <v>304</v>
      </c>
      <c r="AG241" s="21" t="s">
        <v>341</v>
      </c>
    </row>
    <row r="242" spans="1:33">
      <c r="A242" s="21" t="s">
        <v>128</v>
      </c>
      <c r="B242" s="21" t="s">
        <v>515</v>
      </c>
      <c r="C242" s="25">
        <v>46073</v>
      </c>
      <c r="D242" s="21" t="s">
        <v>753</v>
      </c>
      <c r="E242" s="24">
        <v>6.89</v>
      </c>
      <c r="F242" s="24">
        <v>6.82</v>
      </c>
      <c r="G242" s="24">
        <f>E242-F242</f>
        <v>6.9999999999999396E-2</v>
      </c>
      <c r="H242" s="21" t="s">
        <v>289</v>
      </c>
      <c r="I242" s="21">
        <v>1</v>
      </c>
      <c r="J242" s="21">
        <v>7</v>
      </c>
      <c r="K242" s="21">
        <v>5</v>
      </c>
      <c r="L242" s="21">
        <v>6</v>
      </c>
      <c r="M242" s="21">
        <v>3</v>
      </c>
      <c r="P242" s="24">
        <f>J242+L242+N242</f>
        <v>13</v>
      </c>
      <c r="Q242" s="24">
        <f>K242+M242+O242</f>
        <v>8</v>
      </c>
      <c r="R242" s="24">
        <v>0.61904761904761907</v>
      </c>
      <c r="S242" s="21" t="s">
        <v>752</v>
      </c>
      <c r="T242" s="21" t="s">
        <v>295</v>
      </c>
      <c r="U242" s="21" t="s">
        <v>292</v>
      </c>
      <c r="V242" s="21" t="s">
        <v>286</v>
      </c>
      <c r="W242" s="21">
        <v>7</v>
      </c>
      <c r="X242" s="21" t="s">
        <v>285</v>
      </c>
      <c r="Y242" s="21" t="s">
        <v>318</v>
      </c>
      <c r="Z242" s="21" t="s">
        <v>317</v>
      </c>
      <c r="AA242" s="21" t="s">
        <v>128</v>
      </c>
      <c r="AB242" s="21">
        <v>1</v>
      </c>
      <c r="AD242" s="24">
        <v>6.89</v>
      </c>
      <c r="AE242" s="24">
        <v>6.82</v>
      </c>
      <c r="AF242" s="21" t="s">
        <v>304</v>
      </c>
      <c r="AG242" s="21" t="s">
        <v>303</v>
      </c>
    </row>
    <row r="243" spans="1:33">
      <c r="A243" s="21" t="s">
        <v>128</v>
      </c>
      <c r="B243" s="21" t="s">
        <v>515</v>
      </c>
      <c r="C243" s="25">
        <v>46081</v>
      </c>
      <c r="D243" s="21" t="s">
        <v>688</v>
      </c>
      <c r="E243" s="24">
        <v>6.89</v>
      </c>
      <c r="F243" s="24">
        <v>8.02</v>
      </c>
      <c r="G243" s="24">
        <f>E243-F243</f>
        <v>-1.1299999999999999</v>
      </c>
      <c r="H243" s="21" t="s">
        <v>294</v>
      </c>
      <c r="I243" s="21">
        <v>0</v>
      </c>
      <c r="J243" s="21">
        <v>1</v>
      </c>
      <c r="K243" s="21">
        <v>6</v>
      </c>
      <c r="L243" s="21">
        <v>3</v>
      </c>
      <c r="M243" s="21">
        <v>6</v>
      </c>
      <c r="P243" s="24">
        <f>J243+L243+N243</f>
        <v>4</v>
      </c>
      <c r="Q243" s="24">
        <f>K243+M243+O243</f>
        <v>12</v>
      </c>
      <c r="R243" s="24">
        <v>0.25</v>
      </c>
      <c r="S243" s="21" t="s">
        <v>687</v>
      </c>
      <c r="T243" s="21" t="s">
        <v>316</v>
      </c>
      <c r="U243" s="21" t="s">
        <v>292</v>
      </c>
      <c r="V243" s="21" t="s">
        <v>286</v>
      </c>
      <c r="W243" s="21">
        <v>11</v>
      </c>
      <c r="X243" s="21" t="s">
        <v>285</v>
      </c>
      <c r="Y243" s="21" t="s">
        <v>318</v>
      </c>
      <c r="Z243" s="21" t="s">
        <v>317</v>
      </c>
      <c r="AA243" s="21" t="s">
        <v>128</v>
      </c>
      <c r="AB243" s="21">
        <v>1</v>
      </c>
      <c r="AD243" s="24">
        <v>6.89</v>
      </c>
      <c r="AE243" s="24">
        <v>8.02</v>
      </c>
      <c r="AF243" s="21" t="s">
        <v>304</v>
      </c>
      <c r="AG243" s="21" t="s">
        <v>303</v>
      </c>
    </row>
    <row r="244" spans="1:33">
      <c r="A244" s="21" t="s">
        <v>128</v>
      </c>
      <c r="B244" s="21" t="s">
        <v>515</v>
      </c>
      <c r="C244" s="25">
        <v>46081</v>
      </c>
      <c r="D244" s="21" t="s">
        <v>751</v>
      </c>
      <c r="E244" s="24">
        <v>6.89</v>
      </c>
      <c r="F244" s="24">
        <v>6.88</v>
      </c>
      <c r="G244" s="24">
        <f>E244-F244</f>
        <v>9.9999999999997868E-3</v>
      </c>
      <c r="H244" s="21" t="s">
        <v>289</v>
      </c>
      <c r="I244" s="21">
        <v>1</v>
      </c>
      <c r="J244" s="21">
        <v>7</v>
      </c>
      <c r="K244" s="21">
        <v>5</v>
      </c>
      <c r="L244" s="21">
        <v>4</v>
      </c>
      <c r="M244" s="21">
        <v>6</v>
      </c>
      <c r="N244" s="21">
        <v>1</v>
      </c>
      <c r="O244" s="21">
        <v>0</v>
      </c>
      <c r="P244" s="24">
        <f>J244+L244+N244</f>
        <v>12</v>
      </c>
      <c r="Q244" s="24">
        <f>K244+M244+O244</f>
        <v>11</v>
      </c>
      <c r="R244" s="24">
        <v>0.86428571428571432</v>
      </c>
      <c r="S244" s="21" t="s">
        <v>687</v>
      </c>
      <c r="T244" s="21" t="s">
        <v>365</v>
      </c>
      <c r="U244" s="21" t="s">
        <v>292</v>
      </c>
      <c r="V244" s="21" t="s">
        <v>286</v>
      </c>
      <c r="W244" s="21">
        <v>11</v>
      </c>
      <c r="X244" s="21" t="s">
        <v>285</v>
      </c>
      <c r="Y244" s="21" t="s">
        <v>318</v>
      </c>
      <c r="Z244" s="21" t="s">
        <v>317</v>
      </c>
      <c r="AA244" s="21" t="s">
        <v>128</v>
      </c>
      <c r="AB244" s="21">
        <v>1</v>
      </c>
      <c r="AD244" s="24">
        <v>6.89</v>
      </c>
      <c r="AE244" s="24">
        <v>6.88</v>
      </c>
      <c r="AF244" s="21" t="s">
        <v>302</v>
      </c>
      <c r="AG244" s="21" t="s">
        <v>301</v>
      </c>
    </row>
    <row r="245" spans="1:33">
      <c r="A245" s="21" t="s">
        <v>128</v>
      </c>
      <c r="B245" s="21" t="s">
        <v>515</v>
      </c>
      <c r="C245" s="25">
        <v>46094</v>
      </c>
      <c r="D245" s="21" t="s">
        <v>750</v>
      </c>
      <c r="E245" s="24">
        <v>6.45</v>
      </c>
      <c r="F245" s="24">
        <v>9.57</v>
      </c>
      <c r="G245" s="24">
        <f>E245-F245</f>
        <v>-3.12</v>
      </c>
      <c r="H245" s="21" t="s">
        <v>294</v>
      </c>
      <c r="I245" s="21">
        <v>0</v>
      </c>
      <c r="J245" s="21">
        <v>1</v>
      </c>
      <c r="K245" s="21">
        <v>6</v>
      </c>
      <c r="L245" s="21">
        <v>1</v>
      </c>
      <c r="M245" s="21">
        <v>6</v>
      </c>
      <c r="P245" s="24">
        <f>J245+L245+N245</f>
        <v>2</v>
      </c>
      <c r="Q245" s="24">
        <f>K245+M245+O245</f>
        <v>12</v>
      </c>
      <c r="R245" s="24">
        <v>0.14285714285714285</v>
      </c>
      <c r="S245" s="21" t="s">
        <v>749</v>
      </c>
      <c r="T245" s="21" t="s">
        <v>298</v>
      </c>
      <c r="U245" s="21" t="s">
        <v>292</v>
      </c>
      <c r="V245" s="21" t="s">
        <v>286</v>
      </c>
      <c r="W245" s="21">
        <v>13</v>
      </c>
      <c r="X245" s="21" t="s">
        <v>285</v>
      </c>
      <c r="Y245" s="21" t="s">
        <v>318</v>
      </c>
      <c r="Z245" s="21" t="s">
        <v>317</v>
      </c>
      <c r="AA245" s="21" t="s">
        <v>128</v>
      </c>
      <c r="AB245" s="21">
        <v>1</v>
      </c>
      <c r="AD245" s="24">
        <v>6.89</v>
      </c>
      <c r="AE245" s="24">
        <v>9.57</v>
      </c>
      <c r="AF245" s="21" t="s">
        <v>302</v>
      </c>
      <c r="AG245" s="21" t="s">
        <v>301</v>
      </c>
    </row>
    <row r="246" spans="1:33">
      <c r="A246" s="21" t="s">
        <v>128</v>
      </c>
      <c r="B246" s="21" t="s">
        <v>515</v>
      </c>
      <c r="C246" s="25">
        <v>46099.645833333336</v>
      </c>
      <c r="D246" s="21" t="s">
        <v>9</v>
      </c>
      <c r="E246" s="24">
        <v>6.52</v>
      </c>
      <c r="F246" s="24">
        <v>7.54</v>
      </c>
      <c r="G246" s="24">
        <f>E246-F246</f>
        <v>-1.0200000000000005</v>
      </c>
      <c r="H246" s="21" t="s">
        <v>294</v>
      </c>
      <c r="I246" s="21">
        <v>0</v>
      </c>
      <c r="J246" s="21">
        <v>1</v>
      </c>
      <c r="K246" s="21">
        <v>6</v>
      </c>
      <c r="L246" s="21">
        <v>4</v>
      </c>
      <c r="M246" s="21">
        <v>6</v>
      </c>
      <c r="P246" s="24">
        <f>J246+L246+N246</f>
        <v>5</v>
      </c>
      <c r="Q246" s="24">
        <f>K246+M246+O246</f>
        <v>12</v>
      </c>
      <c r="R246" s="24">
        <v>0.29411764705882354</v>
      </c>
      <c r="S246" s="21" t="s">
        <v>444</v>
      </c>
      <c r="U246" s="21" t="s">
        <v>287</v>
      </c>
      <c r="V246" s="21" t="s">
        <v>286</v>
      </c>
      <c r="W246" s="21">
        <v>14</v>
      </c>
      <c r="X246" s="21" t="s">
        <v>285</v>
      </c>
      <c r="Y246" s="21" t="s">
        <v>318</v>
      </c>
      <c r="Z246" s="21" t="s">
        <v>317</v>
      </c>
      <c r="AA246" s="21" t="s">
        <v>128</v>
      </c>
      <c r="AB246" s="21">
        <v>1</v>
      </c>
      <c r="AD246" s="24">
        <v>6.89</v>
      </c>
      <c r="AE246" s="24">
        <v>7.82</v>
      </c>
      <c r="AF246" s="21" t="s">
        <v>304</v>
      </c>
      <c r="AG246" s="21" t="s">
        <v>303</v>
      </c>
    </row>
    <row r="247" spans="1:33">
      <c r="A247" s="21" t="s">
        <v>128</v>
      </c>
      <c r="B247" s="21" t="s">
        <v>515</v>
      </c>
      <c r="C247" s="25">
        <v>46105.645833333336</v>
      </c>
      <c r="D247" s="21" t="s">
        <v>73</v>
      </c>
      <c r="E247" s="24">
        <v>6.58</v>
      </c>
      <c r="F247" s="24">
        <v>3.35</v>
      </c>
      <c r="G247" s="24">
        <f>E247-F247</f>
        <v>3.23</v>
      </c>
      <c r="H247" s="21" t="s">
        <v>289</v>
      </c>
      <c r="I247" s="21">
        <v>1</v>
      </c>
      <c r="J247" s="21">
        <v>6</v>
      </c>
      <c r="K247" s="21">
        <v>0</v>
      </c>
      <c r="L247" s="21">
        <v>6</v>
      </c>
      <c r="M247" s="21">
        <v>1</v>
      </c>
      <c r="P247" s="24">
        <f>J247+L247+N247</f>
        <v>12</v>
      </c>
      <c r="Q247" s="24">
        <f>K247+M247+O247</f>
        <v>1</v>
      </c>
      <c r="R247" s="24">
        <v>0.92307692307692313</v>
      </c>
      <c r="S247" s="21" t="s">
        <v>213</v>
      </c>
      <c r="U247" s="21" t="s">
        <v>287</v>
      </c>
      <c r="V247" s="21" t="s">
        <v>286</v>
      </c>
      <c r="W247" s="21">
        <v>15</v>
      </c>
      <c r="X247" s="21" t="s">
        <v>285</v>
      </c>
      <c r="Y247" s="21" t="s">
        <v>318</v>
      </c>
      <c r="Z247" s="21" t="s">
        <v>317</v>
      </c>
      <c r="AA247" s="21" t="s">
        <v>128</v>
      </c>
      <c r="AB247" s="21">
        <v>1</v>
      </c>
      <c r="AD247" s="24">
        <v>6.89</v>
      </c>
      <c r="AE247" s="24">
        <v>4.3499999999999996</v>
      </c>
      <c r="AF247" s="21" t="s">
        <v>304</v>
      </c>
      <c r="AG247" s="21" t="s">
        <v>303</v>
      </c>
    </row>
    <row r="248" spans="1:33">
      <c r="A248" s="21" t="s">
        <v>128</v>
      </c>
      <c r="B248" s="21" t="s">
        <v>515</v>
      </c>
      <c r="C248" s="25">
        <v>46106.645833333336</v>
      </c>
      <c r="D248" s="21" t="s">
        <v>181</v>
      </c>
      <c r="E248" s="24">
        <v>6.58</v>
      </c>
      <c r="F248" s="24">
        <v>6.09</v>
      </c>
      <c r="G248" s="24">
        <f>E248-F248</f>
        <v>0.49000000000000021</v>
      </c>
      <c r="H248" s="21" t="s">
        <v>289</v>
      </c>
      <c r="I248" s="21">
        <v>1</v>
      </c>
      <c r="J248" s="21">
        <v>6</v>
      </c>
      <c r="K248" s="21">
        <v>1</v>
      </c>
      <c r="L248" s="21">
        <v>6</v>
      </c>
      <c r="M248" s="21">
        <v>1</v>
      </c>
      <c r="P248" s="24">
        <f>J248+L248+N248</f>
        <v>12</v>
      </c>
      <c r="Q248" s="24">
        <f>K248+M248+O248</f>
        <v>2</v>
      </c>
      <c r="R248" s="24">
        <v>0.8571428571428571</v>
      </c>
      <c r="S248" s="21" t="s">
        <v>207</v>
      </c>
      <c r="U248" s="21" t="s">
        <v>287</v>
      </c>
      <c r="V248" s="21" t="s">
        <v>286</v>
      </c>
      <c r="W248" s="21">
        <v>16</v>
      </c>
      <c r="X248" s="21" t="s">
        <v>285</v>
      </c>
      <c r="Y248" s="21" t="s">
        <v>318</v>
      </c>
      <c r="Z248" s="21" t="s">
        <v>317</v>
      </c>
      <c r="AA248" s="21" t="s">
        <v>128</v>
      </c>
      <c r="AB248" s="21">
        <v>1</v>
      </c>
      <c r="AD248" s="24">
        <v>6.89</v>
      </c>
      <c r="AE248" s="24">
        <v>6.06</v>
      </c>
      <c r="AF248" s="21" t="s">
        <v>304</v>
      </c>
      <c r="AG248" s="21" t="s">
        <v>303</v>
      </c>
    </row>
    <row r="249" spans="1:33">
      <c r="A249" s="21" t="s">
        <v>128</v>
      </c>
      <c r="B249" s="21" t="s">
        <v>515</v>
      </c>
      <c r="C249" s="25">
        <v>46108.645833333336</v>
      </c>
      <c r="D249" s="21" t="s">
        <v>26</v>
      </c>
      <c r="E249" s="24">
        <v>6.58</v>
      </c>
      <c r="F249" s="24">
        <v>6.79</v>
      </c>
      <c r="G249" s="24">
        <f>E249-F249</f>
        <v>-0.20999999999999996</v>
      </c>
      <c r="H249" s="21" t="s">
        <v>294</v>
      </c>
      <c r="I249" s="21">
        <v>0</v>
      </c>
      <c r="J249" s="21">
        <v>1</v>
      </c>
      <c r="K249" s="21">
        <v>6</v>
      </c>
      <c r="L249" s="21">
        <v>2</v>
      </c>
      <c r="M249" s="21">
        <v>6</v>
      </c>
      <c r="P249" s="24">
        <f>J249+L249+N249</f>
        <v>3</v>
      </c>
      <c r="Q249" s="24">
        <f>K249+M249+O249</f>
        <v>12</v>
      </c>
      <c r="R249" s="24">
        <v>0.2</v>
      </c>
      <c r="S249" s="21" t="s">
        <v>190</v>
      </c>
      <c r="U249" s="21" t="s">
        <v>287</v>
      </c>
      <c r="V249" s="21" t="s">
        <v>286</v>
      </c>
      <c r="W249" s="21">
        <v>17</v>
      </c>
      <c r="X249" s="21" t="s">
        <v>285</v>
      </c>
      <c r="Y249" s="21" t="s">
        <v>318</v>
      </c>
      <c r="Z249" s="21" t="s">
        <v>317</v>
      </c>
      <c r="AA249" s="21" t="s">
        <v>128</v>
      </c>
      <c r="AB249" s="21">
        <v>1</v>
      </c>
      <c r="AD249" s="24">
        <v>6.89</v>
      </c>
      <c r="AE249" s="24">
        <v>8.09</v>
      </c>
      <c r="AF249" s="21" t="s">
        <v>302</v>
      </c>
      <c r="AG249" s="21" t="s">
        <v>301</v>
      </c>
    </row>
    <row r="250" spans="1:33">
      <c r="A250" s="21" t="s">
        <v>128</v>
      </c>
      <c r="B250" s="21" t="s">
        <v>515</v>
      </c>
      <c r="C250" s="25">
        <v>46111.645833333336</v>
      </c>
      <c r="D250" s="21" t="s">
        <v>675</v>
      </c>
      <c r="E250" s="24">
        <v>6.58</v>
      </c>
      <c r="F250" s="24">
        <v>3.16</v>
      </c>
      <c r="G250" s="24">
        <f>E250-F250</f>
        <v>3.42</v>
      </c>
      <c r="H250" s="21" t="s">
        <v>289</v>
      </c>
      <c r="I250" s="21">
        <v>1</v>
      </c>
      <c r="J250" s="21">
        <v>6</v>
      </c>
      <c r="K250" s="21">
        <v>1</v>
      </c>
      <c r="L250" s="21">
        <v>6</v>
      </c>
      <c r="M250" s="21">
        <v>1</v>
      </c>
      <c r="P250" s="24">
        <f>J250+L250+N250</f>
        <v>12</v>
      </c>
      <c r="Q250" s="24">
        <f>K250+M250+O250</f>
        <v>2</v>
      </c>
      <c r="R250" s="24">
        <v>0.8571428571428571</v>
      </c>
      <c r="S250" s="21" t="s">
        <v>517</v>
      </c>
      <c r="U250" s="21" t="s">
        <v>287</v>
      </c>
      <c r="V250" s="21" t="s">
        <v>286</v>
      </c>
      <c r="W250" s="21">
        <v>18</v>
      </c>
      <c r="X250" s="21" t="s">
        <v>285</v>
      </c>
      <c r="Y250" s="21" t="s">
        <v>318</v>
      </c>
      <c r="Z250" s="21" t="s">
        <v>317</v>
      </c>
      <c r="AA250" s="21" t="s">
        <v>128</v>
      </c>
      <c r="AB250" s="21">
        <v>1</v>
      </c>
      <c r="AD250" s="24">
        <v>6.89</v>
      </c>
      <c r="AE250" s="24">
        <v>3.88</v>
      </c>
      <c r="AF250" s="21" t="s">
        <v>302</v>
      </c>
      <c r="AG250" s="21" t="s">
        <v>301</v>
      </c>
    </row>
    <row r="251" spans="1:33">
      <c r="A251" s="21" t="s">
        <v>128</v>
      </c>
      <c r="B251" s="21" t="s">
        <v>515</v>
      </c>
      <c r="C251" s="25">
        <v>46113.645833333336</v>
      </c>
      <c r="D251" s="21" t="s">
        <v>44</v>
      </c>
      <c r="E251" s="24">
        <v>6.64</v>
      </c>
      <c r="F251" s="24">
        <v>8.61</v>
      </c>
      <c r="G251" s="24">
        <f>E251-F251</f>
        <v>-1.9699999999999998</v>
      </c>
      <c r="H251" s="21" t="s">
        <v>294</v>
      </c>
      <c r="I251" s="21">
        <v>0</v>
      </c>
      <c r="J251" s="21">
        <v>5</v>
      </c>
      <c r="K251" s="21">
        <v>7</v>
      </c>
      <c r="L251" s="21">
        <v>2</v>
      </c>
      <c r="M251" s="21">
        <v>6</v>
      </c>
      <c r="P251" s="24">
        <f>J251+L251+N251</f>
        <v>7</v>
      </c>
      <c r="Q251" s="24">
        <f>K251+M251+O251</f>
        <v>13</v>
      </c>
      <c r="R251" s="24">
        <v>0.35</v>
      </c>
      <c r="S251" s="21" t="s">
        <v>174</v>
      </c>
      <c r="U251" s="21" t="s">
        <v>287</v>
      </c>
      <c r="V251" s="21" t="s">
        <v>286</v>
      </c>
      <c r="W251" s="21">
        <v>19</v>
      </c>
      <c r="X251" s="21" t="s">
        <v>285</v>
      </c>
      <c r="Y251" s="21" t="s">
        <v>318</v>
      </c>
      <c r="Z251" s="21" t="s">
        <v>317</v>
      </c>
      <c r="AA251" s="21" t="s">
        <v>128</v>
      </c>
      <c r="AB251" s="21">
        <v>1</v>
      </c>
      <c r="AD251" s="24">
        <v>6.89</v>
      </c>
      <c r="AE251" s="24">
        <v>8.42</v>
      </c>
      <c r="AF251" s="21" t="s">
        <v>304</v>
      </c>
      <c r="AG251" s="21" t="s">
        <v>303</v>
      </c>
    </row>
    <row r="252" spans="1:33">
      <c r="A252" s="21" t="s">
        <v>128</v>
      </c>
      <c r="B252" s="21" t="s">
        <v>515</v>
      </c>
      <c r="C252" s="25">
        <v>46115</v>
      </c>
      <c r="D252" s="21" t="s">
        <v>748</v>
      </c>
      <c r="E252" s="24">
        <v>6.64</v>
      </c>
      <c r="F252" s="24">
        <v>7.07</v>
      </c>
      <c r="G252" s="24">
        <f>E252-F252</f>
        <v>-0.4300000000000006</v>
      </c>
      <c r="H252" s="21" t="s">
        <v>289</v>
      </c>
      <c r="I252" s="21">
        <v>1</v>
      </c>
      <c r="J252" s="21">
        <v>6</v>
      </c>
      <c r="K252" s="21">
        <v>3</v>
      </c>
      <c r="L252" s="21">
        <v>1</v>
      </c>
      <c r="M252" s="21">
        <v>6</v>
      </c>
      <c r="N252" s="21">
        <v>1</v>
      </c>
      <c r="O252" s="21">
        <v>0</v>
      </c>
      <c r="P252" s="24">
        <f>J252+L252+N252</f>
        <v>8</v>
      </c>
      <c r="Q252" s="24">
        <f>K252+M252+O252</f>
        <v>9</v>
      </c>
      <c r="R252" s="24">
        <v>0.86764705882352944</v>
      </c>
      <c r="S252" s="21" t="s">
        <v>305</v>
      </c>
      <c r="T252" s="21" t="s">
        <v>297</v>
      </c>
      <c r="U252" s="21" t="s">
        <v>292</v>
      </c>
      <c r="V252" s="21" t="s">
        <v>286</v>
      </c>
      <c r="W252" s="21">
        <v>20</v>
      </c>
      <c r="X252" s="21" t="s">
        <v>285</v>
      </c>
      <c r="Y252" s="21" t="s">
        <v>318</v>
      </c>
      <c r="Z252" s="21" t="s">
        <v>317</v>
      </c>
      <c r="AA252" s="21" t="s">
        <v>128</v>
      </c>
      <c r="AB252" s="21">
        <v>1</v>
      </c>
      <c r="AD252" s="24">
        <v>6.89</v>
      </c>
      <c r="AE252" s="24">
        <v>7.07</v>
      </c>
      <c r="AF252" s="21" t="s">
        <v>304</v>
      </c>
      <c r="AG252" s="21" t="s">
        <v>303</v>
      </c>
    </row>
    <row r="253" spans="1:33">
      <c r="A253" s="21" t="s">
        <v>128</v>
      </c>
      <c r="B253" s="21" t="s">
        <v>515</v>
      </c>
      <c r="C253" s="25">
        <v>46115</v>
      </c>
      <c r="D253" s="21" t="s">
        <v>720</v>
      </c>
      <c r="E253" s="24">
        <v>6.64</v>
      </c>
      <c r="F253" s="24">
        <v>8.24</v>
      </c>
      <c r="G253" s="24">
        <f>E253-F253</f>
        <v>-1.6000000000000005</v>
      </c>
      <c r="H253" s="21" t="s">
        <v>294</v>
      </c>
      <c r="I253" s="21">
        <v>0</v>
      </c>
      <c r="J253" s="21">
        <v>3</v>
      </c>
      <c r="K253" s="21">
        <v>6</v>
      </c>
      <c r="L253" s="21">
        <v>4</v>
      </c>
      <c r="M253" s="21">
        <v>6</v>
      </c>
      <c r="P253" s="24">
        <f>J253+L253+N253</f>
        <v>7</v>
      </c>
      <c r="Q253" s="24">
        <f>K253+M253+O253</f>
        <v>12</v>
      </c>
      <c r="R253" s="24">
        <v>0.36842105263157893</v>
      </c>
      <c r="S253" s="21" t="s">
        <v>305</v>
      </c>
      <c r="T253" s="21" t="s">
        <v>296</v>
      </c>
      <c r="U253" s="21" t="s">
        <v>292</v>
      </c>
      <c r="V253" s="21" t="s">
        <v>286</v>
      </c>
      <c r="W253" s="21">
        <v>20</v>
      </c>
      <c r="X253" s="21" t="s">
        <v>285</v>
      </c>
      <c r="Y253" s="21" t="s">
        <v>318</v>
      </c>
      <c r="Z253" s="21" t="s">
        <v>317</v>
      </c>
      <c r="AA253" s="21" t="s">
        <v>128</v>
      </c>
      <c r="AB253" s="21">
        <v>1</v>
      </c>
      <c r="AD253" s="24">
        <v>6.89</v>
      </c>
      <c r="AE253" s="24">
        <v>8.24</v>
      </c>
      <c r="AF253" s="21" t="s">
        <v>304</v>
      </c>
      <c r="AG253" s="21" t="s">
        <v>303</v>
      </c>
    </row>
    <row r="254" spans="1:33">
      <c r="A254" s="21" t="s">
        <v>128</v>
      </c>
      <c r="B254" s="21" t="s">
        <v>515</v>
      </c>
      <c r="C254" s="25">
        <v>46119.645833333336</v>
      </c>
      <c r="D254" s="21" t="s">
        <v>134</v>
      </c>
      <c r="E254" s="24">
        <v>6.69</v>
      </c>
      <c r="F254" s="24">
        <v>5.44</v>
      </c>
      <c r="G254" s="24">
        <f>E254-F254</f>
        <v>1.25</v>
      </c>
      <c r="H254" s="21" t="s">
        <v>289</v>
      </c>
      <c r="I254" s="21">
        <v>1</v>
      </c>
      <c r="J254" s="21">
        <v>6</v>
      </c>
      <c r="K254" s="21">
        <v>2</v>
      </c>
      <c r="L254" s="21">
        <v>7</v>
      </c>
      <c r="M254" s="21">
        <v>5</v>
      </c>
      <c r="P254" s="24">
        <f>J254+L254+N254</f>
        <v>13</v>
      </c>
      <c r="Q254" s="24">
        <f>K254+M254+O254</f>
        <v>7</v>
      </c>
      <c r="R254" s="24">
        <v>0.65</v>
      </c>
      <c r="S254" s="21" t="s">
        <v>161</v>
      </c>
      <c r="U254" s="21" t="s">
        <v>287</v>
      </c>
      <c r="V254" s="21" t="s">
        <v>286</v>
      </c>
      <c r="W254" s="21">
        <v>22</v>
      </c>
      <c r="X254" s="21" t="s">
        <v>285</v>
      </c>
      <c r="Y254" s="21" t="s">
        <v>318</v>
      </c>
      <c r="Z254" s="21" t="s">
        <v>317</v>
      </c>
      <c r="AA254" s="21" t="s">
        <v>128</v>
      </c>
      <c r="AB254" s="21">
        <v>1</v>
      </c>
      <c r="AD254" s="24">
        <v>6.89</v>
      </c>
      <c r="AE254" s="24">
        <v>6.03</v>
      </c>
      <c r="AF254" s="21" t="s">
        <v>304</v>
      </c>
      <c r="AG254" s="21" t="s">
        <v>303</v>
      </c>
    </row>
    <row r="255" spans="1:33">
      <c r="A255" s="21" t="s">
        <v>128</v>
      </c>
      <c r="B255" s="21" t="s">
        <v>515</v>
      </c>
      <c r="C255" s="25">
        <v>46121.645833333336</v>
      </c>
      <c r="D255" s="21" t="s">
        <v>154</v>
      </c>
      <c r="E255" s="24">
        <v>6.69</v>
      </c>
      <c r="F255" s="24">
        <v>6.29</v>
      </c>
      <c r="G255" s="24">
        <f>E255-F255</f>
        <v>0.40000000000000036</v>
      </c>
      <c r="H255" s="21" t="s">
        <v>289</v>
      </c>
      <c r="I255" s="21">
        <v>1</v>
      </c>
      <c r="J255" s="21">
        <v>2</v>
      </c>
      <c r="K255" s="21">
        <v>6</v>
      </c>
      <c r="L255" s="21">
        <v>6</v>
      </c>
      <c r="M255" s="21">
        <v>3</v>
      </c>
      <c r="N255" s="21">
        <v>6</v>
      </c>
      <c r="O255" s="21">
        <v>3</v>
      </c>
      <c r="P255" s="24">
        <f>J255+L255+N255</f>
        <v>14</v>
      </c>
      <c r="Q255" s="24">
        <f>K255+M255+O255</f>
        <v>12</v>
      </c>
      <c r="R255" s="24">
        <v>0.53846153846153844</v>
      </c>
      <c r="S255" s="21" t="s">
        <v>148</v>
      </c>
      <c r="U255" s="21" t="s">
        <v>287</v>
      </c>
      <c r="V255" s="21" t="s">
        <v>286</v>
      </c>
      <c r="W255" s="21">
        <v>23</v>
      </c>
      <c r="X255" s="21" t="s">
        <v>285</v>
      </c>
      <c r="Y255" s="21" t="s">
        <v>318</v>
      </c>
      <c r="Z255" s="21" t="s">
        <v>317</v>
      </c>
      <c r="AA255" s="21" t="s">
        <v>128</v>
      </c>
      <c r="AB255" s="21">
        <v>1</v>
      </c>
      <c r="AD255" s="24">
        <v>6.89</v>
      </c>
      <c r="AE255" s="24">
        <v>6.62</v>
      </c>
      <c r="AF255" s="21" t="s">
        <v>535</v>
      </c>
      <c r="AG255" s="21" t="s">
        <v>301</v>
      </c>
    </row>
    <row r="256" spans="1:33">
      <c r="A256" s="21" t="s">
        <v>128</v>
      </c>
      <c r="B256" s="21" t="s">
        <v>515</v>
      </c>
      <c r="C256" s="25">
        <v>46123</v>
      </c>
      <c r="D256" s="21" t="s">
        <v>103</v>
      </c>
      <c r="E256" s="24">
        <v>6.69</v>
      </c>
      <c r="F256" s="24">
        <v>7.18</v>
      </c>
      <c r="G256" s="24">
        <f>E256-F256</f>
        <v>-0.48999999999999932</v>
      </c>
      <c r="H256" s="21" t="s">
        <v>289</v>
      </c>
      <c r="I256" s="21">
        <v>1</v>
      </c>
      <c r="J256" s="21">
        <v>4</v>
      </c>
      <c r="K256" s="21">
        <v>2</v>
      </c>
      <c r="L256" s="21">
        <v>4</v>
      </c>
      <c r="M256" s="21">
        <v>2</v>
      </c>
      <c r="P256" s="24">
        <f>J256+L256+N256</f>
        <v>8</v>
      </c>
      <c r="Q256" s="24">
        <f>K256+M256+O256</f>
        <v>4</v>
      </c>
      <c r="R256" s="24">
        <v>0.66666666666666663</v>
      </c>
      <c r="S256" s="21" t="s">
        <v>353</v>
      </c>
      <c r="T256" s="21" t="s">
        <v>544</v>
      </c>
      <c r="U256" s="21" t="s">
        <v>292</v>
      </c>
      <c r="V256" s="21" t="s">
        <v>286</v>
      </c>
      <c r="W256" s="21">
        <v>24</v>
      </c>
      <c r="X256" s="21" t="s">
        <v>285</v>
      </c>
      <c r="Y256" s="21" t="s">
        <v>318</v>
      </c>
      <c r="Z256" s="21" t="s">
        <v>317</v>
      </c>
      <c r="AA256" s="21" t="s">
        <v>128</v>
      </c>
      <c r="AB256" s="21">
        <v>1</v>
      </c>
      <c r="AD256" s="24">
        <v>6.89</v>
      </c>
      <c r="AE256" s="24">
        <v>7.14</v>
      </c>
      <c r="AF256" s="21" t="s">
        <v>322</v>
      </c>
      <c r="AG256" s="21" t="s">
        <v>301</v>
      </c>
    </row>
    <row r="257" spans="1:33">
      <c r="A257" s="21" t="s">
        <v>128</v>
      </c>
      <c r="B257" s="21" t="s">
        <v>515</v>
      </c>
      <c r="C257" s="25">
        <v>46123</v>
      </c>
      <c r="D257" s="21" t="s">
        <v>356</v>
      </c>
      <c r="E257" s="24">
        <v>6.69</v>
      </c>
      <c r="F257" s="24">
        <v>9.74</v>
      </c>
      <c r="G257" s="24">
        <f>E257-F257</f>
        <v>-3.05</v>
      </c>
      <c r="H257" s="21" t="s">
        <v>294</v>
      </c>
      <c r="I257" s="21">
        <v>0</v>
      </c>
      <c r="J257" s="21">
        <v>1</v>
      </c>
      <c r="K257" s="21">
        <v>6</v>
      </c>
      <c r="L257" s="21">
        <v>0</v>
      </c>
      <c r="M257" s="21">
        <v>6</v>
      </c>
      <c r="P257" s="24">
        <f>J257+L257+N257</f>
        <v>1</v>
      </c>
      <c r="Q257" s="24">
        <f>K257+M257+O257</f>
        <v>12</v>
      </c>
      <c r="R257" s="24">
        <v>7.6923076923076927E-2</v>
      </c>
      <c r="S257" s="21" t="s">
        <v>353</v>
      </c>
      <c r="T257" s="21" t="s">
        <v>297</v>
      </c>
      <c r="U257" s="21" t="s">
        <v>292</v>
      </c>
      <c r="V257" s="21" t="s">
        <v>286</v>
      </c>
      <c r="W257" s="21">
        <v>24</v>
      </c>
      <c r="X257" s="21" t="s">
        <v>285</v>
      </c>
      <c r="Y257" s="21" t="s">
        <v>318</v>
      </c>
      <c r="Z257" s="21" t="s">
        <v>317</v>
      </c>
      <c r="AA257" s="21" t="s">
        <v>128</v>
      </c>
      <c r="AB257" s="21">
        <v>1</v>
      </c>
      <c r="AD257" s="24">
        <v>6.89</v>
      </c>
      <c r="AE257" s="24">
        <v>9.74</v>
      </c>
      <c r="AF257" s="21" t="s">
        <v>535</v>
      </c>
      <c r="AG257" s="21" t="s">
        <v>301</v>
      </c>
    </row>
    <row r="258" spans="1:33">
      <c r="A258" s="21" t="s">
        <v>128</v>
      </c>
      <c r="B258" s="21" t="s">
        <v>515</v>
      </c>
      <c r="C258" s="25">
        <v>46123</v>
      </c>
      <c r="D258" s="21" t="s">
        <v>419</v>
      </c>
      <c r="E258" s="24">
        <v>6.69</v>
      </c>
      <c r="F258" s="24">
        <v>7.6</v>
      </c>
      <c r="G258" s="24">
        <f>E258-F258</f>
        <v>-0.90999999999999925</v>
      </c>
      <c r="H258" s="21" t="s">
        <v>294</v>
      </c>
      <c r="I258" s="21">
        <v>0</v>
      </c>
      <c r="J258" s="21">
        <v>1</v>
      </c>
      <c r="K258" s="21">
        <v>4</v>
      </c>
      <c r="L258" s="21">
        <v>1</v>
      </c>
      <c r="M258" s="21">
        <v>4</v>
      </c>
      <c r="P258" s="24">
        <f>J258+L258+N258</f>
        <v>2</v>
      </c>
      <c r="Q258" s="24">
        <f>K258+M258+O258</f>
        <v>8</v>
      </c>
      <c r="R258" s="24">
        <v>0.2</v>
      </c>
      <c r="S258" s="21" t="s">
        <v>353</v>
      </c>
      <c r="T258" s="21" t="s">
        <v>420</v>
      </c>
      <c r="U258" s="21" t="s">
        <v>292</v>
      </c>
      <c r="V258" s="21" t="s">
        <v>286</v>
      </c>
      <c r="W258" s="21">
        <v>24</v>
      </c>
      <c r="X258" s="21" t="s">
        <v>285</v>
      </c>
      <c r="Y258" s="21" t="s">
        <v>318</v>
      </c>
      <c r="Z258" s="21" t="s">
        <v>317</v>
      </c>
      <c r="AA258" s="21" t="s">
        <v>128</v>
      </c>
      <c r="AB258" s="21">
        <v>1</v>
      </c>
      <c r="AD258" s="24">
        <v>6.89</v>
      </c>
      <c r="AE258" s="24">
        <v>7.6</v>
      </c>
      <c r="AF258" s="21" t="s">
        <v>535</v>
      </c>
      <c r="AG258" s="21" t="s">
        <v>301</v>
      </c>
    </row>
    <row r="259" spans="1:33">
      <c r="A259" s="21" t="s">
        <v>128</v>
      </c>
      <c r="B259" s="21" t="s">
        <v>515</v>
      </c>
      <c r="C259" s="25">
        <v>46125.645833333336</v>
      </c>
      <c r="D259" s="21" t="s">
        <v>129</v>
      </c>
      <c r="E259" s="24">
        <v>6.69</v>
      </c>
      <c r="F259" s="24">
        <v>6.71</v>
      </c>
      <c r="G259" s="24">
        <f>E259-F259</f>
        <v>-1.9999999999999574E-2</v>
      </c>
      <c r="H259" s="21" t="s">
        <v>294</v>
      </c>
      <c r="I259" s="21">
        <v>0</v>
      </c>
      <c r="J259" s="21">
        <v>2</v>
      </c>
      <c r="K259" s="21">
        <v>6</v>
      </c>
      <c r="L259" s="21">
        <v>0</v>
      </c>
      <c r="M259" s="21">
        <v>6</v>
      </c>
      <c r="P259" s="24">
        <f>J259+L259+N259</f>
        <v>2</v>
      </c>
      <c r="Q259" s="24">
        <f>K259+M259+O259</f>
        <v>12</v>
      </c>
      <c r="R259" s="24">
        <v>0.14285714285714285</v>
      </c>
      <c r="S259" s="21" t="s">
        <v>122</v>
      </c>
      <c r="U259" s="21" t="s">
        <v>287</v>
      </c>
      <c r="V259" s="21" t="s">
        <v>286</v>
      </c>
      <c r="W259" s="21">
        <v>27</v>
      </c>
      <c r="X259" s="21" t="s">
        <v>285</v>
      </c>
      <c r="Y259" s="21" t="s">
        <v>318</v>
      </c>
      <c r="Z259" s="21" t="s">
        <v>317</v>
      </c>
      <c r="AA259" s="21" t="s">
        <v>128</v>
      </c>
      <c r="AB259" s="21">
        <v>1</v>
      </c>
      <c r="AD259" s="24">
        <v>6.89</v>
      </c>
      <c r="AE259" s="24">
        <v>8.41</v>
      </c>
      <c r="AF259" s="21" t="s">
        <v>535</v>
      </c>
      <c r="AG259" s="21" t="s">
        <v>301</v>
      </c>
    </row>
    <row r="260" spans="1:33">
      <c r="A260" s="21" t="s">
        <v>128</v>
      </c>
      <c r="B260" s="21" t="s">
        <v>515</v>
      </c>
      <c r="C260" s="25">
        <v>46128.458333333336</v>
      </c>
      <c r="D260" s="21" t="s">
        <v>675</v>
      </c>
      <c r="E260" s="24">
        <v>6.77</v>
      </c>
      <c r="F260" s="24">
        <v>2.66</v>
      </c>
      <c r="G260" s="24">
        <f>E260-F260</f>
        <v>4.1099999999999994</v>
      </c>
      <c r="H260" s="21" t="s">
        <v>289</v>
      </c>
      <c r="I260" s="21">
        <v>1</v>
      </c>
      <c r="J260" s="21">
        <v>8</v>
      </c>
      <c r="K260" s="21">
        <v>2</v>
      </c>
      <c r="P260" s="24">
        <f>J260+L260+N260</f>
        <v>8</v>
      </c>
      <c r="Q260" s="24">
        <f>K260+M260+O260</f>
        <v>2</v>
      </c>
      <c r="R260" s="24">
        <v>0.8</v>
      </c>
      <c r="S260" s="21" t="s">
        <v>387</v>
      </c>
      <c r="T260" s="21" t="s">
        <v>297</v>
      </c>
      <c r="U260" s="21" t="s">
        <v>287</v>
      </c>
      <c r="V260" s="21" t="s">
        <v>286</v>
      </c>
      <c r="W260" s="21">
        <v>28</v>
      </c>
      <c r="X260" s="21" t="s">
        <v>285</v>
      </c>
      <c r="Y260" s="21" t="s">
        <v>318</v>
      </c>
      <c r="Z260" s="21" t="s">
        <v>317</v>
      </c>
      <c r="AA260" s="21" t="s">
        <v>128</v>
      </c>
      <c r="AB260" s="21">
        <v>1</v>
      </c>
      <c r="AD260" s="24">
        <v>6.89</v>
      </c>
      <c r="AE260" s="24">
        <v>3.88</v>
      </c>
      <c r="AF260" s="21" t="s">
        <v>535</v>
      </c>
      <c r="AG260" s="21" t="s">
        <v>301</v>
      </c>
    </row>
    <row r="261" spans="1:33">
      <c r="A261" s="21" t="s">
        <v>128</v>
      </c>
      <c r="B261" s="21" t="s">
        <v>515</v>
      </c>
      <c r="C261" s="25">
        <v>46128.541666666664</v>
      </c>
      <c r="D261" s="21" t="s">
        <v>70</v>
      </c>
      <c r="E261" s="24">
        <v>6.77</v>
      </c>
      <c r="F261" s="24">
        <v>7.81</v>
      </c>
      <c r="G261" s="24">
        <f>E261-F261</f>
        <v>-1.04</v>
      </c>
      <c r="H261" s="21" t="s">
        <v>294</v>
      </c>
      <c r="I261" s="21">
        <v>0</v>
      </c>
      <c r="J261" s="21">
        <v>2</v>
      </c>
      <c r="K261" s="21">
        <v>8</v>
      </c>
      <c r="P261" s="24">
        <f>J261+L261+N261</f>
        <v>2</v>
      </c>
      <c r="Q261" s="24">
        <f>K261+M261+O261</f>
        <v>8</v>
      </c>
      <c r="R261" s="24">
        <v>0.2</v>
      </c>
      <c r="S261" s="21" t="s">
        <v>387</v>
      </c>
      <c r="T261" s="21" t="s">
        <v>296</v>
      </c>
      <c r="U261" s="21" t="s">
        <v>287</v>
      </c>
      <c r="V261" s="21" t="s">
        <v>286</v>
      </c>
      <c r="W261" s="21">
        <v>29</v>
      </c>
      <c r="X261" s="21" t="s">
        <v>285</v>
      </c>
      <c r="Y261" s="21" t="s">
        <v>318</v>
      </c>
      <c r="Z261" s="21" t="s">
        <v>317</v>
      </c>
      <c r="AA261" s="21" t="s">
        <v>128</v>
      </c>
      <c r="AB261" s="21">
        <v>1</v>
      </c>
      <c r="AD261" s="24">
        <v>6.89</v>
      </c>
      <c r="AE261" s="24">
        <v>7.26</v>
      </c>
      <c r="AF261" s="21" t="s">
        <v>304</v>
      </c>
      <c r="AG261" s="21" t="s">
        <v>303</v>
      </c>
    </row>
    <row r="262" spans="1:33">
      <c r="A262" s="21" t="s">
        <v>128</v>
      </c>
      <c r="B262" s="21" t="s">
        <v>515</v>
      </c>
      <c r="C262" s="25">
        <v>46139.645833333336</v>
      </c>
      <c r="D262" s="21" t="s">
        <v>203</v>
      </c>
      <c r="E262" s="24">
        <v>6.91</v>
      </c>
      <c r="F262" s="24">
        <v>4.8</v>
      </c>
      <c r="G262" s="24">
        <f>E262-F262</f>
        <v>2.1100000000000003</v>
      </c>
      <c r="H262" s="21" t="s">
        <v>289</v>
      </c>
      <c r="I262" s="21">
        <v>1</v>
      </c>
      <c r="J262" s="21">
        <v>6</v>
      </c>
      <c r="K262" s="21">
        <v>4</v>
      </c>
      <c r="L262" s="21">
        <v>6</v>
      </c>
      <c r="M262" s="21">
        <v>4</v>
      </c>
      <c r="P262" s="24">
        <f>J262+L262+N262</f>
        <v>12</v>
      </c>
      <c r="Q262" s="24">
        <f>K262+M262+O262</f>
        <v>8</v>
      </c>
      <c r="R262" s="24">
        <v>0.6</v>
      </c>
      <c r="S262" s="21" t="s">
        <v>387</v>
      </c>
      <c r="U262" s="21" t="s">
        <v>287</v>
      </c>
      <c r="V262" s="21" t="s">
        <v>286</v>
      </c>
      <c r="W262" s="21">
        <v>30</v>
      </c>
      <c r="X262" s="21" t="s">
        <v>285</v>
      </c>
      <c r="Y262" s="21" t="s">
        <v>318</v>
      </c>
      <c r="Z262" s="21" t="s">
        <v>317</v>
      </c>
      <c r="AA262" s="21" t="s">
        <v>128</v>
      </c>
      <c r="AB262" s="21">
        <v>1</v>
      </c>
      <c r="AD262" s="24">
        <v>6.89</v>
      </c>
      <c r="AE262" s="24">
        <v>5.96</v>
      </c>
      <c r="AF262" s="21" t="s">
        <v>304</v>
      </c>
      <c r="AG262" s="21" t="s">
        <v>303</v>
      </c>
    </row>
    <row r="263" spans="1:33">
      <c r="A263" s="21" t="s">
        <v>309</v>
      </c>
      <c r="B263" s="21" t="s">
        <v>655</v>
      </c>
      <c r="C263" s="25">
        <v>46092.645833333336</v>
      </c>
      <c r="D263" s="21" t="s">
        <v>28</v>
      </c>
      <c r="E263" s="24">
        <v>4.22</v>
      </c>
      <c r="F263" s="24">
        <v>7.87</v>
      </c>
      <c r="G263" s="24">
        <f>E263-F263</f>
        <v>-3.6500000000000004</v>
      </c>
      <c r="H263" s="21" t="s">
        <v>294</v>
      </c>
      <c r="I263" s="21">
        <v>0</v>
      </c>
      <c r="J263" s="21">
        <v>1</v>
      </c>
      <c r="K263" s="21">
        <v>6</v>
      </c>
      <c r="L263" s="21">
        <v>0</v>
      </c>
      <c r="M263" s="21">
        <v>6</v>
      </c>
      <c r="P263" s="24">
        <f>J263+L263+N263</f>
        <v>1</v>
      </c>
      <c r="Q263" s="24">
        <f>K263+M263+O263</f>
        <v>12</v>
      </c>
      <c r="R263" s="24">
        <v>7.6923076923076927E-2</v>
      </c>
      <c r="S263" s="21" t="s">
        <v>308</v>
      </c>
      <c r="U263" s="21" t="s">
        <v>287</v>
      </c>
      <c r="V263" s="21" t="s">
        <v>286</v>
      </c>
      <c r="W263" s="21">
        <v>0</v>
      </c>
      <c r="X263" s="21" t="s">
        <v>312</v>
      </c>
      <c r="Y263" s="21" t="s">
        <v>326</v>
      </c>
      <c r="Z263" s="21" t="s">
        <v>325</v>
      </c>
      <c r="AA263" s="21" t="s">
        <v>309</v>
      </c>
      <c r="AB263" s="21">
        <v>1</v>
      </c>
      <c r="AD263" s="24">
        <v>4.22</v>
      </c>
      <c r="AE263" s="24">
        <v>8.57</v>
      </c>
      <c r="AF263" s="21" t="s">
        <v>304</v>
      </c>
      <c r="AG263" s="21" t="s">
        <v>303</v>
      </c>
    </row>
    <row r="264" spans="1:33">
      <c r="A264" s="21" t="s">
        <v>309</v>
      </c>
      <c r="B264" s="21" t="s">
        <v>655</v>
      </c>
      <c r="C264" s="25">
        <v>46094.625</v>
      </c>
      <c r="D264" s="21" t="s">
        <v>155</v>
      </c>
      <c r="E264" s="24">
        <v>4.22</v>
      </c>
      <c r="F264" s="24">
        <v>4.8499999999999996</v>
      </c>
      <c r="G264" s="24">
        <f>E264-F264</f>
        <v>-0.62999999999999989</v>
      </c>
      <c r="H264" s="21" t="s">
        <v>294</v>
      </c>
      <c r="I264" s="21">
        <v>0</v>
      </c>
      <c r="J264" s="21">
        <v>1</v>
      </c>
      <c r="K264" s="21">
        <v>6</v>
      </c>
      <c r="L264" s="21">
        <v>2</v>
      </c>
      <c r="M264" s="21">
        <v>6</v>
      </c>
      <c r="P264" s="24">
        <f>J264+L264+N264</f>
        <v>3</v>
      </c>
      <c r="Q264" s="24">
        <f>K264+M264+O264</f>
        <v>12</v>
      </c>
      <c r="R264" s="24">
        <v>0.2</v>
      </c>
      <c r="S264" s="21" t="s">
        <v>348</v>
      </c>
      <c r="U264" s="21" t="s">
        <v>287</v>
      </c>
      <c r="V264" s="21" t="s">
        <v>286</v>
      </c>
      <c r="W264" s="21">
        <v>1</v>
      </c>
      <c r="X264" s="21" t="s">
        <v>323</v>
      </c>
      <c r="Y264" s="21" t="s">
        <v>326</v>
      </c>
      <c r="Z264" s="21" t="s">
        <v>325</v>
      </c>
      <c r="AA264" s="21" t="s">
        <v>309</v>
      </c>
      <c r="AB264" s="21">
        <v>1</v>
      </c>
      <c r="AD264" s="24">
        <v>4.22</v>
      </c>
      <c r="AE264" s="24">
        <v>4.8499999999999996</v>
      </c>
      <c r="AF264" s="21" t="s">
        <v>322</v>
      </c>
      <c r="AG264" s="21" t="s">
        <v>301</v>
      </c>
    </row>
    <row r="265" spans="1:33">
      <c r="A265" s="21" t="s">
        <v>309</v>
      </c>
      <c r="B265" s="21" t="s">
        <v>655</v>
      </c>
      <c r="C265" s="25">
        <v>46105.625</v>
      </c>
      <c r="D265" s="21" t="s">
        <v>124</v>
      </c>
      <c r="E265" s="24">
        <v>4.22</v>
      </c>
      <c r="F265" s="24">
        <v>4.4000000000000004</v>
      </c>
      <c r="G265" s="24">
        <f>E265-F265</f>
        <v>-0.1800000000000006</v>
      </c>
      <c r="H265" s="21" t="s">
        <v>294</v>
      </c>
      <c r="I265" s="21">
        <v>0</v>
      </c>
      <c r="J265" s="21">
        <v>1</v>
      </c>
      <c r="K265" s="21">
        <v>6</v>
      </c>
      <c r="L265" s="21">
        <v>4</v>
      </c>
      <c r="M265" s="21">
        <v>6</v>
      </c>
      <c r="P265" s="24">
        <f>J265+L265+N265</f>
        <v>5</v>
      </c>
      <c r="Q265" s="24">
        <f>K265+M265+O265</f>
        <v>12</v>
      </c>
      <c r="R265" s="24">
        <v>0.29411764705882354</v>
      </c>
      <c r="S265" s="21" t="s">
        <v>747</v>
      </c>
      <c r="U265" s="21" t="s">
        <v>287</v>
      </c>
      <c r="V265" s="21" t="s">
        <v>286</v>
      </c>
      <c r="W265" s="21">
        <v>2</v>
      </c>
      <c r="X265" s="21" t="s">
        <v>310</v>
      </c>
      <c r="Y265" s="21" t="s">
        <v>326</v>
      </c>
      <c r="Z265" s="21" t="s">
        <v>325</v>
      </c>
      <c r="AA265" s="21" t="s">
        <v>309</v>
      </c>
      <c r="AB265" s="21">
        <v>1</v>
      </c>
      <c r="AD265" s="24">
        <v>4.22</v>
      </c>
      <c r="AE265" s="24">
        <v>6.17</v>
      </c>
      <c r="AF265" s="21" t="s">
        <v>322</v>
      </c>
      <c r="AG265" s="21" t="s">
        <v>301</v>
      </c>
    </row>
    <row r="266" spans="1:33">
      <c r="A266" s="21" t="s">
        <v>309</v>
      </c>
      <c r="B266" s="21" t="s">
        <v>655</v>
      </c>
      <c r="C266" s="25">
        <v>46106.645833333336</v>
      </c>
      <c r="D266" s="21" t="s">
        <v>228</v>
      </c>
      <c r="E266" s="24">
        <v>4.22</v>
      </c>
      <c r="F266" s="24">
        <v>9.11</v>
      </c>
      <c r="G266" s="24">
        <f>E266-F266</f>
        <v>-4.8899999999999997</v>
      </c>
      <c r="H266" s="21" t="s">
        <v>294</v>
      </c>
      <c r="I266" s="21">
        <v>0</v>
      </c>
      <c r="J266" s="21">
        <v>0</v>
      </c>
      <c r="K266" s="21">
        <v>6</v>
      </c>
      <c r="L266" s="21">
        <v>1</v>
      </c>
      <c r="M266" s="21">
        <v>6</v>
      </c>
      <c r="P266" s="24">
        <f>J266+L266+N266</f>
        <v>1</v>
      </c>
      <c r="Q266" s="24">
        <f>K266+M266+O266</f>
        <v>12</v>
      </c>
      <c r="R266" s="24">
        <v>7.6923076923076927E-2</v>
      </c>
      <c r="S266" s="21" t="s">
        <v>332</v>
      </c>
      <c r="U266" s="21" t="s">
        <v>287</v>
      </c>
      <c r="V266" s="21" t="s">
        <v>286</v>
      </c>
      <c r="W266" s="21">
        <v>3</v>
      </c>
      <c r="X266" s="21" t="s">
        <v>285</v>
      </c>
      <c r="Y266" s="21" t="s">
        <v>326</v>
      </c>
      <c r="Z266" s="21" t="s">
        <v>325</v>
      </c>
      <c r="AA266" s="21" t="s">
        <v>309</v>
      </c>
      <c r="AB266" s="21">
        <v>1</v>
      </c>
      <c r="AD266" s="24">
        <v>4.22</v>
      </c>
      <c r="AE266" s="24">
        <v>8.76</v>
      </c>
      <c r="AF266" s="21" t="s">
        <v>302</v>
      </c>
      <c r="AG266" s="21" t="s">
        <v>301</v>
      </c>
    </row>
    <row r="267" spans="1:33">
      <c r="A267" s="21" t="s">
        <v>309</v>
      </c>
      <c r="B267" s="21" t="s">
        <v>655</v>
      </c>
      <c r="C267" s="25">
        <v>46111.645833333336</v>
      </c>
      <c r="D267" s="21" t="s">
        <v>107</v>
      </c>
      <c r="E267" s="24">
        <v>4.22</v>
      </c>
      <c r="F267" s="24">
        <v>5.7</v>
      </c>
      <c r="G267" s="24">
        <f>E267-F267</f>
        <v>-1.4800000000000004</v>
      </c>
      <c r="H267" s="21" t="s">
        <v>294</v>
      </c>
      <c r="I267" s="21">
        <v>0</v>
      </c>
      <c r="J267" s="21">
        <v>7</v>
      </c>
      <c r="K267" s="21">
        <v>6</v>
      </c>
      <c r="L267" s="21">
        <v>1</v>
      </c>
      <c r="M267" s="21">
        <v>6</v>
      </c>
      <c r="N267" s="21">
        <v>0</v>
      </c>
      <c r="O267" s="21">
        <v>6</v>
      </c>
      <c r="P267" s="24">
        <f>J267+L267+N267</f>
        <v>8</v>
      </c>
      <c r="Q267" s="24">
        <f>K267+M267+O267</f>
        <v>18</v>
      </c>
      <c r="R267" s="24">
        <v>0.50322580645161286</v>
      </c>
      <c r="S267" s="21" t="s">
        <v>614</v>
      </c>
      <c r="U267" s="21" t="s">
        <v>287</v>
      </c>
      <c r="V267" s="21" t="s">
        <v>286</v>
      </c>
      <c r="W267" s="21">
        <v>4</v>
      </c>
      <c r="X267" s="21" t="s">
        <v>285</v>
      </c>
      <c r="Y267" s="21" t="s">
        <v>326</v>
      </c>
      <c r="Z267" s="21" t="s">
        <v>325</v>
      </c>
      <c r="AA267" s="21" t="s">
        <v>309</v>
      </c>
      <c r="AB267" s="21">
        <v>1</v>
      </c>
      <c r="AD267" s="24">
        <v>4.22</v>
      </c>
      <c r="AE267" s="24">
        <v>6</v>
      </c>
      <c r="AF267" s="21" t="s">
        <v>302</v>
      </c>
      <c r="AG267" s="21" t="s">
        <v>301</v>
      </c>
    </row>
    <row r="268" spans="1:33">
      <c r="A268" s="21" t="s">
        <v>309</v>
      </c>
      <c r="B268" s="21" t="s">
        <v>655</v>
      </c>
      <c r="C268" s="25">
        <v>46112.645833333336</v>
      </c>
      <c r="D268" s="21" t="s">
        <v>184</v>
      </c>
      <c r="E268" s="24">
        <v>4.22</v>
      </c>
      <c r="F268" s="24">
        <v>4.38</v>
      </c>
      <c r="G268" s="24">
        <f>E268-F268</f>
        <v>-0.16000000000000014</v>
      </c>
      <c r="H268" s="21" t="s">
        <v>294</v>
      </c>
      <c r="I268" s="21">
        <v>0</v>
      </c>
      <c r="J268" s="21">
        <v>0</v>
      </c>
      <c r="K268" s="21">
        <v>6</v>
      </c>
      <c r="L268" s="21">
        <v>1</v>
      </c>
      <c r="M268" s="21">
        <v>6</v>
      </c>
      <c r="P268" s="24">
        <f>J268+L268+N268</f>
        <v>1</v>
      </c>
      <c r="Q268" s="24">
        <f>K268+M268+O268</f>
        <v>12</v>
      </c>
      <c r="R268" s="24">
        <v>7.6923076923076927E-2</v>
      </c>
      <c r="S268" s="21" t="s">
        <v>523</v>
      </c>
      <c r="U268" s="21" t="s">
        <v>287</v>
      </c>
      <c r="V268" s="21" t="s">
        <v>286</v>
      </c>
      <c r="W268" s="21">
        <v>5</v>
      </c>
      <c r="X268" s="21" t="s">
        <v>285</v>
      </c>
      <c r="Y268" s="21" t="s">
        <v>326</v>
      </c>
      <c r="Z268" s="21" t="s">
        <v>325</v>
      </c>
      <c r="AA268" s="21" t="s">
        <v>309</v>
      </c>
      <c r="AB268" s="21">
        <v>1</v>
      </c>
      <c r="AD268" s="24">
        <v>4.22</v>
      </c>
      <c r="AE268" s="24">
        <v>4.96</v>
      </c>
      <c r="AF268" s="21" t="s">
        <v>304</v>
      </c>
      <c r="AG268" s="21" t="s">
        <v>303</v>
      </c>
    </row>
    <row r="269" spans="1:33">
      <c r="A269" s="21" t="s">
        <v>309</v>
      </c>
      <c r="B269" s="21" t="s">
        <v>655</v>
      </c>
      <c r="C269" s="25">
        <v>46119.645833333336</v>
      </c>
      <c r="D269" s="21" t="s">
        <v>65</v>
      </c>
      <c r="E269" s="24">
        <v>3.63</v>
      </c>
      <c r="F269" s="24">
        <v>7.14</v>
      </c>
      <c r="G269" s="24">
        <f>E269-F269</f>
        <v>-3.51</v>
      </c>
      <c r="H269" s="21" t="s">
        <v>294</v>
      </c>
      <c r="I269" s="21">
        <v>0</v>
      </c>
      <c r="J269" s="21">
        <v>0</v>
      </c>
      <c r="K269" s="21">
        <v>6</v>
      </c>
      <c r="L269" s="21">
        <v>0</v>
      </c>
      <c r="M269" s="21">
        <v>6</v>
      </c>
      <c r="P269" s="24">
        <f>J269+L269+N269</f>
        <v>0</v>
      </c>
      <c r="Q269" s="24">
        <f>K269+M269+O269</f>
        <v>12</v>
      </c>
      <c r="R269" s="24">
        <v>0</v>
      </c>
      <c r="S269" s="21" t="s">
        <v>378</v>
      </c>
      <c r="U269" s="21" t="s">
        <v>287</v>
      </c>
      <c r="V269" s="21" t="s">
        <v>286</v>
      </c>
      <c r="W269" s="21">
        <v>6</v>
      </c>
      <c r="X269" s="21" t="s">
        <v>285</v>
      </c>
      <c r="Y269" s="21" t="s">
        <v>326</v>
      </c>
      <c r="Z269" s="21" t="s">
        <v>325</v>
      </c>
      <c r="AA269" s="21" t="s">
        <v>309</v>
      </c>
      <c r="AB269" s="21">
        <v>1</v>
      </c>
      <c r="AD269" s="24">
        <v>4.22</v>
      </c>
      <c r="AE269" s="24">
        <v>8.31</v>
      </c>
      <c r="AF269" s="21" t="s">
        <v>304</v>
      </c>
      <c r="AG269" s="21" t="s">
        <v>303</v>
      </c>
    </row>
    <row r="270" spans="1:33">
      <c r="A270" s="21" t="s">
        <v>309</v>
      </c>
      <c r="B270" s="21" t="s">
        <v>655</v>
      </c>
      <c r="C270" s="25">
        <v>46121.625</v>
      </c>
      <c r="D270" s="21" t="s">
        <v>143</v>
      </c>
      <c r="E270" s="24">
        <v>3.63</v>
      </c>
      <c r="F270" s="24">
        <v>6.48</v>
      </c>
      <c r="G270" s="24">
        <f>E270-F270</f>
        <v>-2.8500000000000005</v>
      </c>
      <c r="H270" s="21" t="s">
        <v>294</v>
      </c>
      <c r="I270" s="21">
        <v>0</v>
      </c>
      <c r="J270" s="21">
        <v>0</v>
      </c>
      <c r="K270" s="21">
        <v>6</v>
      </c>
      <c r="L270" s="21">
        <v>0</v>
      </c>
      <c r="M270" s="21">
        <v>6</v>
      </c>
      <c r="P270" s="24">
        <f>J270+L270+N270</f>
        <v>0</v>
      </c>
      <c r="Q270" s="24">
        <f>K270+M270+O270</f>
        <v>12</v>
      </c>
      <c r="R270" s="24">
        <v>0</v>
      </c>
      <c r="S270" s="21" t="s">
        <v>382</v>
      </c>
      <c r="U270" s="21" t="s">
        <v>287</v>
      </c>
      <c r="V270" s="21" t="s">
        <v>286</v>
      </c>
      <c r="W270" s="21">
        <v>7</v>
      </c>
      <c r="X270" s="21" t="s">
        <v>285</v>
      </c>
      <c r="Y270" s="21" t="s">
        <v>326</v>
      </c>
      <c r="Z270" s="21" t="s">
        <v>325</v>
      </c>
      <c r="AA270" s="21" t="s">
        <v>309</v>
      </c>
      <c r="AB270" s="21">
        <v>1</v>
      </c>
      <c r="AD270" s="24">
        <v>4.22</v>
      </c>
      <c r="AE270" s="24">
        <v>7.19</v>
      </c>
      <c r="AF270" s="21" t="s">
        <v>302</v>
      </c>
      <c r="AG270" s="21" t="s">
        <v>301</v>
      </c>
    </row>
    <row r="271" spans="1:33">
      <c r="A271" s="21" t="s">
        <v>309</v>
      </c>
      <c r="B271" s="21" t="s">
        <v>655</v>
      </c>
      <c r="C271" s="25">
        <v>46122.645833333336</v>
      </c>
      <c r="D271" s="21" t="s">
        <v>14</v>
      </c>
      <c r="E271" s="24">
        <v>3.63</v>
      </c>
      <c r="F271" s="24">
        <v>6.75</v>
      </c>
      <c r="G271" s="24">
        <f>E271-F271</f>
        <v>-3.12</v>
      </c>
      <c r="H271" s="21" t="s">
        <v>294</v>
      </c>
      <c r="I271" s="21">
        <v>0</v>
      </c>
      <c r="J271" s="21">
        <v>1</v>
      </c>
      <c r="K271" s="21">
        <v>6</v>
      </c>
      <c r="L271" s="21">
        <v>1</v>
      </c>
      <c r="M271" s="21">
        <v>6</v>
      </c>
      <c r="P271" s="24">
        <f>J271+L271+N271</f>
        <v>2</v>
      </c>
      <c r="Q271" s="24">
        <f>K271+M271+O271</f>
        <v>12</v>
      </c>
      <c r="R271" s="24">
        <v>0.14285714285714285</v>
      </c>
      <c r="S271" s="21" t="s">
        <v>476</v>
      </c>
      <c r="U271" s="21" t="s">
        <v>287</v>
      </c>
      <c r="V271" s="21" t="s">
        <v>286</v>
      </c>
      <c r="W271" s="21">
        <v>8</v>
      </c>
      <c r="X271" s="21" t="s">
        <v>285</v>
      </c>
      <c r="Y271" s="21" t="s">
        <v>326</v>
      </c>
      <c r="Z271" s="21" t="s">
        <v>325</v>
      </c>
      <c r="AA271" s="21" t="s">
        <v>309</v>
      </c>
      <c r="AB271" s="21">
        <v>1</v>
      </c>
      <c r="AD271" s="24">
        <v>4.22</v>
      </c>
      <c r="AE271" s="24">
        <v>8.06</v>
      </c>
      <c r="AF271" s="21" t="s">
        <v>302</v>
      </c>
      <c r="AG271" s="21" t="s">
        <v>301</v>
      </c>
    </row>
    <row r="272" spans="1:33">
      <c r="A272" s="21" t="s">
        <v>228</v>
      </c>
      <c r="B272" s="21" t="s">
        <v>329</v>
      </c>
      <c r="C272" s="25">
        <v>46018</v>
      </c>
      <c r="D272" s="21" t="s">
        <v>746</v>
      </c>
      <c r="E272" s="24">
        <v>8.76</v>
      </c>
      <c r="F272" s="24">
        <v>9.91</v>
      </c>
      <c r="G272" s="24">
        <f>E272-F272</f>
        <v>-1.1500000000000004</v>
      </c>
      <c r="H272" s="21" t="s">
        <v>294</v>
      </c>
      <c r="I272" s="21">
        <v>0</v>
      </c>
      <c r="J272" s="21">
        <v>2</v>
      </c>
      <c r="K272" s="21">
        <v>6</v>
      </c>
      <c r="L272" s="21">
        <v>3</v>
      </c>
      <c r="M272" s="21">
        <v>6</v>
      </c>
      <c r="P272" s="24">
        <f>J272+L272+N272</f>
        <v>5</v>
      </c>
      <c r="Q272" s="24">
        <f>K272+M272+O272</f>
        <v>12</v>
      </c>
      <c r="R272" s="24">
        <v>0.29411764705882354</v>
      </c>
      <c r="S272" s="21" t="s">
        <v>483</v>
      </c>
      <c r="T272" s="21" t="s">
        <v>297</v>
      </c>
      <c r="U272" s="21" t="s">
        <v>292</v>
      </c>
      <c r="V272" s="21" t="s">
        <v>286</v>
      </c>
      <c r="W272" s="21">
        <v>0</v>
      </c>
      <c r="X272" s="21" t="s">
        <v>312</v>
      </c>
      <c r="Y272" s="21" t="s">
        <v>326</v>
      </c>
      <c r="Z272" s="21" t="s">
        <v>325</v>
      </c>
      <c r="AA272" s="21" t="s">
        <v>228</v>
      </c>
      <c r="AB272" s="21">
        <v>1</v>
      </c>
      <c r="AD272" s="24">
        <v>8.76</v>
      </c>
      <c r="AE272" s="24">
        <v>9.91</v>
      </c>
      <c r="AF272" s="21" t="s">
        <v>302</v>
      </c>
      <c r="AG272" s="21" t="s">
        <v>301</v>
      </c>
    </row>
    <row r="273" spans="1:33">
      <c r="A273" s="21" t="s">
        <v>228</v>
      </c>
      <c r="B273" s="21" t="s">
        <v>329</v>
      </c>
      <c r="C273" s="25">
        <v>46018</v>
      </c>
      <c r="D273" s="21" t="s">
        <v>745</v>
      </c>
      <c r="E273" s="24">
        <v>8.76</v>
      </c>
      <c r="F273" s="24">
        <v>9.43</v>
      </c>
      <c r="G273" s="24">
        <f>E273-F273</f>
        <v>-0.66999999999999993</v>
      </c>
      <c r="H273" s="21" t="s">
        <v>289</v>
      </c>
      <c r="I273" s="21">
        <v>1</v>
      </c>
      <c r="J273" s="21">
        <v>6</v>
      </c>
      <c r="K273" s="21">
        <v>1</v>
      </c>
      <c r="L273" s="21">
        <v>6</v>
      </c>
      <c r="M273" s="21">
        <v>4</v>
      </c>
      <c r="P273" s="24">
        <f>J273+L273+N273</f>
        <v>12</v>
      </c>
      <c r="Q273" s="24">
        <f>K273+M273+O273</f>
        <v>5</v>
      </c>
      <c r="R273" s="24">
        <v>0.70588235294117652</v>
      </c>
      <c r="S273" s="21" t="s">
        <v>483</v>
      </c>
      <c r="T273" s="21" t="s">
        <v>544</v>
      </c>
      <c r="U273" s="21" t="s">
        <v>292</v>
      </c>
      <c r="V273" s="21" t="s">
        <v>286</v>
      </c>
      <c r="W273" s="21">
        <v>0</v>
      </c>
      <c r="X273" s="21" t="s">
        <v>312</v>
      </c>
      <c r="Y273" s="21" t="s">
        <v>326</v>
      </c>
      <c r="Z273" s="21" t="s">
        <v>325</v>
      </c>
      <c r="AA273" s="21" t="s">
        <v>228</v>
      </c>
      <c r="AB273" s="21">
        <v>1</v>
      </c>
      <c r="AD273" s="24">
        <v>8.76</v>
      </c>
      <c r="AE273" s="24">
        <v>9.43</v>
      </c>
      <c r="AF273" s="21" t="s">
        <v>304</v>
      </c>
      <c r="AG273" s="21" t="s">
        <v>303</v>
      </c>
    </row>
    <row r="274" spans="1:33">
      <c r="A274" s="21" t="s">
        <v>228</v>
      </c>
      <c r="B274" s="21" t="s">
        <v>329</v>
      </c>
      <c r="C274" s="25">
        <v>46031</v>
      </c>
      <c r="D274" s="21" t="s">
        <v>455</v>
      </c>
      <c r="E274" s="24">
        <v>8.9</v>
      </c>
      <c r="F274" s="24">
        <v>9.98</v>
      </c>
      <c r="G274" s="24">
        <f>E274-F274</f>
        <v>-1.08</v>
      </c>
      <c r="H274" s="21" t="s">
        <v>294</v>
      </c>
      <c r="I274" s="21">
        <v>0</v>
      </c>
      <c r="J274" s="21">
        <v>1</v>
      </c>
      <c r="K274" s="21">
        <v>6</v>
      </c>
      <c r="L274" s="21">
        <v>3</v>
      </c>
      <c r="M274" s="21">
        <v>6</v>
      </c>
      <c r="P274" s="24">
        <f>J274+L274+N274</f>
        <v>4</v>
      </c>
      <c r="Q274" s="24">
        <f>K274+M274+O274</f>
        <v>12</v>
      </c>
      <c r="R274" s="24">
        <v>0.25</v>
      </c>
      <c r="S274" s="21" t="s">
        <v>452</v>
      </c>
      <c r="T274" s="21" t="s">
        <v>298</v>
      </c>
      <c r="U274" s="21" t="s">
        <v>292</v>
      </c>
      <c r="V274" s="21" t="s">
        <v>286</v>
      </c>
      <c r="W274" s="21">
        <v>2</v>
      </c>
      <c r="X274" s="21" t="s">
        <v>310</v>
      </c>
      <c r="Y274" s="21" t="s">
        <v>326</v>
      </c>
      <c r="Z274" s="21" t="s">
        <v>325</v>
      </c>
      <c r="AA274" s="21" t="s">
        <v>228</v>
      </c>
      <c r="AB274" s="21">
        <v>1</v>
      </c>
      <c r="AD274" s="24">
        <v>8.76</v>
      </c>
      <c r="AE274" s="24">
        <v>9.98</v>
      </c>
      <c r="AF274" s="21" t="s">
        <v>302</v>
      </c>
      <c r="AG274" s="21" t="s">
        <v>301</v>
      </c>
    </row>
    <row r="275" spans="1:33">
      <c r="A275" s="21" t="s">
        <v>228</v>
      </c>
      <c r="B275" s="21" t="s">
        <v>329</v>
      </c>
      <c r="C275" s="25">
        <v>46031</v>
      </c>
      <c r="D275" s="21" t="s">
        <v>584</v>
      </c>
      <c r="E275" s="24">
        <v>8.9</v>
      </c>
      <c r="F275" s="24">
        <v>11.27</v>
      </c>
      <c r="G275" s="24">
        <f>E275-F275</f>
        <v>-2.3699999999999992</v>
      </c>
      <c r="H275" s="21" t="s">
        <v>294</v>
      </c>
      <c r="I275" s="21">
        <v>0</v>
      </c>
      <c r="J275" s="21">
        <v>2</v>
      </c>
      <c r="K275" s="21">
        <v>6</v>
      </c>
      <c r="L275" s="21">
        <v>0</v>
      </c>
      <c r="M275" s="21">
        <v>6</v>
      </c>
      <c r="P275" s="24">
        <f>J275+L275+N275</f>
        <v>2</v>
      </c>
      <c r="Q275" s="24">
        <f>K275+M275+O275</f>
        <v>12</v>
      </c>
      <c r="R275" s="24">
        <v>0.14285714285714285</v>
      </c>
      <c r="S275" s="21" t="s">
        <v>452</v>
      </c>
      <c r="T275" s="21" t="s">
        <v>451</v>
      </c>
      <c r="U275" s="21" t="s">
        <v>292</v>
      </c>
      <c r="V275" s="21" t="s">
        <v>286</v>
      </c>
      <c r="W275" s="21">
        <v>2</v>
      </c>
      <c r="X275" s="21" t="s">
        <v>310</v>
      </c>
      <c r="Y275" s="21" t="s">
        <v>326</v>
      </c>
      <c r="Z275" s="21" t="s">
        <v>325</v>
      </c>
      <c r="AA275" s="21" t="s">
        <v>228</v>
      </c>
      <c r="AB275" s="21">
        <v>1</v>
      </c>
      <c r="AD275" s="24">
        <v>8.76</v>
      </c>
      <c r="AE275" s="24">
        <v>11.27</v>
      </c>
      <c r="AF275" s="21" t="s">
        <v>302</v>
      </c>
      <c r="AG275" s="21" t="s">
        <v>301</v>
      </c>
    </row>
    <row r="276" spans="1:33">
      <c r="A276" s="21" t="s">
        <v>228</v>
      </c>
      <c r="B276" s="21" t="s">
        <v>329</v>
      </c>
      <c r="C276" s="25">
        <v>46092.645833333336</v>
      </c>
      <c r="D276" s="21" t="s">
        <v>84</v>
      </c>
      <c r="E276" s="24">
        <v>9.09</v>
      </c>
      <c r="F276" s="24">
        <v>6.26</v>
      </c>
      <c r="G276" s="24">
        <f>E276-F276</f>
        <v>2.83</v>
      </c>
      <c r="H276" s="21" t="s">
        <v>289</v>
      </c>
      <c r="I276" s="21">
        <v>1</v>
      </c>
      <c r="J276" s="21">
        <v>6</v>
      </c>
      <c r="K276" s="21">
        <v>2</v>
      </c>
      <c r="L276" s="21">
        <v>6</v>
      </c>
      <c r="M276" s="21">
        <v>3</v>
      </c>
      <c r="P276" s="24">
        <f>J276+L276+N276</f>
        <v>12</v>
      </c>
      <c r="Q276" s="24">
        <f>K276+M276+O276</f>
        <v>5</v>
      </c>
      <c r="R276" s="24">
        <v>0.70588235294117652</v>
      </c>
      <c r="S276" s="21" t="s">
        <v>637</v>
      </c>
      <c r="U276" s="21" t="s">
        <v>287</v>
      </c>
      <c r="V276" s="21" t="s">
        <v>286</v>
      </c>
      <c r="W276" s="21">
        <v>4</v>
      </c>
      <c r="X276" s="21" t="s">
        <v>285</v>
      </c>
      <c r="Y276" s="21" t="s">
        <v>326</v>
      </c>
      <c r="Z276" s="21" t="s">
        <v>325</v>
      </c>
      <c r="AA276" s="21" t="s">
        <v>228</v>
      </c>
      <c r="AB276" s="21">
        <v>1</v>
      </c>
      <c r="AD276" s="24">
        <v>8.76</v>
      </c>
      <c r="AE276" s="24">
        <v>6.97</v>
      </c>
      <c r="AF276" s="21" t="s">
        <v>304</v>
      </c>
      <c r="AG276" s="21" t="s">
        <v>341</v>
      </c>
    </row>
    <row r="277" spans="1:33">
      <c r="A277" s="21" t="s">
        <v>228</v>
      </c>
      <c r="B277" s="21" t="s">
        <v>329</v>
      </c>
      <c r="C277" s="25">
        <v>46095</v>
      </c>
      <c r="D277" s="21" t="s">
        <v>78</v>
      </c>
      <c r="E277" s="24">
        <v>9.09</v>
      </c>
      <c r="F277" s="24">
        <v>10.27</v>
      </c>
      <c r="G277" s="24">
        <f>E277-F277</f>
        <v>-1.1799999999999997</v>
      </c>
      <c r="H277" s="21" t="s">
        <v>294</v>
      </c>
      <c r="I277" s="21">
        <v>0</v>
      </c>
      <c r="J277" s="21">
        <v>3</v>
      </c>
      <c r="K277" s="21">
        <v>6</v>
      </c>
      <c r="L277" s="21">
        <v>2</v>
      </c>
      <c r="M277" s="21">
        <v>6</v>
      </c>
      <c r="P277" s="24">
        <f>J277+L277+N277</f>
        <v>5</v>
      </c>
      <c r="Q277" s="24">
        <f>K277+M277+O277</f>
        <v>12</v>
      </c>
      <c r="R277" s="24">
        <v>0.29411764705882354</v>
      </c>
      <c r="S277" s="21" t="s">
        <v>241</v>
      </c>
      <c r="T277" s="21" t="s">
        <v>296</v>
      </c>
      <c r="U277" s="21" t="s">
        <v>292</v>
      </c>
      <c r="V277" s="21" t="s">
        <v>286</v>
      </c>
      <c r="W277" s="21">
        <v>5</v>
      </c>
      <c r="X277" s="21" t="s">
        <v>285</v>
      </c>
      <c r="Y277" s="21" t="s">
        <v>326</v>
      </c>
      <c r="Z277" s="21" t="s">
        <v>325</v>
      </c>
      <c r="AA277" s="21" t="s">
        <v>228</v>
      </c>
      <c r="AB277" s="21">
        <v>1</v>
      </c>
      <c r="AD277" s="24">
        <v>8.76</v>
      </c>
      <c r="AE277" s="24">
        <v>9.77</v>
      </c>
      <c r="AF277" s="21" t="s">
        <v>304</v>
      </c>
      <c r="AG277" s="21" t="s">
        <v>303</v>
      </c>
    </row>
    <row r="278" spans="1:33">
      <c r="A278" s="21" t="s">
        <v>228</v>
      </c>
      <c r="B278" s="21" t="s">
        <v>329</v>
      </c>
      <c r="C278" s="25">
        <v>46095</v>
      </c>
      <c r="D278" s="21" t="s">
        <v>744</v>
      </c>
      <c r="E278" s="24">
        <v>9.09</v>
      </c>
      <c r="F278" s="24">
        <v>7.91</v>
      </c>
      <c r="G278" s="24">
        <f>E278-F278</f>
        <v>1.1799999999999997</v>
      </c>
      <c r="H278" s="21" t="s">
        <v>289</v>
      </c>
      <c r="I278" s="21">
        <v>1</v>
      </c>
      <c r="J278" s="21">
        <v>6</v>
      </c>
      <c r="K278" s="21">
        <v>0</v>
      </c>
      <c r="L278" s="21">
        <v>6</v>
      </c>
      <c r="M278" s="21">
        <v>2</v>
      </c>
      <c r="P278" s="24">
        <f>J278+L278+N278</f>
        <v>12</v>
      </c>
      <c r="Q278" s="24">
        <f>K278+M278+O278</f>
        <v>2</v>
      </c>
      <c r="R278" s="24">
        <v>0.8571428571428571</v>
      </c>
      <c r="S278" s="21" t="s">
        <v>241</v>
      </c>
      <c r="T278" s="21" t="s">
        <v>297</v>
      </c>
      <c r="U278" s="21" t="s">
        <v>292</v>
      </c>
      <c r="V278" s="21" t="s">
        <v>286</v>
      </c>
      <c r="W278" s="21">
        <v>5</v>
      </c>
      <c r="X278" s="21" t="s">
        <v>285</v>
      </c>
      <c r="Y278" s="21" t="s">
        <v>326</v>
      </c>
      <c r="Z278" s="21" t="s">
        <v>325</v>
      </c>
      <c r="AA278" s="21" t="s">
        <v>228</v>
      </c>
      <c r="AB278" s="21">
        <v>1</v>
      </c>
      <c r="AD278" s="24">
        <v>8.76</v>
      </c>
      <c r="AE278" s="24">
        <v>7.91</v>
      </c>
      <c r="AF278" s="21" t="s">
        <v>304</v>
      </c>
      <c r="AG278" s="21" t="s">
        <v>303</v>
      </c>
    </row>
    <row r="279" spans="1:33">
      <c r="A279" s="21" t="s">
        <v>228</v>
      </c>
      <c r="B279" s="21" t="s">
        <v>329</v>
      </c>
      <c r="C279" s="25">
        <v>46095</v>
      </c>
      <c r="D279" s="21" t="s">
        <v>448</v>
      </c>
      <c r="E279" s="24">
        <v>9.09</v>
      </c>
      <c r="F279" s="24">
        <v>8.92</v>
      </c>
      <c r="G279" s="24">
        <f>E279-F279</f>
        <v>0.16999999999999993</v>
      </c>
      <c r="H279" s="21" t="s">
        <v>289</v>
      </c>
      <c r="I279" s="21">
        <v>1</v>
      </c>
      <c r="J279" s="21">
        <v>4</v>
      </c>
      <c r="K279" s="21">
        <v>2</v>
      </c>
      <c r="L279" s="21">
        <v>4</v>
      </c>
      <c r="M279" s="21">
        <v>2</v>
      </c>
      <c r="P279" s="24">
        <f>J279+L279+N279</f>
        <v>8</v>
      </c>
      <c r="Q279" s="24">
        <f>K279+M279+O279</f>
        <v>4</v>
      </c>
      <c r="R279" s="24">
        <v>0.66666666666666663</v>
      </c>
      <c r="S279" s="21" t="s">
        <v>241</v>
      </c>
      <c r="T279" s="21" t="s">
        <v>454</v>
      </c>
      <c r="U279" s="21" t="s">
        <v>292</v>
      </c>
      <c r="V279" s="21" t="s">
        <v>286</v>
      </c>
      <c r="W279" s="21">
        <v>5</v>
      </c>
      <c r="X279" s="21" t="s">
        <v>285</v>
      </c>
      <c r="Y279" s="21" t="s">
        <v>326</v>
      </c>
      <c r="Z279" s="21" t="s">
        <v>325</v>
      </c>
      <c r="AA279" s="21" t="s">
        <v>228</v>
      </c>
      <c r="AB279" s="21">
        <v>1</v>
      </c>
      <c r="AD279" s="24">
        <v>8.76</v>
      </c>
      <c r="AE279" s="24">
        <v>8.92</v>
      </c>
      <c r="AF279" s="21" t="s">
        <v>304</v>
      </c>
      <c r="AG279" s="21" t="s">
        <v>303</v>
      </c>
    </row>
    <row r="280" spans="1:33">
      <c r="A280" s="21" t="s">
        <v>228</v>
      </c>
      <c r="B280" s="21" t="s">
        <v>329</v>
      </c>
      <c r="C280" s="25">
        <v>46095</v>
      </c>
      <c r="D280" s="21" t="s">
        <v>549</v>
      </c>
      <c r="E280" s="24">
        <v>9.09</v>
      </c>
      <c r="F280" s="24">
        <v>9.39</v>
      </c>
      <c r="G280" s="24">
        <f>E280-F280</f>
        <v>-0.30000000000000071</v>
      </c>
      <c r="H280" s="21" t="s">
        <v>294</v>
      </c>
      <c r="I280" s="21">
        <v>0</v>
      </c>
      <c r="J280" s="21">
        <v>3</v>
      </c>
      <c r="K280" s="21">
        <v>5</v>
      </c>
      <c r="L280" s="21">
        <v>1</v>
      </c>
      <c r="M280" s="21">
        <v>4</v>
      </c>
      <c r="P280" s="24">
        <f>J280+L280+N280</f>
        <v>4</v>
      </c>
      <c r="Q280" s="24">
        <f>K280+M280+O280</f>
        <v>9</v>
      </c>
      <c r="R280" s="24">
        <v>0.30769230769230771</v>
      </c>
      <c r="S280" s="21" t="s">
        <v>241</v>
      </c>
      <c r="T280" s="21" t="s">
        <v>420</v>
      </c>
      <c r="U280" s="21" t="s">
        <v>292</v>
      </c>
      <c r="V280" s="21" t="s">
        <v>286</v>
      </c>
      <c r="W280" s="21">
        <v>5</v>
      </c>
      <c r="X280" s="21" t="s">
        <v>285</v>
      </c>
      <c r="Y280" s="21" t="s">
        <v>326</v>
      </c>
      <c r="Z280" s="21" t="s">
        <v>325</v>
      </c>
      <c r="AA280" s="21" t="s">
        <v>228</v>
      </c>
      <c r="AB280" s="21">
        <v>1</v>
      </c>
      <c r="AD280" s="24">
        <v>8.76</v>
      </c>
      <c r="AE280" s="24">
        <v>9.39</v>
      </c>
      <c r="AF280" s="21" t="s">
        <v>302</v>
      </c>
      <c r="AG280" s="21" t="s">
        <v>301</v>
      </c>
    </row>
    <row r="281" spans="1:33">
      <c r="A281" s="21" t="s">
        <v>228</v>
      </c>
      <c r="B281" s="21" t="s">
        <v>329</v>
      </c>
      <c r="C281" s="25">
        <v>46099.645833333336</v>
      </c>
      <c r="D281" s="21" t="s">
        <v>28</v>
      </c>
      <c r="E281" s="24">
        <v>9.1</v>
      </c>
      <c r="F281" s="24">
        <v>7.88</v>
      </c>
      <c r="G281" s="24">
        <f>E281-F281</f>
        <v>1.2199999999999998</v>
      </c>
      <c r="H281" s="21" t="s">
        <v>289</v>
      </c>
      <c r="I281" s="21">
        <v>1</v>
      </c>
      <c r="J281" s="21">
        <v>6</v>
      </c>
      <c r="K281" s="21">
        <v>4</v>
      </c>
      <c r="L281" s="21">
        <v>4</v>
      </c>
      <c r="M281" s="21">
        <v>6</v>
      </c>
      <c r="N281" s="21">
        <v>6</v>
      </c>
      <c r="O281" s="21">
        <v>3</v>
      </c>
      <c r="P281" s="24">
        <f>J281+L281+N281</f>
        <v>16</v>
      </c>
      <c r="Q281" s="24">
        <f>K281+M281+O281</f>
        <v>13</v>
      </c>
      <c r="R281" s="24">
        <v>0.55172413793103448</v>
      </c>
      <c r="S281" s="21" t="s">
        <v>229</v>
      </c>
      <c r="U281" s="21" t="s">
        <v>287</v>
      </c>
      <c r="V281" s="21" t="s">
        <v>286</v>
      </c>
      <c r="W281" s="21">
        <v>9</v>
      </c>
      <c r="X281" s="21" t="s">
        <v>285</v>
      </c>
      <c r="Y281" s="21" t="s">
        <v>326</v>
      </c>
      <c r="Z281" s="21" t="s">
        <v>325</v>
      </c>
      <c r="AA281" s="21" t="s">
        <v>228</v>
      </c>
      <c r="AB281" s="21">
        <v>1</v>
      </c>
      <c r="AD281" s="24">
        <v>8.76</v>
      </c>
      <c r="AE281" s="24">
        <v>8.57</v>
      </c>
      <c r="AF281" s="21" t="s">
        <v>304</v>
      </c>
      <c r="AG281" s="21" t="s">
        <v>303</v>
      </c>
    </row>
    <row r="282" spans="1:33">
      <c r="A282" s="21" t="s">
        <v>228</v>
      </c>
      <c r="B282" s="21" t="s">
        <v>329</v>
      </c>
      <c r="C282" s="25">
        <v>46101.645833333336</v>
      </c>
      <c r="D282" s="21" t="s">
        <v>155</v>
      </c>
      <c r="E282" s="24">
        <v>9.1</v>
      </c>
      <c r="F282" s="24">
        <v>4.8499999999999996</v>
      </c>
      <c r="G282" s="24">
        <f>E282-F282</f>
        <v>4.25</v>
      </c>
      <c r="H282" s="21" t="s">
        <v>289</v>
      </c>
      <c r="I282" s="21">
        <v>1</v>
      </c>
      <c r="J282" s="21">
        <v>6</v>
      </c>
      <c r="K282" s="21">
        <v>0</v>
      </c>
      <c r="L282" s="21">
        <v>6</v>
      </c>
      <c r="M282" s="21">
        <v>2</v>
      </c>
      <c r="P282" s="24">
        <f>J282+L282+N282</f>
        <v>12</v>
      </c>
      <c r="Q282" s="24">
        <f>K282+M282+O282</f>
        <v>2</v>
      </c>
      <c r="R282" s="24">
        <v>0.8571428571428571</v>
      </c>
      <c r="S282" s="21" t="s">
        <v>346</v>
      </c>
      <c r="U282" s="21" t="s">
        <v>287</v>
      </c>
      <c r="V282" s="21" t="s">
        <v>286</v>
      </c>
      <c r="W282" s="21">
        <v>10</v>
      </c>
      <c r="X282" s="21" t="s">
        <v>285</v>
      </c>
      <c r="Y282" s="21" t="s">
        <v>326</v>
      </c>
      <c r="Z282" s="21" t="s">
        <v>325</v>
      </c>
      <c r="AA282" s="21" t="s">
        <v>228</v>
      </c>
      <c r="AB282" s="21">
        <v>1</v>
      </c>
      <c r="AD282" s="24">
        <v>8.76</v>
      </c>
      <c r="AE282" s="24">
        <v>4.8499999999999996</v>
      </c>
      <c r="AF282" s="21" t="s">
        <v>304</v>
      </c>
      <c r="AG282" s="21" t="s">
        <v>303</v>
      </c>
    </row>
    <row r="283" spans="1:33">
      <c r="A283" s="21" t="s">
        <v>228</v>
      </c>
      <c r="B283" s="21" t="s">
        <v>329</v>
      </c>
      <c r="C283" s="25">
        <v>46106.645833333336</v>
      </c>
      <c r="D283" s="21" t="s">
        <v>309</v>
      </c>
      <c r="E283" s="24">
        <v>9.11</v>
      </c>
      <c r="F283" s="24">
        <v>4.22</v>
      </c>
      <c r="G283" s="24">
        <f>E283-F283</f>
        <v>4.8899999999999997</v>
      </c>
      <c r="H283" s="21" t="s">
        <v>289</v>
      </c>
      <c r="I283" s="21">
        <v>1</v>
      </c>
      <c r="J283" s="21">
        <v>6</v>
      </c>
      <c r="K283" s="21">
        <v>0</v>
      </c>
      <c r="L283" s="21">
        <v>6</v>
      </c>
      <c r="M283" s="21">
        <v>1</v>
      </c>
      <c r="P283" s="24">
        <f>J283+L283+N283</f>
        <v>12</v>
      </c>
      <c r="Q283" s="24">
        <f>K283+M283+O283</f>
        <v>1</v>
      </c>
      <c r="R283" s="24">
        <v>0.92307692307692313</v>
      </c>
      <c r="S283" s="21" t="s">
        <v>332</v>
      </c>
      <c r="U283" s="21" t="s">
        <v>287</v>
      </c>
      <c r="V283" s="21" t="s">
        <v>286</v>
      </c>
      <c r="W283" s="21">
        <v>11</v>
      </c>
      <c r="X283" s="21" t="s">
        <v>285</v>
      </c>
      <c r="Y283" s="21" t="s">
        <v>326</v>
      </c>
      <c r="Z283" s="21" t="s">
        <v>325</v>
      </c>
      <c r="AA283" s="21" t="s">
        <v>228</v>
      </c>
      <c r="AB283" s="21">
        <v>1</v>
      </c>
      <c r="AD283" s="24">
        <v>8.76</v>
      </c>
      <c r="AE283" s="24">
        <v>4.22</v>
      </c>
      <c r="AF283" s="21" t="s">
        <v>302</v>
      </c>
      <c r="AG283" s="21" t="s">
        <v>301</v>
      </c>
    </row>
    <row r="284" spans="1:33">
      <c r="A284" s="21" t="s">
        <v>228</v>
      </c>
      <c r="B284" s="21" t="s">
        <v>329</v>
      </c>
      <c r="C284" s="25">
        <v>46107.645833333336</v>
      </c>
      <c r="D284" s="21" t="s">
        <v>124</v>
      </c>
      <c r="E284" s="24">
        <v>9.11</v>
      </c>
      <c r="F284" s="24">
        <v>4.4000000000000004</v>
      </c>
      <c r="G284" s="24">
        <f>E284-F284</f>
        <v>4.7099999999999991</v>
      </c>
      <c r="H284" s="21" t="s">
        <v>289</v>
      </c>
      <c r="I284" s="21">
        <v>1</v>
      </c>
      <c r="J284" s="21">
        <v>6</v>
      </c>
      <c r="K284" s="21">
        <v>0</v>
      </c>
      <c r="L284" s="21">
        <v>6</v>
      </c>
      <c r="M284" s="21">
        <v>1</v>
      </c>
      <c r="P284" s="24">
        <f>J284+L284+N284</f>
        <v>12</v>
      </c>
      <c r="Q284" s="24">
        <f>K284+M284+O284</f>
        <v>1</v>
      </c>
      <c r="R284" s="24">
        <v>0.92307692307692313</v>
      </c>
      <c r="S284" s="21" t="s">
        <v>743</v>
      </c>
      <c r="U284" s="21" t="s">
        <v>287</v>
      </c>
      <c r="V284" s="21" t="s">
        <v>286</v>
      </c>
      <c r="W284" s="21">
        <v>12</v>
      </c>
      <c r="X284" s="21" t="s">
        <v>285</v>
      </c>
      <c r="Y284" s="21" t="s">
        <v>326</v>
      </c>
      <c r="Z284" s="21" t="s">
        <v>325</v>
      </c>
      <c r="AA284" s="21" t="s">
        <v>228</v>
      </c>
      <c r="AB284" s="21">
        <v>1</v>
      </c>
      <c r="AD284" s="24">
        <v>8.76</v>
      </c>
      <c r="AE284" s="24">
        <v>6.17</v>
      </c>
      <c r="AF284" s="21" t="s">
        <v>302</v>
      </c>
      <c r="AG284" s="21" t="s">
        <v>301</v>
      </c>
    </row>
    <row r="285" spans="1:33">
      <c r="A285" s="21" t="s">
        <v>228</v>
      </c>
      <c r="B285" s="21" t="s">
        <v>329</v>
      </c>
      <c r="C285" s="25">
        <v>46111.645833333336</v>
      </c>
      <c r="D285" s="21" t="s">
        <v>143</v>
      </c>
      <c r="E285" s="24">
        <v>9.11</v>
      </c>
      <c r="F285" s="24">
        <v>6.42</v>
      </c>
      <c r="G285" s="24">
        <f>E285-F285</f>
        <v>2.6899999999999995</v>
      </c>
      <c r="H285" s="21" t="s">
        <v>289</v>
      </c>
      <c r="I285" s="21">
        <v>1</v>
      </c>
      <c r="J285" s="21">
        <v>5</v>
      </c>
      <c r="K285" s="21">
        <v>7</v>
      </c>
      <c r="L285" s="21">
        <v>6</v>
      </c>
      <c r="M285" s="21">
        <v>4</v>
      </c>
      <c r="N285" s="21">
        <v>7</v>
      </c>
      <c r="O285" s="21">
        <v>6</v>
      </c>
      <c r="P285" s="24">
        <f>J285+L285+N285</f>
        <v>18</v>
      </c>
      <c r="Q285" s="24">
        <f>K285+M285+O285</f>
        <v>17</v>
      </c>
      <c r="R285" s="24">
        <v>0.55345911949685533</v>
      </c>
      <c r="S285" s="21" t="s">
        <v>331</v>
      </c>
      <c r="U285" s="21" t="s">
        <v>287</v>
      </c>
      <c r="V285" s="21" t="s">
        <v>286</v>
      </c>
      <c r="W285" s="21">
        <v>13</v>
      </c>
      <c r="X285" s="21" t="s">
        <v>285</v>
      </c>
      <c r="Y285" s="21" t="s">
        <v>326</v>
      </c>
      <c r="Z285" s="21" t="s">
        <v>325</v>
      </c>
      <c r="AA285" s="21" t="s">
        <v>228</v>
      </c>
      <c r="AB285" s="21">
        <v>1</v>
      </c>
      <c r="AD285" s="24">
        <v>8.76</v>
      </c>
      <c r="AE285" s="24">
        <v>7.19</v>
      </c>
      <c r="AF285" s="21" t="s">
        <v>302</v>
      </c>
      <c r="AG285" s="21" t="s">
        <v>301</v>
      </c>
    </row>
    <row r="286" spans="1:33">
      <c r="A286" s="21" t="s">
        <v>228</v>
      </c>
      <c r="B286" s="21" t="s">
        <v>329</v>
      </c>
      <c r="C286" s="25">
        <v>46118.645833333336</v>
      </c>
      <c r="D286" s="21" t="s">
        <v>61</v>
      </c>
      <c r="E286" s="24">
        <v>9.09</v>
      </c>
      <c r="F286" s="24">
        <v>6.41</v>
      </c>
      <c r="G286" s="24">
        <f>E286-F286</f>
        <v>2.6799999999999997</v>
      </c>
      <c r="H286" s="21" t="s">
        <v>289</v>
      </c>
      <c r="I286" s="21">
        <v>1</v>
      </c>
      <c r="J286" s="21">
        <v>6</v>
      </c>
      <c r="K286" s="21">
        <v>0</v>
      </c>
      <c r="L286" s="21">
        <v>6</v>
      </c>
      <c r="M286" s="21">
        <v>2</v>
      </c>
      <c r="P286" s="24">
        <f>J286+L286+N286</f>
        <v>12</v>
      </c>
      <c r="Q286" s="24">
        <f>K286+M286+O286</f>
        <v>2</v>
      </c>
      <c r="R286" s="24">
        <v>0.8571428571428571</v>
      </c>
      <c r="S286" s="21" t="s">
        <v>172</v>
      </c>
      <c r="U286" s="21" t="s">
        <v>287</v>
      </c>
      <c r="V286" s="21" t="s">
        <v>286</v>
      </c>
      <c r="W286" s="21">
        <v>14</v>
      </c>
      <c r="X286" s="21" t="s">
        <v>285</v>
      </c>
      <c r="Y286" s="21" t="s">
        <v>326</v>
      </c>
      <c r="Z286" s="21" t="s">
        <v>325</v>
      </c>
      <c r="AA286" s="21" t="s">
        <v>228</v>
      </c>
      <c r="AB286" s="21">
        <v>1</v>
      </c>
      <c r="AD286" s="24">
        <v>8.76</v>
      </c>
      <c r="AE286" s="24">
        <v>6.95</v>
      </c>
      <c r="AF286" s="21" t="s">
        <v>304</v>
      </c>
      <c r="AG286" s="21" t="s">
        <v>303</v>
      </c>
    </row>
    <row r="287" spans="1:33">
      <c r="A287" s="21" t="s">
        <v>228</v>
      </c>
      <c r="B287" s="21" t="s">
        <v>329</v>
      </c>
      <c r="C287" s="25">
        <v>46120.645833333336</v>
      </c>
      <c r="D287" s="21" t="s">
        <v>107</v>
      </c>
      <c r="E287" s="24">
        <v>9.08</v>
      </c>
      <c r="F287" s="24">
        <v>5.68</v>
      </c>
      <c r="G287" s="24">
        <f>E287-F287</f>
        <v>3.4000000000000004</v>
      </c>
      <c r="H287" s="21" t="s">
        <v>289</v>
      </c>
      <c r="I287" s="21">
        <v>1</v>
      </c>
      <c r="J287" s="21">
        <v>6</v>
      </c>
      <c r="K287" s="21">
        <v>0</v>
      </c>
      <c r="L287" s="21">
        <v>6</v>
      </c>
      <c r="M287" s="21">
        <v>1</v>
      </c>
      <c r="P287" s="24">
        <f>J287+L287+N287</f>
        <v>12</v>
      </c>
      <c r="Q287" s="24">
        <f>K287+M287+O287</f>
        <v>1</v>
      </c>
      <c r="R287" s="24">
        <v>0.92307692307692313</v>
      </c>
      <c r="S287" s="21" t="s">
        <v>330</v>
      </c>
      <c r="U287" s="21" t="s">
        <v>287</v>
      </c>
      <c r="V287" s="21" t="s">
        <v>286</v>
      </c>
      <c r="W287" s="21">
        <v>15</v>
      </c>
      <c r="X287" s="21" t="s">
        <v>285</v>
      </c>
      <c r="Y287" s="21" t="s">
        <v>326</v>
      </c>
      <c r="Z287" s="21" t="s">
        <v>325</v>
      </c>
      <c r="AA287" s="21" t="s">
        <v>228</v>
      </c>
      <c r="AB287" s="21">
        <v>1</v>
      </c>
      <c r="AD287" s="24">
        <v>8.76</v>
      </c>
      <c r="AE287" s="24">
        <v>6</v>
      </c>
      <c r="AF287" s="21" t="s">
        <v>302</v>
      </c>
      <c r="AG287" s="21" t="s">
        <v>301</v>
      </c>
    </row>
    <row r="288" spans="1:33">
      <c r="A288" s="21" t="s">
        <v>228</v>
      </c>
      <c r="B288" s="21" t="s">
        <v>329</v>
      </c>
      <c r="C288" s="25">
        <v>46140.665972222225</v>
      </c>
      <c r="D288" s="21" t="s">
        <v>742</v>
      </c>
      <c r="E288" s="24">
        <v>9.07</v>
      </c>
      <c r="F288" s="24">
        <v>5.01</v>
      </c>
      <c r="G288" s="24">
        <f>E288-F288</f>
        <v>4.0600000000000005</v>
      </c>
      <c r="H288" s="21" t="s">
        <v>289</v>
      </c>
      <c r="I288" s="21">
        <v>1</v>
      </c>
      <c r="J288" s="21">
        <v>6</v>
      </c>
      <c r="K288" s="21">
        <v>1</v>
      </c>
      <c r="L288" s="21">
        <v>6</v>
      </c>
      <c r="M288" s="21">
        <v>0</v>
      </c>
      <c r="P288" s="24">
        <f>J288+L288+N288</f>
        <v>12</v>
      </c>
      <c r="Q288" s="24">
        <f>K288+M288+O288</f>
        <v>1</v>
      </c>
      <c r="R288" s="24">
        <v>0.92307692307692313</v>
      </c>
      <c r="S288" s="21" t="s">
        <v>29</v>
      </c>
      <c r="T288" s="21" t="s">
        <v>295</v>
      </c>
      <c r="U288" s="21" t="s">
        <v>292</v>
      </c>
      <c r="V288" s="21" t="s">
        <v>286</v>
      </c>
      <c r="W288" s="21">
        <v>16</v>
      </c>
      <c r="X288" s="21" t="s">
        <v>285</v>
      </c>
      <c r="Y288" s="21" t="s">
        <v>326</v>
      </c>
      <c r="Z288" s="21" t="s">
        <v>325</v>
      </c>
      <c r="AA288" s="21" t="s">
        <v>228</v>
      </c>
      <c r="AB288" s="21">
        <v>1</v>
      </c>
      <c r="AD288" s="24">
        <v>8.76</v>
      </c>
      <c r="AE288" s="24">
        <v>5.01</v>
      </c>
      <c r="AF288" s="21" t="s">
        <v>302</v>
      </c>
      <c r="AG288" s="21" t="s">
        <v>301</v>
      </c>
    </row>
    <row r="289" spans="1:33">
      <c r="A289" s="21" t="s">
        <v>228</v>
      </c>
      <c r="B289" s="21" t="s">
        <v>329</v>
      </c>
      <c r="C289" s="25">
        <v>46140.666666666664</v>
      </c>
      <c r="D289" s="21" t="s">
        <v>422</v>
      </c>
      <c r="E289" s="24">
        <v>9.07</v>
      </c>
      <c r="F289" s="24">
        <v>8.77</v>
      </c>
      <c r="G289" s="24">
        <f>E289-F289</f>
        <v>0.30000000000000071</v>
      </c>
      <c r="H289" s="21" t="s">
        <v>294</v>
      </c>
      <c r="I289" s="21">
        <v>0</v>
      </c>
      <c r="J289" s="21">
        <v>3</v>
      </c>
      <c r="K289" s="21">
        <v>6</v>
      </c>
      <c r="L289" s="21">
        <v>0</v>
      </c>
      <c r="M289" s="21">
        <v>6</v>
      </c>
      <c r="P289" s="24">
        <f>J289+L289+N289</f>
        <v>3</v>
      </c>
      <c r="Q289" s="24">
        <f>K289+M289+O289</f>
        <v>12</v>
      </c>
      <c r="R289" s="24">
        <v>0.2</v>
      </c>
      <c r="S289" s="21" t="s">
        <v>29</v>
      </c>
      <c r="T289" s="21" t="s">
        <v>293</v>
      </c>
      <c r="U289" s="21" t="s">
        <v>292</v>
      </c>
      <c r="V289" s="21" t="s">
        <v>286</v>
      </c>
      <c r="W289" s="21">
        <v>17</v>
      </c>
      <c r="X289" s="21" t="s">
        <v>285</v>
      </c>
      <c r="Y289" s="21" t="s">
        <v>326</v>
      </c>
      <c r="Z289" s="21" t="s">
        <v>325</v>
      </c>
      <c r="AA289" s="21" t="s">
        <v>228</v>
      </c>
      <c r="AB289" s="21">
        <v>1</v>
      </c>
      <c r="AD289" s="24">
        <v>8.76</v>
      </c>
      <c r="AE289" s="24">
        <v>9</v>
      </c>
      <c r="AF289" s="21" t="s">
        <v>302</v>
      </c>
      <c r="AG289" s="21" t="s">
        <v>301</v>
      </c>
    </row>
    <row r="290" spans="1:33">
      <c r="A290" s="21" t="s">
        <v>496</v>
      </c>
      <c r="B290" s="21" t="s">
        <v>461</v>
      </c>
      <c r="C290" s="25">
        <v>46091.645833333336</v>
      </c>
      <c r="D290" s="21" t="s">
        <v>206</v>
      </c>
      <c r="E290" s="24">
        <v>4.83</v>
      </c>
      <c r="F290" s="24">
        <v>5.9</v>
      </c>
      <c r="G290" s="24">
        <f>E290-F290</f>
        <v>-1.0700000000000003</v>
      </c>
      <c r="H290" s="21" t="s">
        <v>294</v>
      </c>
      <c r="I290" s="21">
        <v>0</v>
      </c>
      <c r="J290" s="21">
        <v>0</v>
      </c>
      <c r="K290" s="21">
        <v>6</v>
      </c>
      <c r="L290" s="21">
        <v>0</v>
      </c>
      <c r="M290" s="21">
        <v>6</v>
      </c>
      <c r="P290" s="24">
        <f>J290+L290+N290</f>
        <v>0</v>
      </c>
      <c r="Q290" s="24">
        <f>K290+M290+O290</f>
        <v>12</v>
      </c>
      <c r="R290" s="24">
        <f>P290/(P290+Q290)</f>
        <v>0</v>
      </c>
      <c r="S290" s="21" t="s">
        <v>429</v>
      </c>
      <c r="U290" s="21" t="s">
        <v>287</v>
      </c>
      <c r="V290" s="21" t="s">
        <v>286</v>
      </c>
      <c r="W290" s="21">
        <v>0</v>
      </c>
      <c r="X290" s="21" t="s">
        <v>312</v>
      </c>
      <c r="Y290" s="21" t="s">
        <v>284</v>
      </c>
      <c r="Z290" s="21" t="s">
        <v>283</v>
      </c>
      <c r="AA290" s="21" t="s">
        <v>496</v>
      </c>
      <c r="AB290" s="21">
        <v>1</v>
      </c>
      <c r="AD290" s="24">
        <v>4.9400000000000004</v>
      </c>
      <c r="AE290" s="24">
        <v>5.62</v>
      </c>
      <c r="AF290" s="21" t="s">
        <v>322</v>
      </c>
      <c r="AG290" s="21" t="s">
        <v>301</v>
      </c>
    </row>
    <row r="291" spans="1:33">
      <c r="A291" s="21" t="s">
        <v>496</v>
      </c>
      <c r="B291" s="21" t="s">
        <v>461</v>
      </c>
      <c r="C291" s="25">
        <v>46092.645833333336</v>
      </c>
      <c r="D291" s="21" t="s">
        <v>529</v>
      </c>
      <c r="E291" s="24">
        <v>4.83</v>
      </c>
      <c r="F291" s="24">
        <v>3.77</v>
      </c>
      <c r="G291" s="24">
        <f>E291-F291</f>
        <v>1.06</v>
      </c>
      <c r="H291" s="21" t="s">
        <v>289</v>
      </c>
      <c r="I291" s="21">
        <v>1</v>
      </c>
      <c r="J291" s="21">
        <v>6</v>
      </c>
      <c r="K291" s="21">
        <v>0</v>
      </c>
      <c r="L291" s="21">
        <v>7</v>
      </c>
      <c r="M291" s="21">
        <v>6</v>
      </c>
      <c r="P291" s="24">
        <f>J291+L291+N291</f>
        <v>13</v>
      </c>
      <c r="Q291" s="24">
        <f>K291+M291+O291</f>
        <v>6</v>
      </c>
      <c r="R291" s="24">
        <f>P291/(P291+Q291)</f>
        <v>0.68421052631578949</v>
      </c>
      <c r="S291" s="21" t="s">
        <v>252</v>
      </c>
      <c r="U291" s="21" t="s">
        <v>287</v>
      </c>
      <c r="V291" s="21" t="s">
        <v>286</v>
      </c>
      <c r="W291" s="21">
        <v>1</v>
      </c>
      <c r="X291" s="21" t="s">
        <v>323</v>
      </c>
      <c r="Y291" s="21" t="s">
        <v>284</v>
      </c>
      <c r="Z291" s="21" t="s">
        <v>283</v>
      </c>
      <c r="AA291" s="21" t="s">
        <v>496</v>
      </c>
      <c r="AB291" s="21">
        <v>1</v>
      </c>
      <c r="AD291" s="24">
        <v>4.9400000000000004</v>
      </c>
      <c r="AE291" s="24">
        <v>3.77</v>
      </c>
      <c r="AF291" s="21" t="s">
        <v>322</v>
      </c>
      <c r="AG291" s="21" t="s">
        <v>301</v>
      </c>
    </row>
    <row r="292" spans="1:33">
      <c r="A292" s="21" t="s">
        <v>496</v>
      </c>
      <c r="B292" s="21" t="s">
        <v>461</v>
      </c>
      <c r="C292" s="25">
        <v>46094.145833333336</v>
      </c>
      <c r="D292" s="21" t="s">
        <v>674</v>
      </c>
      <c r="E292" s="24">
        <v>4.83</v>
      </c>
      <c r="F292" s="24">
        <v>3.87</v>
      </c>
      <c r="G292" s="24">
        <f>E292-F292</f>
        <v>0.96</v>
      </c>
      <c r="H292" s="21" t="s">
        <v>294</v>
      </c>
      <c r="I292" s="21">
        <v>0</v>
      </c>
      <c r="J292" s="21">
        <v>4</v>
      </c>
      <c r="K292" s="21">
        <v>6</v>
      </c>
      <c r="L292" s="21">
        <v>6</v>
      </c>
      <c r="M292" s="21">
        <v>4</v>
      </c>
      <c r="N292" s="21">
        <v>0</v>
      </c>
      <c r="O292" s="21">
        <v>1</v>
      </c>
      <c r="P292" s="24">
        <f>J292+L292+N292</f>
        <v>10</v>
      </c>
      <c r="Q292" s="24">
        <f>K292+M292+O292</f>
        <v>11</v>
      </c>
      <c r="R292" s="24">
        <v>0.1111111111111111</v>
      </c>
      <c r="S292" s="21" t="s">
        <v>468</v>
      </c>
      <c r="U292" s="21" t="s">
        <v>287</v>
      </c>
      <c r="V292" s="21" t="s">
        <v>286</v>
      </c>
      <c r="W292" s="21">
        <v>2</v>
      </c>
      <c r="X292" s="21" t="s">
        <v>310</v>
      </c>
      <c r="Y292" s="21" t="s">
        <v>284</v>
      </c>
      <c r="Z292" s="21" t="s">
        <v>283</v>
      </c>
      <c r="AA292" s="21" t="s">
        <v>496</v>
      </c>
      <c r="AB292" s="21">
        <v>1</v>
      </c>
      <c r="AD292" s="24">
        <v>4.9400000000000004</v>
      </c>
      <c r="AE292" s="24">
        <v>3.87</v>
      </c>
      <c r="AF292" s="21" t="s">
        <v>302</v>
      </c>
      <c r="AG292" s="21" t="s">
        <v>301</v>
      </c>
    </row>
    <row r="293" spans="1:33">
      <c r="A293" s="21" t="s">
        <v>496</v>
      </c>
      <c r="B293" s="21" t="s">
        <v>461</v>
      </c>
      <c r="C293" s="25">
        <v>46106.625</v>
      </c>
      <c r="D293" s="21" t="s">
        <v>702</v>
      </c>
      <c r="E293" s="24">
        <v>4.87</v>
      </c>
      <c r="F293" s="24">
        <v>3.16</v>
      </c>
      <c r="G293" s="24">
        <f>E293-F293</f>
        <v>1.71</v>
      </c>
      <c r="H293" s="21" t="s">
        <v>289</v>
      </c>
      <c r="I293" s="21">
        <v>1</v>
      </c>
      <c r="J293" s="21">
        <v>6</v>
      </c>
      <c r="K293" s="21">
        <v>2</v>
      </c>
      <c r="L293" s="21">
        <v>6</v>
      </c>
      <c r="M293" s="21">
        <v>2</v>
      </c>
      <c r="P293" s="24">
        <f>J293+L293+N293</f>
        <v>12</v>
      </c>
      <c r="Q293" s="24">
        <f>K293+M293+O293</f>
        <v>4</v>
      </c>
      <c r="R293" s="24">
        <v>0.75</v>
      </c>
      <c r="S293" s="21" t="s">
        <v>466</v>
      </c>
      <c r="U293" s="21" t="s">
        <v>287</v>
      </c>
      <c r="V293" s="21" t="s">
        <v>286</v>
      </c>
      <c r="W293" s="21">
        <v>3</v>
      </c>
      <c r="X293" s="21" t="s">
        <v>285</v>
      </c>
      <c r="Y293" s="21" t="s">
        <v>284</v>
      </c>
      <c r="Z293" s="21" t="s">
        <v>283</v>
      </c>
      <c r="AA293" s="21" t="s">
        <v>496</v>
      </c>
      <c r="AB293" s="21">
        <v>1</v>
      </c>
      <c r="AD293" s="24">
        <v>4.9400000000000004</v>
      </c>
      <c r="AE293" s="24">
        <v>3.16</v>
      </c>
      <c r="AF293" s="21" t="s">
        <v>304</v>
      </c>
      <c r="AG293" s="21" t="s">
        <v>303</v>
      </c>
    </row>
    <row r="294" spans="1:33">
      <c r="A294" s="21" t="s">
        <v>496</v>
      </c>
      <c r="B294" s="21" t="s">
        <v>461</v>
      </c>
      <c r="C294" s="25">
        <v>46113.645833333336</v>
      </c>
      <c r="D294" s="21" t="s">
        <v>103</v>
      </c>
      <c r="E294" s="24">
        <v>4.88</v>
      </c>
      <c r="F294" s="24">
        <v>7.14</v>
      </c>
      <c r="G294" s="24">
        <f>E294-F294</f>
        <v>-2.2599999999999998</v>
      </c>
      <c r="H294" s="21" t="s">
        <v>294</v>
      </c>
      <c r="I294" s="21">
        <v>0</v>
      </c>
      <c r="J294" s="21">
        <v>3</v>
      </c>
      <c r="K294" s="21">
        <v>6</v>
      </c>
      <c r="L294" s="21">
        <v>0</v>
      </c>
      <c r="M294" s="21">
        <v>6</v>
      </c>
      <c r="P294" s="24">
        <f>J294+L294+N294</f>
        <v>3</v>
      </c>
      <c r="Q294" s="24">
        <f>K294+M294+O294</f>
        <v>12</v>
      </c>
      <c r="R294" s="24">
        <v>0.2</v>
      </c>
      <c r="S294" s="21" t="s">
        <v>464</v>
      </c>
      <c r="U294" s="21" t="s">
        <v>287</v>
      </c>
      <c r="V294" s="21" t="s">
        <v>286</v>
      </c>
      <c r="W294" s="21">
        <v>4</v>
      </c>
      <c r="X294" s="21" t="s">
        <v>285</v>
      </c>
      <c r="Y294" s="21" t="s">
        <v>284</v>
      </c>
      <c r="Z294" s="21" t="s">
        <v>283</v>
      </c>
      <c r="AA294" s="21" t="s">
        <v>496</v>
      </c>
      <c r="AB294" s="21">
        <v>1</v>
      </c>
      <c r="AD294" s="24">
        <v>4.9400000000000004</v>
      </c>
      <c r="AE294" s="24">
        <v>7.12</v>
      </c>
      <c r="AF294" s="21" t="s">
        <v>304</v>
      </c>
      <c r="AG294" s="21" t="s">
        <v>303</v>
      </c>
    </row>
    <row r="295" spans="1:33">
      <c r="A295" s="21" t="s">
        <v>496</v>
      </c>
      <c r="B295" s="21" t="s">
        <v>461</v>
      </c>
      <c r="C295" s="25">
        <v>46120.666666666664</v>
      </c>
      <c r="D295" s="21" t="s">
        <v>741</v>
      </c>
      <c r="E295" s="24">
        <v>4.92</v>
      </c>
      <c r="F295" s="24">
        <v>5.42</v>
      </c>
      <c r="G295" s="24">
        <f>E295-F295</f>
        <v>-0.5</v>
      </c>
      <c r="H295" s="21" t="s">
        <v>294</v>
      </c>
      <c r="I295" s="21">
        <v>0</v>
      </c>
      <c r="J295" s="21">
        <v>6</v>
      </c>
      <c r="K295" s="21">
        <v>7</v>
      </c>
      <c r="L295" s="21">
        <v>3</v>
      </c>
      <c r="M295" s="21">
        <v>6</v>
      </c>
      <c r="P295" s="24">
        <f>J295+L295+N295</f>
        <v>9</v>
      </c>
      <c r="Q295" s="24">
        <f>K295+M295+O295</f>
        <v>13</v>
      </c>
      <c r="R295" s="24">
        <v>0.4391891891891892</v>
      </c>
      <c r="S295" s="21" t="s">
        <v>462</v>
      </c>
      <c r="U295" s="21" t="s">
        <v>287</v>
      </c>
      <c r="V295" s="21" t="s">
        <v>286</v>
      </c>
      <c r="W295" s="21">
        <v>5</v>
      </c>
      <c r="X295" s="21" t="s">
        <v>285</v>
      </c>
      <c r="Y295" s="21" t="s">
        <v>284</v>
      </c>
      <c r="Z295" s="21" t="s">
        <v>283</v>
      </c>
      <c r="AA295" s="21" t="s">
        <v>496</v>
      </c>
      <c r="AB295" s="21">
        <v>1</v>
      </c>
      <c r="AD295" s="24">
        <v>4.9400000000000004</v>
      </c>
      <c r="AE295" s="24">
        <v>5.42</v>
      </c>
      <c r="AF295" s="21" t="s">
        <v>304</v>
      </c>
      <c r="AG295" s="21" t="s">
        <v>303</v>
      </c>
    </row>
    <row r="296" spans="1:33">
      <c r="A296" s="21" t="s">
        <v>496</v>
      </c>
      <c r="B296" s="21" t="s">
        <v>461</v>
      </c>
      <c r="C296" s="25">
        <v>46121.645833333336</v>
      </c>
      <c r="D296" s="21" t="s">
        <v>740</v>
      </c>
      <c r="E296" s="24">
        <v>4.92</v>
      </c>
      <c r="F296" s="24">
        <v>3.9</v>
      </c>
      <c r="G296" s="24">
        <f>E296-F296</f>
        <v>1.02</v>
      </c>
      <c r="H296" s="21" t="s">
        <v>289</v>
      </c>
      <c r="I296" s="21">
        <v>1</v>
      </c>
      <c r="J296" s="21">
        <v>6</v>
      </c>
      <c r="K296" s="21">
        <v>4</v>
      </c>
      <c r="L296" s="21">
        <v>6</v>
      </c>
      <c r="M296" s="21">
        <v>1</v>
      </c>
      <c r="P296" s="24">
        <f>J296+L296+N296</f>
        <v>12</v>
      </c>
      <c r="Q296" s="24">
        <f>K296+M296+O296</f>
        <v>5</v>
      </c>
      <c r="R296" s="24">
        <v>0.70588235294117652</v>
      </c>
      <c r="S296" s="21" t="s">
        <v>442</v>
      </c>
      <c r="U296" s="21" t="s">
        <v>287</v>
      </c>
      <c r="V296" s="21" t="s">
        <v>286</v>
      </c>
      <c r="W296" s="21">
        <v>6</v>
      </c>
      <c r="X296" s="21" t="s">
        <v>285</v>
      </c>
      <c r="Y296" s="21" t="s">
        <v>284</v>
      </c>
      <c r="Z296" s="21" t="s">
        <v>283</v>
      </c>
      <c r="AA296" s="21" t="s">
        <v>496</v>
      </c>
      <c r="AB296" s="21">
        <v>1</v>
      </c>
      <c r="AD296" s="24">
        <v>4.9400000000000004</v>
      </c>
      <c r="AE296" s="24">
        <v>3.9</v>
      </c>
      <c r="AF296" s="21" t="s">
        <v>304</v>
      </c>
      <c r="AG296" s="21" t="s">
        <v>303</v>
      </c>
    </row>
    <row r="297" spans="1:33">
      <c r="A297" s="21" t="s">
        <v>496</v>
      </c>
      <c r="B297" s="21" t="s">
        <v>461</v>
      </c>
      <c r="C297" s="25">
        <v>46122.333333333336</v>
      </c>
      <c r="D297" s="21" t="s">
        <v>739</v>
      </c>
      <c r="E297" s="24">
        <v>4.92</v>
      </c>
      <c r="F297" s="24">
        <v>3.97</v>
      </c>
      <c r="G297" s="24">
        <f>E297-F297</f>
        <v>0.94999999999999973</v>
      </c>
      <c r="H297" s="21" t="s">
        <v>289</v>
      </c>
      <c r="I297" s="21">
        <v>1</v>
      </c>
      <c r="J297" s="21">
        <v>6</v>
      </c>
      <c r="K297" s="21">
        <v>1</v>
      </c>
      <c r="L297" s="21">
        <v>6</v>
      </c>
      <c r="M297" s="21">
        <v>2</v>
      </c>
      <c r="P297" s="24">
        <f>J297+L297+N297</f>
        <v>12</v>
      </c>
      <c r="Q297" s="24">
        <f>K297+M297+O297</f>
        <v>3</v>
      </c>
      <c r="R297" s="24">
        <v>0.8</v>
      </c>
      <c r="S297" s="21" t="s">
        <v>136</v>
      </c>
      <c r="U297" s="21" t="s">
        <v>287</v>
      </c>
      <c r="V297" s="21" t="s">
        <v>286</v>
      </c>
      <c r="W297" s="21">
        <v>7</v>
      </c>
      <c r="X297" s="21" t="s">
        <v>285</v>
      </c>
      <c r="Y297" s="21" t="s">
        <v>284</v>
      </c>
      <c r="Z297" s="21" t="s">
        <v>283</v>
      </c>
      <c r="AA297" s="21" t="s">
        <v>496</v>
      </c>
      <c r="AB297" s="21">
        <v>1</v>
      </c>
      <c r="AD297" s="24">
        <v>4.9400000000000004</v>
      </c>
      <c r="AE297" s="24">
        <v>3.97</v>
      </c>
      <c r="AF297" s="21" t="s">
        <v>302</v>
      </c>
      <c r="AG297" s="21" t="s">
        <v>301</v>
      </c>
    </row>
    <row r="298" spans="1:33">
      <c r="A298" s="21" t="s">
        <v>110</v>
      </c>
      <c r="B298" s="21" t="s">
        <v>335</v>
      </c>
      <c r="C298" s="25">
        <v>46056.35</v>
      </c>
      <c r="D298" s="21" t="s">
        <v>699</v>
      </c>
      <c r="E298" s="24">
        <v>7.02</v>
      </c>
      <c r="F298" s="24">
        <v>6.71</v>
      </c>
      <c r="G298" s="24">
        <f>E298-F298</f>
        <v>0.30999999999999961</v>
      </c>
      <c r="H298" s="21" t="s">
        <v>289</v>
      </c>
      <c r="I298" s="21">
        <v>1</v>
      </c>
      <c r="J298" s="21">
        <v>3</v>
      </c>
      <c r="K298" s="21">
        <v>6</v>
      </c>
      <c r="L298" s="21">
        <v>6</v>
      </c>
      <c r="M298" s="21">
        <v>1</v>
      </c>
      <c r="N298" s="21">
        <v>1</v>
      </c>
      <c r="O298" s="21">
        <v>0</v>
      </c>
      <c r="P298" s="24">
        <f>J298+L298+N298</f>
        <v>10</v>
      </c>
      <c r="Q298" s="24">
        <f>K298+M298+O298</f>
        <v>7</v>
      </c>
      <c r="R298" s="24">
        <v>0.58823529411764708</v>
      </c>
      <c r="S298" s="21" t="s">
        <v>700</v>
      </c>
      <c r="U298" s="21" t="s">
        <v>412</v>
      </c>
      <c r="V298" s="21" t="s">
        <v>286</v>
      </c>
      <c r="W298" s="21">
        <v>0</v>
      </c>
      <c r="X298" s="21" t="s">
        <v>312</v>
      </c>
      <c r="Y298" s="21" t="s">
        <v>284</v>
      </c>
      <c r="Z298" s="21" t="s">
        <v>283</v>
      </c>
      <c r="AA298" s="21" t="s">
        <v>110</v>
      </c>
      <c r="AB298" s="21">
        <v>1</v>
      </c>
      <c r="AD298" s="24">
        <v>7.02</v>
      </c>
      <c r="AE298" s="24">
        <v>6.71</v>
      </c>
      <c r="AF298" s="21" t="s">
        <v>304</v>
      </c>
      <c r="AG298" s="21" t="s">
        <v>303</v>
      </c>
    </row>
    <row r="299" spans="1:33">
      <c r="A299" s="21" t="s">
        <v>110</v>
      </c>
      <c r="B299" s="21" t="s">
        <v>335</v>
      </c>
      <c r="C299" s="25">
        <v>46083.713194444441</v>
      </c>
      <c r="D299" s="21" t="s">
        <v>738</v>
      </c>
      <c r="E299" s="24">
        <v>7.02</v>
      </c>
      <c r="F299" s="24">
        <v>6.39</v>
      </c>
      <c r="G299" s="24">
        <f>E299-F299</f>
        <v>0.62999999999999989</v>
      </c>
      <c r="H299" s="21" t="s">
        <v>289</v>
      </c>
      <c r="I299" s="21">
        <v>1</v>
      </c>
      <c r="J299" s="21">
        <v>6</v>
      </c>
      <c r="K299" s="21">
        <v>3</v>
      </c>
      <c r="L299" s="21">
        <v>7</v>
      </c>
      <c r="M299" s="21">
        <v>6</v>
      </c>
      <c r="P299" s="24">
        <f>J299+L299+N299</f>
        <v>13</v>
      </c>
      <c r="Q299" s="24">
        <f>K299+M299+O299</f>
        <v>9</v>
      </c>
      <c r="R299" s="24">
        <v>0.59090909090909094</v>
      </c>
      <c r="S299" s="21" t="s">
        <v>581</v>
      </c>
      <c r="U299" s="21" t="s">
        <v>412</v>
      </c>
      <c r="V299" s="21" t="s">
        <v>286</v>
      </c>
      <c r="W299" s="21">
        <v>1</v>
      </c>
      <c r="X299" s="21" t="s">
        <v>323</v>
      </c>
      <c r="Y299" s="21" t="s">
        <v>284</v>
      </c>
      <c r="Z299" s="21" t="s">
        <v>283</v>
      </c>
      <c r="AA299" s="21" t="s">
        <v>110</v>
      </c>
      <c r="AB299" s="21">
        <v>1</v>
      </c>
      <c r="AD299" s="24">
        <v>7.02</v>
      </c>
      <c r="AE299" s="24">
        <v>6.39</v>
      </c>
      <c r="AF299" s="21" t="s">
        <v>304</v>
      </c>
      <c r="AG299" s="21" t="s">
        <v>341</v>
      </c>
    </row>
    <row r="300" spans="1:33">
      <c r="A300" s="21" t="s">
        <v>110</v>
      </c>
      <c r="B300" s="21" t="s">
        <v>335</v>
      </c>
      <c r="C300" s="25">
        <v>46092.645833333336</v>
      </c>
      <c r="D300" s="21" t="s">
        <v>737</v>
      </c>
      <c r="E300" s="24">
        <v>6.81</v>
      </c>
      <c r="F300" s="24">
        <v>5.45</v>
      </c>
      <c r="G300" s="24">
        <f>E300-F300</f>
        <v>1.3599999999999994</v>
      </c>
      <c r="H300" s="21" t="s">
        <v>289</v>
      </c>
      <c r="I300" s="21">
        <v>1</v>
      </c>
      <c r="J300" s="21">
        <v>6</v>
      </c>
      <c r="K300" s="21">
        <v>1</v>
      </c>
      <c r="L300" s="21">
        <v>6</v>
      </c>
      <c r="M300" s="21">
        <v>0</v>
      </c>
      <c r="P300" s="24">
        <f>J300+L300+N300</f>
        <v>12</v>
      </c>
      <c r="Q300" s="24">
        <f>K300+M300+O300</f>
        <v>1</v>
      </c>
      <c r="R300" s="24">
        <v>0.92307692307692313</v>
      </c>
      <c r="S300" s="21" t="s">
        <v>342</v>
      </c>
      <c r="U300" s="21" t="s">
        <v>287</v>
      </c>
      <c r="V300" s="21" t="s">
        <v>286</v>
      </c>
      <c r="W300" s="21">
        <v>2</v>
      </c>
      <c r="X300" s="21" t="s">
        <v>310</v>
      </c>
      <c r="Y300" s="21" t="s">
        <v>284</v>
      </c>
      <c r="Z300" s="21" t="s">
        <v>283</v>
      </c>
      <c r="AA300" s="21" t="s">
        <v>110</v>
      </c>
      <c r="AB300" s="21">
        <v>1</v>
      </c>
      <c r="AD300" s="24">
        <v>7.02</v>
      </c>
      <c r="AE300" s="24">
        <v>5.45</v>
      </c>
      <c r="AF300" s="21" t="s">
        <v>322</v>
      </c>
      <c r="AG300" s="21" t="s">
        <v>301</v>
      </c>
    </row>
    <row r="301" spans="1:33">
      <c r="A301" s="21" t="s">
        <v>110</v>
      </c>
      <c r="B301" s="21" t="s">
        <v>335</v>
      </c>
      <c r="C301" s="25">
        <v>46098.645833333336</v>
      </c>
      <c r="D301" s="21" t="s">
        <v>206</v>
      </c>
      <c r="E301" s="24">
        <v>6.81</v>
      </c>
      <c r="F301" s="24">
        <v>5.95</v>
      </c>
      <c r="G301" s="24">
        <f>E301-F301</f>
        <v>0.85999999999999943</v>
      </c>
      <c r="H301" s="21" t="s">
        <v>289</v>
      </c>
      <c r="I301" s="21">
        <v>1</v>
      </c>
      <c r="J301" s="21">
        <v>6</v>
      </c>
      <c r="K301" s="21">
        <v>0</v>
      </c>
      <c r="L301" s="21">
        <v>6</v>
      </c>
      <c r="M301" s="21">
        <v>4</v>
      </c>
      <c r="P301" s="24">
        <f>J301+L301+N301</f>
        <v>12</v>
      </c>
      <c r="Q301" s="24">
        <f>K301+M301+O301</f>
        <v>4</v>
      </c>
      <c r="R301" s="24">
        <v>0.75</v>
      </c>
      <c r="S301" s="21" t="s">
        <v>239</v>
      </c>
      <c r="U301" s="21" t="s">
        <v>287</v>
      </c>
      <c r="V301" s="21" t="s">
        <v>286</v>
      </c>
      <c r="W301" s="21">
        <v>3</v>
      </c>
      <c r="X301" s="21" t="s">
        <v>285</v>
      </c>
      <c r="Y301" s="21" t="s">
        <v>284</v>
      </c>
      <c r="Z301" s="21" t="s">
        <v>283</v>
      </c>
      <c r="AA301" s="21" t="s">
        <v>110</v>
      </c>
      <c r="AB301" s="21">
        <v>1</v>
      </c>
      <c r="AD301" s="24">
        <v>7.02</v>
      </c>
      <c r="AE301" s="24">
        <v>5.62</v>
      </c>
      <c r="AF301" s="21" t="s">
        <v>322</v>
      </c>
      <c r="AG301" s="21" t="s">
        <v>301</v>
      </c>
    </row>
    <row r="302" spans="1:33">
      <c r="A302" s="21" t="s">
        <v>110</v>
      </c>
      <c r="B302" s="21" t="s">
        <v>335</v>
      </c>
      <c r="C302" s="25">
        <v>46106.645833333336</v>
      </c>
      <c r="D302" s="21" t="s">
        <v>120</v>
      </c>
      <c r="E302" s="24">
        <v>6.85</v>
      </c>
      <c r="F302" s="24">
        <v>6.99</v>
      </c>
      <c r="G302" s="24">
        <f>E302-F302</f>
        <v>-0.14000000000000057</v>
      </c>
      <c r="H302" s="21" t="s">
        <v>289</v>
      </c>
      <c r="I302" s="21">
        <v>1</v>
      </c>
      <c r="J302" s="21">
        <v>7</v>
      </c>
      <c r="K302" s="21">
        <v>5</v>
      </c>
      <c r="L302" s="21">
        <v>6</v>
      </c>
      <c r="M302" s="21">
        <v>3</v>
      </c>
      <c r="P302" s="24">
        <f>J302+L302+N302</f>
        <v>13</v>
      </c>
      <c r="Q302" s="24">
        <f>K302+M302+O302</f>
        <v>8</v>
      </c>
      <c r="R302" s="24">
        <v>0.61904761904761907</v>
      </c>
      <c r="S302" s="21" t="s">
        <v>211</v>
      </c>
      <c r="U302" s="21" t="s">
        <v>287</v>
      </c>
      <c r="V302" s="21" t="s">
        <v>286</v>
      </c>
      <c r="W302" s="21">
        <v>4</v>
      </c>
      <c r="X302" s="21" t="s">
        <v>285</v>
      </c>
      <c r="Y302" s="21" t="s">
        <v>284</v>
      </c>
      <c r="Z302" s="21" t="s">
        <v>283</v>
      </c>
      <c r="AA302" s="21" t="s">
        <v>110</v>
      </c>
      <c r="AB302" s="21">
        <v>1</v>
      </c>
      <c r="AD302" s="24">
        <v>7.02</v>
      </c>
      <c r="AE302" s="24">
        <v>6.51</v>
      </c>
      <c r="AF302" s="21" t="s">
        <v>322</v>
      </c>
      <c r="AG302" s="21" t="s">
        <v>301</v>
      </c>
    </row>
    <row r="303" spans="1:33">
      <c r="A303" s="21" t="s">
        <v>110</v>
      </c>
      <c r="B303" s="21" t="s">
        <v>335</v>
      </c>
      <c r="C303" s="25">
        <v>46108.645833333336</v>
      </c>
      <c r="D303" s="21" t="s">
        <v>134</v>
      </c>
      <c r="E303" s="24">
        <v>6.85</v>
      </c>
      <c r="F303" s="24">
        <v>5.41</v>
      </c>
      <c r="G303" s="24">
        <f>E303-F303</f>
        <v>1.4399999999999995</v>
      </c>
      <c r="H303" s="21" t="s">
        <v>289</v>
      </c>
      <c r="I303" s="21">
        <v>1</v>
      </c>
      <c r="J303" s="21">
        <v>6</v>
      </c>
      <c r="K303" s="21">
        <v>3</v>
      </c>
      <c r="L303" s="21">
        <v>6</v>
      </c>
      <c r="M303" s="21">
        <v>0</v>
      </c>
      <c r="P303" s="24">
        <f>J303+L303+N303</f>
        <v>12</v>
      </c>
      <c r="Q303" s="24">
        <f>K303+M303+O303</f>
        <v>3</v>
      </c>
      <c r="R303" s="24">
        <v>0.8</v>
      </c>
      <c r="S303" s="21" t="s">
        <v>195</v>
      </c>
      <c r="U303" s="21" t="s">
        <v>287</v>
      </c>
      <c r="V303" s="21" t="s">
        <v>286</v>
      </c>
      <c r="W303" s="21">
        <v>5</v>
      </c>
      <c r="X303" s="21" t="s">
        <v>285</v>
      </c>
      <c r="Y303" s="21" t="s">
        <v>284</v>
      </c>
      <c r="Z303" s="21" t="s">
        <v>283</v>
      </c>
      <c r="AA303" s="21" t="s">
        <v>110</v>
      </c>
      <c r="AB303" s="21">
        <v>1</v>
      </c>
      <c r="AD303" s="24">
        <v>7.02</v>
      </c>
      <c r="AE303" s="24">
        <v>5.98</v>
      </c>
      <c r="AF303" s="21" t="s">
        <v>302</v>
      </c>
      <c r="AG303" s="21" t="s">
        <v>301</v>
      </c>
    </row>
    <row r="304" spans="1:33">
      <c r="A304" s="21" t="s">
        <v>110</v>
      </c>
      <c r="B304" s="21" t="s">
        <v>335</v>
      </c>
      <c r="C304" s="25">
        <v>46113.645833333336</v>
      </c>
      <c r="D304" s="21" t="s">
        <v>121</v>
      </c>
      <c r="E304" s="24">
        <v>6.88</v>
      </c>
      <c r="F304" s="24">
        <v>6.26</v>
      </c>
      <c r="G304" s="24">
        <f>E304-F304</f>
        <v>0.62000000000000011</v>
      </c>
      <c r="H304" s="21" t="s">
        <v>289</v>
      </c>
      <c r="I304" s="21">
        <v>1</v>
      </c>
      <c r="J304" s="21">
        <v>6</v>
      </c>
      <c r="K304" s="21">
        <v>0</v>
      </c>
      <c r="L304" s="21">
        <v>7</v>
      </c>
      <c r="M304" s="21">
        <v>5</v>
      </c>
      <c r="P304" s="24">
        <f>J304+L304+N304</f>
        <v>13</v>
      </c>
      <c r="Q304" s="24">
        <f>K304+M304+O304</f>
        <v>5</v>
      </c>
      <c r="R304" s="24">
        <v>0.72222222222222221</v>
      </c>
      <c r="S304" s="21" t="s">
        <v>174</v>
      </c>
      <c r="U304" s="21" t="s">
        <v>287</v>
      </c>
      <c r="V304" s="21" t="s">
        <v>286</v>
      </c>
      <c r="W304" s="21">
        <v>6</v>
      </c>
      <c r="X304" s="21" t="s">
        <v>285</v>
      </c>
      <c r="Y304" s="21" t="s">
        <v>284</v>
      </c>
      <c r="Z304" s="21" t="s">
        <v>283</v>
      </c>
      <c r="AA304" s="21" t="s">
        <v>110</v>
      </c>
      <c r="AB304" s="21">
        <v>1</v>
      </c>
      <c r="AD304" s="24">
        <v>7.02</v>
      </c>
      <c r="AE304" s="24">
        <v>6.07</v>
      </c>
      <c r="AF304" s="21" t="s">
        <v>302</v>
      </c>
      <c r="AG304" s="21" t="s">
        <v>301</v>
      </c>
    </row>
    <row r="305" spans="1:33">
      <c r="A305" s="21" t="s">
        <v>110</v>
      </c>
      <c r="B305" s="21" t="s">
        <v>335</v>
      </c>
      <c r="C305" s="25">
        <v>46120.666666666664</v>
      </c>
      <c r="D305" s="21" t="s">
        <v>736</v>
      </c>
      <c r="E305" s="24">
        <v>6.87</v>
      </c>
      <c r="F305" s="24">
        <v>7.22</v>
      </c>
      <c r="G305" s="24">
        <f>E305-F305</f>
        <v>-0.34999999999999964</v>
      </c>
      <c r="H305" s="21" t="s">
        <v>294</v>
      </c>
      <c r="I305" s="21">
        <v>0</v>
      </c>
      <c r="J305" s="21">
        <v>2</v>
      </c>
      <c r="K305" s="21">
        <v>6</v>
      </c>
      <c r="L305" s="21">
        <v>6</v>
      </c>
      <c r="M305" s="21">
        <v>3</v>
      </c>
      <c r="N305" s="21">
        <v>0</v>
      </c>
      <c r="O305" s="21">
        <v>1</v>
      </c>
      <c r="P305" s="24">
        <f>J305+L305+N305</f>
        <v>8</v>
      </c>
      <c r="Q305" s="24">
        <f>K305+M305+O305</f>
        <v>10</v>
      </c>
      <c r="R305" s="24">
        <v>0.11851851851851852</v>
      </c>
      <c r="S305" s="21" t="s">
        <v>337</v>
      </c>
      <c r="U305" s="21" t="s">
        <v>287</v>
      </c>
      <c r="V305" s="21" t="s">
        <v>286</v>
      </c>
      <c r="W305" s="21">
        <v>7</v>
      </c>
      <c r="X305" s="21" t="s">
        <v>285</v>
      </c>
      <c r="Y305" s="21" t="s">
        <v>284</v>
      </c>
      <c r="Z305" s="21" t="s">
        <v>283</v>
      </c>
      <c r="AA305" s="21" t="s">
        <v>110</v>
      </c>
      <c r="AB305" s="21">
        <v>1</v>
      </c>
      <c r="AD305" s="24">
        <v>7.02</v>
      </c>
      <c r="AE305" s="24">
        <v>7.22</v>
      </c>
      <c r="AF305" s="21" t="s">
        <v>304</v>
      </c>
      <c r="AG305" s="21" t="s">
        <v>341</v>
      </c>
    </row>
    <row r="306" spans="1:33">
      <c r="A306" s="21" t="s">
        <v>110</v>
      </c>
      <c r="B306" s="21" t="s">
        <v>335</v>
      </c>
      <c r="C306" s="25">
        <v>46125.645833333336</v>
      </c>
      <c r="D306" s="21" t="s">
        <v>103</v>
      </c>
      <c r="E306" s="24">
        <v>6.87</v>
      </c>
      <c r="F306" s="24">
        <v>7.18</v>
      </c>
      <c r="G306" s="24">
        <f>E306-F306</f>
        <v>-0.30999999999999961</v>
      </c>
      <c r="H306" s="21" t="s">
        <v>289</v>
      </c>
      <c r="I306" s="21">
        <v>1</v>
      </c>
      <c r="J306" s="21">
        <v>6</v>
      </c>
      <c r="K306" s="21">
        <v>3</v>
      </c>
      <c r="L306" s="21">
        <v>3</v>
      </c>
      <c r="M306" s="21">
        <v>6</v>
      </c>
      <c r="N306" s="21">
        <v>7</v>
      </c>
      <c r="O306" s="21">
        <v>6</v>
      </c>
      <c r="P306" s="24">
        <f>J306+L306+N306</f>
        <v>16</v>
      </c>
      <c r="Q306" s="24">
        <f>K306+M306+O306</f>
        <v>15</v>
      </c>
      <c r="R306" s="24">
        <v>0.54777070063694266</v>
      </c>
      <c r="S306" s="21" t="s">
        <v>118</v>
      </c>
      <c r="U306" s="21" t="s">
        <v>287</v>
      </c>
      <c r="V306" s="21" t="s">
        <v>286</v>
      </c>
      <c r="W306" s="21">
        <v>8</v>
      </c>
      <c r="X306" s="21" t="s">
        <v>285</v>
      </c>
      <c r="Y306" s="21" t="s">
        <v>284</v>
      </c>
      <c r="Z306" s="21" t="s">
        <v>283</v>
      </c>
      <c r="AA306" s="21" t="s">
        <v>110</v>
      </c>
      <c r="AB306" s="21">
        <v>1</v>
      </c>
      <c r="AD306" s="24">
        <v>7.02</v>
      </c>
      <c r="AE306" s="24">
        <v>7.12</v>
      </c>
      <c r="AF306" s="21" t="s">
        <v>304</v>
      </c>
      <c r="AG306" s="21" t="s">
        <v>303</v>
      </c>
    </row>
    <row r="307" spans="1:33">
      <c r="A307" s="21" t="s">
        <v>110</v>
      </c>
      <c r="B307" s="21" t="s">
        <v>335</v>
      </c>
      <c r="C307" s="25">
        <v>46126.645833333336</v>
      </c>
      <c r="D307" s="21" t="s">
        <v>111</v>
      </c>
      <c r="E307" s="24">
        <v>6.87</v>
      </c>
      <c r="F307" s="24">
        <v>6.5</v>
      </c>
      <c r="G307" s="24">
        <f>E307-F307</f>
        <v>0.37000000000000011</v>
      </c>
      <c r="H307" s="21" t="s">
        <v>289</v>
      </c>
      <c r="I307" s="21">
        <v>1</v>
      </c>
      <c r="J307" s="21">
        <v>3</v>
      </c>
      <c r="K307" s="21">
        <v>6</v>
      </c>
      <c r="L307" s="21">
        <v>6</v>
      </c>
      <c r="M307" s="21">
        <v>1</v>
      </c>
      <c r="N307" s="21">
        <v>6</v>
      </c>
      <c r="O307" s="21">
        <v>4</v>
      </c>
      <c r="P307" s="24">
        <f>J307+L307+N307</f>
        <v>15</v>
      </c>
      <c r="Q307" s="24">
        <f>K307+M307+O307</f>
        <v>11</v>
      </c>
      <c r="R307" s="24">
        <v>0.57692307692307687</v>
      </c>
      <c r="S307" s="21" t="s">
        <v>112</v>
      </c>
      <c r="U307" s="21" t="s">
        <v>287</v>
      </c>
      <c r="V307" s="21" t="s">
        <v>286</v>
      </c>
      <c r="W307" s="21">
        <v>9</v>
      </c>
      <c r="X307" s="21" t="s">
        <v>285</v>
      </c>
      <c r="Y307" s="21" t="s">
        <v>284</v>
      </c>
      <c r="Z307" s="21" t="s">
        <v>283</v>
      </c>
      <c r="AA307" s="21" t="s">
        <v>110</v>
      </c>
      <c r="AB307" s="21">
        <v>1</v>
      </c>
      <c r="AD307" s="24">
        <v>7.02</v>
      </c>
      <c r="AE307" s="24">
        <v>6.5</v>
      </c>
      <c r="AF307" s="21" t="s">
        <v>304</v>
      </c>
      <c r="AG307" s="21" t="s">
        <v>341</v>
      </c>
    </row>
    <row r="308" spans="1:33">
      <c r="A308" s="21" t="s">
        <v>170</v>
      </c>
      <c r="B308" s="21" t="s">
        <v>732</v>
      </c>
      <c r="C308" s="25">
        <v>46046</v>
      </c>
      <c r="D308" s="21" t="s">
        <v>251</v>
      </c>
      <c r="E308" s="24">
        <v>6.27</v>
      </c>
      <c r="F308" s="24">
        <v>5.33</v>
      </c>
      <c r="G308" s="24">
        <f>E308-F308</f>
        <v>0.9399999999999995</v>
      </c>
      <c r="H308" s="21" t="s">
        <v>289</v>
      </c>
      <c r="I308" s="21">
        <v>1</v>
      </c>
      <c r="J308" s="21">
        <v>6</v>
      </c>
      <c r="K308" s="21">
        <v>1</v>
      </c>
      <c r="P308" s="24">
        <f>J308+L308+N308</f>
        <v>6</v>
      </c>
      <c r="Q308" s="24">
        <f>K308+M308+O308</f>
        <v>1</v>
      </c>
      <c r="R308" s="24">
        <v>0.8571428571428571</v>
      </c>
      <c r="S308" s="21" t="s">
        <v>734</v>
      </c>
      <c r="T308" s="21" t="s">
        <v>316</v>
      </c>
      <c r="U308" s="21" t="s">
        <v>292</v>
      </c>
      <c r="V308" s="21" t="s">
        <v>286</v>
      </c>
      <c r="W308" s="21">
        <v>0</v>
      </c>
      <c r="X308" s="21" t="s">
        <v>312</v>
      </c>
      <c r="Y308" s="21" t="s">
        <v>284</v>
      </c>
      <c r="Z308" s="21" t="s">
        <v>283</v>
      </c>
      <c r="AA308" s="21" t="s">
        <v>170</v>
      </c>
      <c r="AB308" s="21">
        <v>1</v>
      </c>
      <c r="AD308" s="24">
        <v>6.27</v>
      </c>
      <c r="AE308" s="24">
        <v>5.33</v>
      </c>
      <c r="AF308" s="21" t="s">
        <v>304</v>
      </c>
      <c r="AG308" s="21" t="s">
        <v>303</v>
      </c>
    </row>
    <row r="309" spans="1:33">
      <c r="A309" s="21" t="s">
        <v>170</v>
      </c>
      <c r="B309" s="21" t="s">
        <v>732</v>
      </c>
      <c r="C309" s="25">
        <v>46046</v>
      </c>
      <c r="D309" s="21" t="s">
        <v>656</v>
      </c>
      <c r="E309" s="24">
        <v>6.27</v>
      </c>
      <c r="F309" s="24">
        <v>5.41</v>
      </c>
      <c r="G309" s="24">
        <f>E309-F309</f>
        <v>0.85999999999999943</v>
      </c>
      <c r="H309" s="21" t="s">
        <v>289</v>
      </c>
      <c r="I309" s="21">
        <v>1</v>
      </c>
      <c r="J309" s="21">
        <v>7</v>
      </c>
      <c r="K309" s="21">
        <v>5</v>
      </c>
      <c r="P309" s="24">
        <f>J309+L309+N309</f>
        <v>7</v>
      </c>
      <c r="Q309" s="24">
        <f>K309+M309+O309</f>
        <v>5</v>
      </c>
      <c r="R309" s="24">
        <v>0.58333333333333337</v>
      </c>
      <c r="S309" s="21" t="s">
        <v>734</v>
      </c>
      <c r="T309" s="21" t="s">
        <v>481</v>
      </c>
      <c r="U309" s="21" t="s">
        <v>292</v>
      </c>
      <c r="V309" s="21" t="s">
        <v>286</v>
      </c>
      <c r="W309" s="21">
        <v>0</v>
      </c>
      <c r="X309" s="21" t="s">
        <v>312</v>
      </c>
      <c r="Y309" s="21" t="s">
        <v>284</v>
      </c>
      <c r="Z309" s="21" t="s">
        <v>283</v>
      </c>
      <c r="AA309" s="21" t="s">
        <v>170</v>
      </c>
      <c r="AB309" s="21">
        <v>1</v>
      </c>
      <c r="AD309" s="24">
        <v>6.27</v>
      </c>
      <c r="AE309" s="24">
        <v>5.41</v>
      </c>
      <c r="AF309" s="21" t="s">
        <v>302</v>
      </c>
      <c r="AG309" s="21" t="s">
        <v>301</v>
      </c>
    </row>
    <row r="310" spans="1:33">
      <c r="A310" s="21" t="s">
        <v>170</v>
      </c>
      <c r="B310" s="21" t="s">
        <v>732</v>
      </c>
      <c r="C310" s="25">
        <v>46046</v>
      </c>
      <c r="D310" s="21" t="s">
        <v>735</v>
      </c>
      <c r="E310" s="24">
        <v>6.27</v>
      </c>
      <c r="F310" s="24">
        <v>3.19</v>
      </c>
      <c r="G310" s="24">
        <f>E310-F310</f>
        <v>3.0799999999999996</v>
      </c>
      <c r="H310" s="21" t="s">
        <v>289</v>
      </c>
      <c r="I310" s="21">
        <v>1</v>
      </c>
      <c r="J310" s="21">
        <v>6</v>
      </c>
      <c r="K310" s="21">
        <v>0</v>
      </c>
      <c r="P310" s="24">
        <f>J310+L310+N310</f>
        <v>6</v>
      </c>
      <c r="Q310" s="24">
        <f>K310+M310+O310</f>
        <v>0</v>
      </c>
      <c r="R310" s="24">
        <v>1</v>
      </c>
      <c r="S310" s="21" t="s">
        <v>734</v>
      </c>
      <c r="T310" s="21" t="s">
        <v>313</v>
      </c>
      <c r="U310" s="21" t="s">
        <v>292</v>
      </c>
      <c r="V310" s="21" t="s">
        <v>286</v>
      </c>
      <c r="W310" s="21">
        <v>0</v>
      </c>
      <c r="X310" s="21" t="s">
        <v>312</v>
      </c>
      <c r="Y310" s="21" t="s">
        <v>284</v>
      </c>
      <c r="Z310" s="21" t="s">
        <v>283</v>
      </c>
      <c r="AA310" s="21" t="s">
        <v>170</v>
      </c>
      <c r="AB310" s="21">
        <v>1</v>
      </c>
      <c r="AD310" s="24">
        <v>6.27</v>
      </c>
      <c r="AE310" s="24">
        <v>3.19</v>
      </c>
      <c r="AF310" s="21" t="s">
        <v>304</v>
      </c>
      <c r="AG310" s="21" t="s">
        <v>303</v>
      </c>
    </row>
    <row r="311" spans="1:33">
      <c r="A311" s="21" t="s">
        <v>170</v>
      </c>
      <c r="B311" s="21" t="s">
        <v>732</v>
      </c>
      <c r="C311" s="25">
        <v>46091.145833333336</v>
      </c>
      <c r="D311" s="21" t="s">
        <v>101</v>
      </c>
      <c r="E311" s="24">
        <v>5.16</v>
      </c>
      <c r="F311" s="24">
        <v>6</v>
      </c>
      <c r="G311" s="24">
        <f>E311-F311</f>
        <v>-0.83999999999999986</v>
      </c>
      <c r="H311" s="21" t="s">
        <v>289</v>
      </c>
      <c r="I311" s="21">
        <v>1</v>
      </c>
      <c r="J311" s="21">
        <v>3</v>
      </c>
      <c r="K311" s="21">
        <v>6</v>
      </c>
      <c r="L311" s="21">
        <v>6</v>
      </c>
      <c r="M311" s="21">
        <v>4</v>
      </c>
      <c r="N311" s="21">
        <v>6</v>
      </c>
      <c r="O311" s="21">
        <v>3</v>
      </c>
      <c r="P311" s="24">
        <f>J311+L311+N311</f>
        <v>15</v>
      </c>
      <c r="Q311" s="24">
        <f>K311+M311+O311</f>
        <v>13</v>
      </c>
      <c r="R311" s="24">
        <v>0.5357142857142857</v>
      </c>
      <c r="S311" s="21" t="s">
        <v>533</v>
      </c>
      <c r="U311" s="21" t="s">
        <v>287</v>
      </c>
      <c r="V311" s="21" t="s">
        <v>286</v>
      </c>
      <c r="W311" s="21">
        <v>3</v>
      </c>
      <c r="X311" s="21" t="s">
        <v>285</v>
      </c>
      <c r="Y311" s="21" t="s">
        <v>284</v>
      </c>
      <c r="Z311" s="21" t="s">
        <v>283</v>
      </c>
      <c r="AA311" s="21" t="s">
        <v>170</v>
      </c>
      <c r="AB311" s="21">
        <v>1</v>
      </c>
      <c r="AD311" s="24">
        <v>6.27</v>
      </c>
      <c r="AE311" s="24">
        <v>6</v>
      </c>
      <c r="AF311" s="21" t="s">
        <v>304</v>
      </c>
      <c r="AG311" s="21" t="s">
        <v>303</v>
      </c>
    </row>
    <row r="312" spans="1:33">
      <c r="A312" s="21" t="s">
        <v>170</v>
      </c>
      <c r="B312" s="21" t="s">
        <v>732</v>
      </c>
      <c r="C312" s="25">
        <v>46094.645833333336</v>
      </c>
      <c r="D312" s="21" t="s">
        <v>733</v>
      </c>
      <c r="E312" s="24">
        <v>5.16</v>
      </c>
      <c r="F312" s="24">
        <v>4.58</v>
      </c>
      <c r="G312" s="24">
        <f>E312-F312</f>
        <v>0.58000000000000007</v>
      </c>
      <c r="H312" s="21" t="s">
        <v>289</v>
      </c>
      <c r="I312" s="21">
        <v>1</v>
      </c>
      <c r="J312" s="21">
        <v>6</v>
      </c>
      <c r="K312" s="21">
        <v>0</v>
      </c>
      <c r="L312" s="21">
        <v>6</v>
      </c>
      <c r="M312" s="21">
        <v>0</v>
      </c>
      <c r="P312" s="24">
        <f>J312+L312+N312</f>
        <v>12</v>
      </c>
      <c r="Q312" s="24">
        <f>K312+M312+O312</f>
        <v>0</v>
      </c>
      <c r="R312" s="24">
        <v>1</v>
      </c>
      <c r="S312" s="21" t="s">
        <v>245</v>
      </c>
      <c r="U312" s="21" t="s">
        <v>287</v>
      </c>
      <c r="V312" s="21" t="s">
        <v>286</v>
      </c>
      <c r="W312" s="21">
        <v>4</v>
      </c>
      <c r="X312" s="21" t="s">
        <v>285</v>
      </c>
      <c r="Y312" s="21" t="s">
        <v>284</v>
      </c>
      <c r="Z312" s="21" t="s">
        <v>283</v>
      </c>
      <c r="AA312" s="21" t="s">
        <v>170</v>
      </c>
      <c r="AB312" s="21">
        <v>1</v>
      </c>
      <c r="AD312" s="24">
        <v>6.27</v>
      </c>
      <c r="AE312" s="24">
        <v>4.58</v>
      </c>
      <c r="AF312" s="21" t="s">
        <v>302</v>
      </c>
      <c r="AG312" s="21" t="s">
        <v>301</v>
      </c>
    </row>
    <row r="313" spans="1:33">
      <c r="A313" s="21" t="s">
        <v>170</v>
      </c>
      <c r="B313" s="21" t="s">
        <v>732</v>
      </c>
      <c r="C313" s="25">
        <v>46099.645833333336</v>
      </c>
      <c r="D313" s="21" t="s">
        <v>10</v>
      </c>
      <c r="E313" s="24">
        <v>5.23</v>
      </c>
      <c r="F313" s="24">
        <v>7.15</v>
      </c>
      <c r="G313" s="24">
        <f>E313-F313</f>
        <v>-1.92</v>
      </c>
      <c r="H313" s="21" t="s">
        <v>294</v>
      </c>
      <c r="I313" s="21">
        <v>0</v>
      </c>
      <c r="J313" s="21">
        <v>4</v>
      </c>
      <c r="K313" s="21">
        <v>6</v>
      </c>
      <c r="L313" s="21">
        <v>2</v>
      </c>
      <c r="M313" s="21">
        <v>6</v>
      </c>
      <c r="P313" s="24">
        <f>J313+L313+N313</f>
        <v>6</v>
      </c>
      <c r="Q313" s="24">
        <f>K313+M313+O313</f>
        <v>12</v>
      </c>
      <c r="R313" s="24">
        <v>0.33333333333333331</v>
      </c>
      <c r="S313" s="21" t="s">
        <v>237</v>
      </c>
      <c r="U313" s="21" t="s">
        <v>287</v>
      </c>
      <c r="V313" s="21" t="s">
        <v>286</v>
      </c>
      <c r="W313" s="21">
        <v>5</v>
      </c>
      <c r="X313" s="21" t="s">
        <v>285</v>
      </c>
      <c r="Y313" s="21" t="s">
        <v>284</v>
      </c>
      <c r="Z313" s="21" t="s">
        <v>283</v>
      </c>
      <c r="AA313" s="21" t="s">
        <v>170</v>
      </c>
      <c r="AB313" s="21">
        <v>1</v>
      </c>
      <c r="AD313" s="24">
        <v>6.27</v>
      </c>
      <c r="AE313" s="24">
        <v>6.85</v>
      </c>
      <c r="AF313" s="21" t="s">
        <v>304</v>
      </c>
      <c r="AG313" s="21" t="s">
        <v>303</v>
      </c>
    </row>
    <row r="314" spans="1:33">
      <c r="A314" s="21" t="s">
        <v>170</v>
      </c>
      <c r="B314" s="21" t="s">
        <v>732</v>
      </c>
      <c r="C314" s="25">
        <v>46101.645833333336</v>
      </c>
      <c r="D314" s="21" t="s">
        <v>57</v>
      </c>
      <c r="E314" s="24">
        <v>5.23</v>
      </c>
      <c r="F314" s="24">
        <v>4.54</v>
      </c>
      <c r="G314" s="24">
        <f>E314-F314</f>
        <v>0.69000000000000039</v>
      </c>
      <c r="H314" s="21" t="s">
        <v>289</v>
      </c>
      <c r="I314" s="21">
        <v>1</v>
      </c>
      <c r="J314" s="21">
        <v>6</v>
      </c>
      <c r="K314" s="21">
        <v>1</v>
      </c>
      <c r="L314" s="21">
        <v>4</v>
      </c>
      <c r="M314" s="21">
        <v>6</v>
      </c>
      <c r="N314" s="21">
        <v>6</v>
      </c>
      <c r="O314" s="21">
        <v>1</v>
      </c>
      <c r="P314" s="24">
        <f>J314+L314+N314</f>
        <v>16</v>
      </c>
      <c r="Q314" s="24">
        <f>K314+M314+O314</f>
        <v>8</v>
      </c>
      <c r="R314" s="24">
        <v>0.66666666666666663</v>
      </c>
      <c r="S314" s="21" t="s">
        <v>223</v>
      </c>
      <c r="U314" s="21" t="s">
        <v>287</v>
      </c>
      <c r="V314" s="21" t="s">
        <v>286</v>
      </c>
      <c r="W314" s="21">
        <v>6</v>
      </c>
      <c r="X314" s="21" t="s">
        <v>285</v>
      </c>
      <c r="Y314" s="21" t="s">
        <v>284</v>
      </c>
      <c r="Z314" s="21" t="s">
        <v>283</v>
      </c>
      <c r="AA314" s="21" t="s">
        <v>170</v>
      </c>
      <c r="AB314" s="21">
        <v>1</v>
      </c>
      <c r="AD314" s="24">
        <v>6.27</v>
      </c>
      <c r="AE314" s="24">
        <v>5.91</v>
      </c>
      <c r="AF314" s="21" t="s">
        <v>304</v>
      </c>
      <c r="AG314" s="21" t="s">
        <v>303</v>
      </c>
    </row>
    <row r="315" spans="1:33">
      <c r="A315" s="21" t="s">
        <v>170</v>
      </c>
      <c r="B315" s="21" t="s">
        <v>732</v>
      </c>
      <c r="C315" s="25">
        <v>46105.645833333336</v>
      </c>
      <c r="D315" s="21" t="s">
        <v>385</v>
      </c>
      <c r="E315" s="24">
        <v>5.29</v>
      </c>
      <c r="F315" s="24">
        <v>2.4900000000000002</v>
      </c>
      <c r="G315" s="24">
        <f>E315-F315</f>
        <v>2.8</v>
      </c>
      <c r="H315" s="21" t="s">
        <v>289</v>
      </c>
      <c r="I315" s="21">
        <v>1</v>
      </c>
      <c r="J315" s="21">
        <v>6</v>
      </c>
      <c r="K315" s="21">
        <v>0</v>
      </c>
      <c r="L315" s="21">
        <v>6</v>
      </c>
      <c r="M315" s="21">
        <v>0</v>
      </c>
      <c r="P315" s="24">
        <f>J315+L315+N315</f>
        <v>12</v>
      </c>
      <c r="Q315" s="24">
        <f>K315+M315+O315</f>
        <v>0</v>
      </c>
      <c r="R315" s="24">
        <v>1</v>
      </c>
      <c r="S315" s="21" t="s">
        <v>220</v>
      </c>
      <c r="U315" s="21" t="s">
        <v>287</v>
      </c>
      <c r="V315" s="21" t="s">
        <v>286</v>
      </c>
      <c r="W315" s="21">
        <v>7</v>
      </c>
      <c r="X315" s="21" t="s">
        <v>285</v>
      </c>
      <c r="Y315" s="21" t="s">
        <v>284</v>
      </c>
      <c r="Z315" s="21" t="s">
        <v>283</v>
      </c>
      <c r="AA315" s="21" t="s">
        <v>170</v>
      </c>
      <c r="AB315" s="21">
        <v>1</v>
      </c>
      <c r="AD315" s="24">
        <v>6.27</v>
      </c>
      <c r="AE315" s="24">
        <v>3.65</v>
      </c>
      <c r="AF315" s="21" t="s">
        <v>304</v>
      </c>
      <c r="AG315" s="21" t="s">
        <v>303</v>
      </c>
    </row>
    <row r="316" spans="1:33">
      <c r="A316" s="21" t="s">
        <v>170</v>
      </c>
      <c r="B316" s="21" t="s">
        <v>732</v>
      </c>
      <c r="C316" s="25">
        <v>46112.333333333336</v>
      </c>
      <c r="D316" s="21" t="s">
        <v>23</v>
      </c>
      <c r="E316" s="24">
        <v>5.34</v>
      </c>
      <c r="F316" s="24">
        <v>6.54</v>
      </c>
      <c r="G316" s="24">
        <f>E316-F316</f>
        <v>-1.2000000000000002</v>
      </c>
      <c r="H316" s="21" t="s">
        <v>294</v>
      </c>
      <c r="I316" s="21">
        <v>0</v>
      </c>
      <c r="J316" s="21">
        <v>0</v>
      </c>
      <c r="K316" s="21">
        <v>5</v>
      </c>
      <c r="L316" s="21">
        <v>5</v>
      </c>
      <c r="M316" s="21">
        <v>7</v>
      </c>
      <c r="P316" s="24">
        <f>J316+L316+N316</f>
        <v>5</v>
      </c>
      <c r="Q316" s="24">
        <f>K316+M316+O316</f>
        <v>12</v>
      </c>
      <c r="R316" s="24">
        <v>0.29411764705882354</v>
      </c>
      <c r="S316" s="21" t="s">
        <v>179</v>
      </c>
      <c r="U316" s="21" t="s">
        <v>287</v>
      </c>
      <c r="V316" s="21" t="s">
        <v>286</v>
      </c>
      <c r="W316" s="21">
        <v>8</v>
      </c>
      <c r="X316" s="21" t="s">
        <v>285</v>
      </c>
      <c r="Y316" s="21" t="s">
        <v>284</v>
      </c>
      <c r="Z316" s="21" t="s">
        <v>283</v>
      </c>
      <c r="AA316" s="21" t="s">
        <v>170</v>
      </c>
      <c r="AB316" s="21">
        <v>1</v>
      </c>
      <c r="AD316" s="24">
        <v>6.27</v>
      </c>
      <c r="AE316" s="24">
        <v>7.11</v>
      </c>
      <c r="AF316" s="21" t="s">
        <v>304</v>
      </c>
      <c r="AG316" s="21" t="s">
        <v>303</v>
      </c>
    </row>
    <row r="317" spans="1:33">
      <c r="A317" s="21" t="s">
        <v>170</v>
      </c>
      <c r="B317" s="21" t="s">
        <v>732</v>
      </c>
      <c r="C317" s="25">
        <v>46118.645833333336</v>
      </c>
      <c r="D317" s="21" t="s">
        <v>171</v>
      </c>
      <c r="E317" s="24">
        <v>5.34</v>
      </c>
      <c r="F317" s="24">
        <v>5.28</v>
      </c>
      <c r="G317" s="24">
        <f>E317-F317</f>
        <v>5.9999999999999609E-2</v>
      </c>
      <c r="H317" s="21" t="s">
        <v>289</v>
      </c>
      <c r="I317" s="21">
        <v>1</v>
      </c>
      <c r="J317" s="21">
        <v>6</v>
      </c>
      <c r="K317" s="21">
        <v>0</v>
      </c>
      <c r="L317" s="21">
        <v>6</v>
      </c>
      <c r="M317" s="21">
        <v>3</v>
      </c>
      <c r="P317" s="24">
        <f>J317+L317+N317</f>
        <v>12</v>
      </c>
      <c r="Q317" s="24">
        <f>K317+M317+O317</f>
        <v>3</v>
      </c>
      <c r="R317" s="24">
        <v>0.8</v>
      </c>
      <c r="S317" s="21" t="s">
        <v>172</v>
      </c>
      <c r="U317" s="21" t="s">
        <v>287</v>
      </c>
      <c r="V317" s="21" t="s">
        <v>286</v>
      </c>
      <c r="W317" s="21">
        <v>9</v>
      </c>
      <c r="X317" s="21" t="s">
        <v>285</v>
      </c>
      <c r="Y317" s="21" t="s">
        <v>284</v>
      </c>
      <c r="Z317" s="21" t="s">
        <v>283</v>
      </c>
      <c r="AA317" s="21" t="s">
        <v>170</v>
      </c>
      <c r="AB317" s="21">
        <v>1</v>
      </c>
      <c r="AD317" s="24">
        <v>6.27</v>
      </c>
      <c r="AE317" s="24">
        <v>5.28</v>
      </c>
      <c r="AF317" s="21" t="s">
        <v>302</v>
      </c>
      <c r="AG317" s="21" t="s">
        <v>301</v>
      </c>
    </row>
    <row r="318" spans="1:33">
      <c r="A318" s="21" t="s">
        <v>170</v>
      </c>
      <c r="B318" s="21" t="s">
        <v>732</v>
      </c>
      <c r="C318" s="25">
        <v>46126.645833333336</v>
      </c>
      <c r="D318" s="21" t="s">
        <v>525</v>
      </c>
      <c r="E318" s="24">
        <v>5.68</v>
      </c>
      <c r="F318" s="24">
        <v>3.42</v>
      </c>
      <c r="G318" s="24">
        <f>E318-F318</f>
        <v>2.2599999999999998</v>
      </c>
      <c r="H318" s="21" t="s">
        <v>289</v>
      </c>
      <c r="I318" s="21">
        <v>1</v>
      </c>
      <c r="J318" s="21">
        <v>6</v>
      </c>
      <c r="K318" s="21">
        <v>0</v>
      </c>
      <c r="L318" s="21">
        <v>6</v>
      </c>
      <c r="M318" s="21">
        <v>0</v>
      </c>
      <c r="P318" s="24">
        <f>J318+L318+N318</f>
        <v>12</v>
      </c>
      <c r="Q318" s="24">
        <f>K318+M318+O318</f>
        <v>0</v>
      </c>
      <c r="R318" s="24">
        <v>1</v>
      </c>
      <c r="S318" s="21" t="s">
        <v>108</v>
      </c>
      <c r="U318" s="21" t="s">
        <v>287</v>
      </c>
      <c r="V318" s="21" t="s">
        <v>286</v>
      </c>
      <c r="W318" s="21">
        <v>10</v>
      </c>
      <c r="X318" s="21" t="s">
        <v>285</v>
      </c>
      <c r="Y318" s="21" t="s">
        <v>284</v>
      </c>
      <c r="Z318" s="21" t="s">
        <v>283</v>
      </c>
      <c r="AA318" s="21" t="s">
        <v>170</v>
      </c>
      <c r="AB318" s="21">
        <v>1</v>
      </c>
      <c r="AD318" s="24">
        <v>6.27</v>
      </c>
      <c r="AE318" s="24">
        <v>3.77</v>
      </c>
      <c r="AF318" s="21" t="s">
        <v>304</v>
      </c>
      <c r="AG318" s="21" t="s">
        <v>303</v>
      </c>
    </row>
    <row r="319" spans="1:33">
      <c r="A319" s="21" t="s">
        <v>170</v>
      </c>
      <c r="B319" s="21" t="s">
        <v>732</v>
      </c>
      <c r="C319" s="25">
        <v>46134.625</v>
      </c>
      <c r="D319" s="21" t="s">
        <v>103</v>
      </c>
      <c r="E319" s="24">
        <v>5.86</v>
      </c>
      <c r="F319" s="24">
        <v>7.13</v>
      </c>
      <c r="G319" s="24">
        <f>E319-F319</f>
        <v>-1.2699999999999996</v>
      </c>
      <c r="H319" s="21" t="s">
        <v>294</v>
      </c>
      <c r="I319" s="21">
        <v>0</v>
      </c>
      <c r="J319" s="21">
        <v>3</v>
      </c>
      <c r="K319" s="21">
        <v>6</v>
      </c>
      <c r="L319" s="21">
        <v>2</v>
      </c>
      <c r="M319" s="21">
        <v>6</v>
      </c>
      <c r="P319" s="24">
        <f>J319+L319+N319</f>
        <v>5</v>
      </c>
      <c r="Q319" s="24">
        <f>K319+M319+O319</f>
        <v>12</v>
      </c>
      <c r="R319" s="24">
        <v>0.29411764705882354</v>
      </c>
      <c r="S319" s="21" t="s">
        <v>62</v>
      </c>
      <c r="U319" s="21" t="s">
        <v>287</v>
      </c>
      <c r="V319" s="21" t="s">
        <v>286</v>
      </c>
      <c r="W319" s="21">
        <v>11</v>
      </c>
      <c r="X319" s="21" t="s">
        <v>285</v>
      </c>
      <c r="Y319" s="21" t="s">
        <v>284</v>
      </c>
      <c r="Z319" s="21" t="s">
        <v>283</v>
      </c>
      <c r="AA319" s="21" t="s">
        <v>170</v>
      </c>
      <c r="AB319" s="21">
        <v>1</v>
      </c>
      <c r="AD319" s="24">
        <v>6.27</v>
      </c>
      <c r="AE319" s="24">
        <v>7.12</v>
      </c>
      <c r="AF319" s="21" t="s">
        <v>304</v>
      </c>
      <c r="AG319" s="21" t="s">
        <v>303</v>
      </c>
    </row>
    <row r="320" spans="1:33">
      <c r="A320" s="21" t="s">
        <v>57</v>
      </c>
      <c r="B320" s="21" t="s">
        <v>291</v>
      </c>
      <c r="C320" s="25">
        <v>46092.645833333336</v>
      </c>
      <c r="D320" s="21" t="s">
        <v>635</v>
      </c>
      <c r="E320" s="24">
        <v>4.51</v>
      </c>
      <c r="F320" s="24">
        <v>4.54</v>
      </c>
      <c r="G320" s="24">
        <f>E320-F320</f>
        <v>-3.0000000000000249E-2</v>
      </c>
      <c r="H320" s="21" t="s">
        <v>289</v>
      </c>
      <c r="I320" s="21">
        <v>1</v>
      </c>
      <c r="J320" s="21">
        <v>6</v>
      </c>
      <c r="K320" s="21">
        <v>2</v>
      </c>
      <c r="L320" s="21">
        <v>6</v>
      </c>
      <c r="M320" s="21">
        <v>1</v>
      </c>
      <c r="P320" s="24">
        <f>J320+L320+N320</f>
        <v>12</v>
      </c>
      <c r="Q320" s="24">
        <f>K320+M320+O320</f>
        <v>3</v>
      </c>
      <c r="R320" s="24">
        <v>0.8</v>
      </c>
      <c r="S320" s="21" t="s">
        <v>308</v>
      </c>
      <c r="U320" s="21" t="s">
        <v>287</v>
      </c>
      <c r="V320" s="21" t="s">
        <v>286</v>
      </c>
      <c r="W320" s="21">
        <v>0</v>
      </c>
      <c r="X320" s="21" t="s">
        <v>312</v>
      </c>
      <c r="Y320" s="21" t="s">
        <v>284</v>
      </c>
      <c r="Z320" s="21" t="s">
        <v>283</v>
      </c>
      <c r="AA320" s="21" t="s">
        <v>57</v>
      </c>
      <c r="AB320" s="21">
        <v>1</v>
      </c>
      <c r="AD320" s="24">
        <v>5.91</v>
      </c>
      <c r="AE320" s="24">
        <v>4.54</v>
      </c>
      <c r="AF320" s="21" t="s">
        <v>304</v>
      </c>
      <c r="AG320" s="21" t="s">
        <v>303</v>
      </c>
    </row>
    <row r="321" spans="1:33">
      <c r="A321" s="21" t="s">
        <v>57</v>
      </c>
      <c r="B321" s="21" t="s">
        <v>291</v>
      </c>
      <c r="C321" s="25">
        <v>46101.645833333336</v>
      </c>
      <c r="D321" s="21" t="s">
        <v>170</v>
      </c>
      <c r="E321" s="24">
        <v>4.54</v>
      </c>
      <c r="F321" s="24">
        <v>5.23</v>
      </c>
      <c r="G321" s="24">
        <f>E321-F321</f>
        <v>-0.69000000000000039</v>
      </c>
      <c r="H321" s="21" t="s">
        <v>294</v>
      </c>
      <c r="I321" s="21">
        <v>0</v>
      </c>
      <c r="J321" s="21">
        <v>1</v>
      </c>
      <c r="K321" s="21">
        <v>6</v>
      </c>
      <c r="L321" s="21">
        <v>6</v>
      </c>
      <c r="M321" s="21">
        <v>4</v>
      </c>
      <c r="N321" s="21">
        <v>1</v>
      </c>
      <c r="O321" s="21">
        <v>6</v>
      </c>
      <c r="P321" s="24">
        <f>J321+L321+N321</f>
        <v>8</v>
      </c>
      <c r="Q321" s="24">
        <f>K321+M321+O321</f>
        <v>16</v>
      </c>
      <c r="R321" s="24">
        <f>P321/(P321+Q321)</f>
        <v>0.33333333333333331</v>
      </c>
      <c r="S321" s="21" t="s">
        <v>223</v>
      </c>
      <c r="U321" s="21" t="s">
        <v>287</v>
      </c>
      <c r="V321" s="21" t="s">
        <v>286</v>
      </c>
      <c r="W321" s="21">
        <v>1</v>
      </c>
      <c r="X321" s="21" t="s">
        <v>323</v>
      </c>
      <c r="Y321" s="21" t="s">
        <v>284</v>
      </c>
      <c r="Z321" s="21" t="s">
        <v>283</v>
      </c>
      <c r="AA321" s="21" t="s">
        <v>57</v>
      </c>
      <c r="AB321" s="21">
        <v>1</v>
      </c>
      <c r="AD321" s="24">
        <v>5.91</v>
      </c>
      <c r="AE321" s="24">
        <v>6.27</v>
      </c>
      <c r="AF321" s="21" t="s">
        <v>322</v>
      </c>
      <c r="AG321" s="21" t="s">
        <v>301</v>
      </c>
    </row>
    <row r="322" spans="1:33">
      <c r="A322" s="21" t="s">
        <v>57</v>
      </c>
      <c r="B322" s="21" t="s">
        <v>291</v>
      </c>
      <c r="C322" s="25">
        <v>46108.645833333336</v>
      </c>
      <c r="D322" s="21" t="s">
        <v>84</v>
      </c>
      <c r="E322" s="24">
        <v>4.6100000000000003</v>
      </c>
      <c r="F322" s="24">
        <v>6.29</v>
      </c>
      <c r="G322" s="24">
        <f>E322-F322</f>
        <v>-1.6799999999999997</v>
      </c>
      <c r="H322" s="21" t="s">
        <v>294</v>
      </c>
      <c r="I322" s="21">
        <v>0</v>
      </c>
      <c r="J322" s="21">
        <v>2</v>
      </c>
      <c r="K322" s="21">
        <v>6</v>
      </c>
      <c r="L322" s="21">
        <v>6</v>
      </c>
      <c r="M322" s="21">
        <v>7</v>
      </c>
      <c r="P322" s="24">
        <f>J322+L322+N322</f>
        <v>8</v>
      </c>
      <c r="Q322" s="24">
        <f>K322+M322+O322</f>
        <v>13</v>
      </c>
      <c r="R322" s="24">
        <f>P322/(P322+Q322)</f>
        <v>0.38095238095238093</v>
      </c>
      <c r="S322" s="21" t="s">
        <v>192</v>
      </c>
      <c r="U322" s="21" t="s">
        <v>287</v>
      </c>
      <c r="V322" s="21" t="s">
        <v>286</v>
      </c>
      <c r="W322" s="21">
        <v>2</v>
      </c>
      <c r="X322" s="21" t="s">
        <v>310</v>
      </c>
      <c r="Y322" s="21" t="s">
        <v>284</v>
      </c>
      <c r="Z322" s="21" t="s">
        <v>283</v>
      </c>
      <c r="AA322" s="21" t="s">
        <v>57</v>
      </c>
      <c r="AB322" s="21">
        <v>1</v>
      </c>
      <c r="AD322" s="24">
        <v>5.91</v>
      </c>
      <c r="AE322" s="24">
        <v>6.87</v>
      </c>
      <c r="AF322" s="21" t="s">
        <v>302</v>
      </c>
      <c r="AG322" s="21" t="s">
        <v>301</v>
      </c>
    </row>
    <row r="323" spans="1:33">
      <c r="A323" s="21" t="s">
        <v>57</v>
      </c>
      <c r="B323" s="21" t="s">
        <v>291</v>
      </c>
      <c r="C323" s="25">
        <v>46120.645833333336</v>
      </c>
      <c r="D323" s="21" t="s">
        <v>155</v>
      </c>
      <c r="E323" s="24">
        <v>4.76</v>
      </c>
      <c r="F323" s="24">
        <v>4.43</v>
      </c>
      <c r="G323" s="24">
        <f>E323-F323</f>
        <v>0.33000000000000007</v>
      </c>
      <c r="H323" s="21" t="s">
        <v>289</v>
      </c>
      <c r="I323" s="21">
        <v>1</v>
      </c>
      <c r="J323" s="21">
        <v>6</v>
      </c>
      <c r="K323" s="21">
        <v>1</v>
      </c>
      <c r="L323" s="21">
        <v>6</v>
      </c>
      <c r="M323" s="21">
        <v>0</v>
      </c>
      <c r="P323" s="24">
        <f>J323+L323+N323</f>
        <v>12</v>
      </c>
      <c r="Q323" s="24">
        <f>K323+M323+O323</f>
        <v>1</v>
      </c>
      <c r="R323" s="24">
        <v>0.92307692307692313</v>
      </c>
      <c r="S323" s="21" t="s">
        <v>156</v>
      </c>
      <c r="U323" s="21" t="s">
        <v>287</v>
      </c>
      <c r="V323" s="21" t="s">
        <v>286</v>
      </c>
      <c r="W323" s="21">
        <v>3</v>
      </c>
      <c r="X323" s="21" t="s">
        <v>285</v>
      </c>
      <c r="Y323" s="21" t="s">
        <v>284</v>
      </c>
      <c r="Z323" s="21" t="s">
        <v>283</v>
      </c>
      <c r="AA323" s="21" t="s">
        <v>57</v>
      </c>
      <c r="AB323" s="21">
        <v>1</v>
      </c>
      <c r="AD323" s="24">
        <v>5.91</v>
      </c>
      <c r="AE323" s="24">
        <v>4.6900000000000004</v>
      </c>
      <c r="AF323" s="21" t="s">
        <v>304</v>
      </c>
      <c r="AG323" s="21" t="s">
        <v>303</v>
      </c>
    </row>
    <row r="324" spans="1:33">
      <c r="A324" s="21" t="s">
        <v>57</v>
      </c>
      <c r="B324" s="21" t="s">
        <v>291</v>
      </c>
      <c r="C324" s="25">
        <v>46121.645833333336</v>
      </c>
      <c r="D324" s="21" t="s">
        <v>394</v>
      </c>
      <c r="E324" s="24">
        <v>4.76</v>
      </c>
      <c r="F324" s="24">
        <v>4.45</v>
      </c>
      <c r="G324" s="24">
        <f>E324-F324</f>
        <v>0.30999999999999961</v>
      </c>
      <c r="H324" s="21" t="s">
        <v>289</v>
      </c>
      <c r="I324" s="21">
        <v>1</v>
      </c>
      <c r="J324" s="21">
        <v>2</v>
      </c>
      <c r="K324" s="21">
        <v>6</v>
      </c>
      <c r="L324" s="21">
        <v>6</v>
      </c>
      <c r="M324" s="21">
        <v>2</v>
      </c>
      <c r="N324" s="21">
        <v>6</v>
      </c>
      <c r="O324" s="21">
        <v>4</v>
      </c>
      <c r="P324" s="24">
        <f>J324+L324+N324</f>
        <v>14</v>
      </c>
      <c r="Q324" s="24">
        <f>K324+M324+O324</f>
        <v>12</v>
      </c>
      <c r="R324" s="24">
        <v>0.53846153846153844</v>
      </c>
      <c r="S324" s="21" t="s">
        <v>146</v>
      </c>
      <c r="U324" s="21" t="s">
        <v>287</v>
      </c>
      <c r="V324" s="21" t="s">
        <v>286</v>
      </c>
      <c r="W324" s="21">
        <v>4</v>
      </c>
      <c r="X324" s="21" t="s">
        <v>285</v>
      </c>
      <c r="Y324" s="21" t="s">
        <v>284</v>
      </c>
      <c r="Z324" s="21" t="s">
        <v>283</v>
      </c>
      <c r="AA324" s="21" t="s">
        <v>57</v>
      </c>
      <c r="AB324" s="21">
        <v>1</v>
      </c>
      <c r="AD324" s="24">
        <v>5.91</v>
      </c>
      <c r="AE324" s="24">
        <v>5.95</v>
      </c>
      <c r="AF324" s="21" t="s">
        <v>304</v>
      </c>
      <c r="AG324" s="21" t="s">
        <v>303</v>
      </c>
    </row>
    <row r="325" spans="1:33">
      <c r="A325" s="21" t="s">
        <v>57</v>
      </c>
      <c r="B325" s="21" t="s">
        <v>291</v>
      </c>
      <c r="C325" s="25">
        <v>46126.645833333336</v>
      </c>
      <c r="D325" s="21" t="s">
        <v>731</v>
      </c>
      <c r="E325" s="24">
        <v>4.97</v>
      </c>
      <c r="F325" s="24">
        <v>7.79</v>
      </c>
      <c r="G325" s="24">
        <f>E325-F325</f>
        <v>-2.8200000000000003</v>
      </c>
      <c r="H325" s="21" t="s">
        <v>294</v>
      </c>
      <c r="I325" s="21">
        <v>0</v>
      </c>
      <c r="J325" s="21">
        <v>2</v>
      </c>
      <c r="K325" s="21">
        <v>6</v>
      </c>
      <c r="L325" s="21">
        <v>5</v>
      </c>
      <c r="M325" s="21">
        <v>7</v>
      </c>
      <c r="P325" s="24">
        <f>J325+L325+N325</f>
        <v>7</v>
      </c>
      <c r="Q325" s="24">
        <f>K325+M325+O325</f>
        <v>13</v>
      </c>
      <c r="R325" s="24">
        <v>0.35</v>
      </c>
      <c r="S325" s="21" t="s">
        <v>300</v>
      </c>
      <c r="U325" s="21" t="s">
        <v>287</v>
      </c>
      <c r="V325" s="21" t="s">
        <v>286</v>
      </c>
      <c r="W325" s="21">
        <v>5</v>
      </c>
      <c r="X325" s="21" t="s">
        <v>285</v>
      </c>
      <c r="Y325" s="21" t="s">
        <v>284</v>
      </c>
      <c r="Z325" s="21" t="s">
        <v>283</v>
      </c>
      <c r="AA325" s="21" t="s">
        <v>57</v>
      </c>
      <c r="AB325" s="21">
        <v>1</v>
      </c>
      <c r="AD325" s="24">
        <v>5.91</v>
      </c>
      <c r="AE325" s="24">
        <v>7.79</v>
      </c>
      <c r="AF325" s="21" t="s">
        <v>304</v>
      </c>
      <c r="AG325" s="21" t="s">
        <v>303</v>
      </c>
    </row>
    <row r="326" spans="1:33">
      <c r="A326" s="21" t="s">
        <v>57</v>
      </c>
      <c r="B326" s="21" t="s">
        <v>291</v>
      </c>
      <c r="C326" s="25">
        <v>46133.645833333336</v>
      </c>
      <c r="D326" s="21" t="s">
        <v>114</v>
      </c>
      <c r="E326" s="24">
        <v>5.14</v>
      </c>
      <c r="F326" s="24">
        <v>7.94</v>
      </c>
      <c r="G326" s="24">
        <f>E326-F326</f>
        <v>-2.8000000000000007</v>
      </c>
      <c r="H326" s="21" t="s">
        <v>294</v>
      </c>
      <c r="I326" s="21">
        <v>0</v>
      </c>
      <c r="J326" s="21">
        <v>1</v>
      </c>
      <c r="K326" s="21">
        <v>6</v>
      </c>
      <c r="L326" s="21">
        <v>3</v>
      </c>
      <c r="M326" s="21">
        <v>6</v>
      </c>
      <c r="P326" s="24">
        <f>J326+L326+N326</f>
        <v>4</v>
      </c>
      <c r="Q326" s="24">
        <f>K326+M326+O326</f>
        <v>12</v>
      </c>
      <c r="R326" s="24">
        <v>0.25</v>
      </c>
      <c r="S326" s="21" t="s">
        <v>299</v>
      </c>
      <c r="U326" s="21" t="s">
        <v>287</v>
      </c>
      <c r="V326" s="21" t="s">
        <v>286</v>
      </c>
      <c r="W326" s="21">
        <v>6</v>
      </c>
      <c r="X326" s="21" t="s">
        <v>285</v>
      </c>
      <c r="Y326" s="21" t="s">
        <v>284</v>
      </c>
      <c r="Z326" s="21" t="s">
        <v>283</v>
      </c>
      <c r="AA326" s="21" t="s">
        <v>57</v>
      </c>
      <c r="AB326" s="21">
        <v>1</v>
      </c>
      <c r="AD326" s="24">
        <v>5.91</v>
      </c>
      <c r="AE326" s="24">
        <v>8.18</v>
      </c>
      <c r="AF326" s="21" t="s">
        <v>304</v>
      </c>
      <c r="AG326" s="21" t="s">
        <v>303</v>
      </c>
    </row>
    <row r="327" spans="1:33">
      <c r="A327" s="21" t="s">
        <v>57</v>
      </c>
      <c r="B327" s="21" t="s">
        <v>291</v>
      </c>
      <c r="C327" s="25">
        <v>46134.645833333336</v>
      </c>
      <c r="D327" s="21" t="s">
        <v>58</v>
      </c>
      <c r="E327" s="24">
        <v>5.14</v>
      </c>
      <c r="F327" s="24">
        <v>4.59</v>
      </c>
      <c r="G327" s="24">
        <f>E327-F327</f>
        <v>0.54999999999999982</v>
      </c>
      <c r="H327" s="21" t="s">
        <v>289</v>
      </c>
      <c r="I327" s="21">
        <v>1</v>
      </c>
      <c r="J327" s="21">
        <v>6</v>
      </c>
      <c r="K327" s="21">
        <v>0</v>
      </c>
      <c r="L327" s="21">
        <v>7</v>
      </c>
      <c r="M327" s="21">
        <v>6</v>
      </c>
      <c r="P327" s="24">
        <f>J327+L327+N327</f>
        <v>13</v>
      </c>
      <c r="Q327" s="24">
        <f>K327+M327+O327</f>
        <v>6</v>
      </c>
      <c r="R327" s="24">
        <v>0.68421052631578949</v>
      </c>
      <c r="S327" s="21" t="s">
        <v>59</v>
      </c>
      <c r="U327" s="21" t="s">
        <v>287</v>
      </c>
      <c r="V327" s="21" t="s">
        <v>286</v>
      </c>
      <c r="W327" s="21">
        <v>7</v>
      </c>
      <c r="X327" s="21" t="s">
        <v>285</v>
      </c>
      <c r="Y327" s="21" t="s">
        <v>284</v>
      </c>
      <c r="Z327" s="21" t="s">
        <v>283</v>
      </c>
      <c r="AA327" s="21" t="s">
        <v>57</v>
      </c>
      <c r="AB327" s="21">
        <v>1</v>
      </c>
      <c r="AD327" s="24">
        <v>5.91</v>
      </c>
      <c r="AE327" s="24">
        <v>4.79</v>
      </c>
      <c r="AF327" s="21" t="s">
        <v>304</v>
      </c>
      <c r="AG327" s="21" t="s">
        <v>303</v>
      </c>
    </row>
    <row r="328" spans="1:33">
      <c r="A328" s="21" t="s">
        <v>57</v>
      </c>
      <c r="B328" s="21" t="s">
        <v>291</v>
      </c>
      <c r="C328" s="25">
        <v>46141.645833333336</v>
      </c>
      <c r="D328" s="21" t="s">
        <v>1</v>
      </c>
      <c r="E328" s="24">
        <v>5.21</v>
      </c>
      <c r="F328" s="24">
        <v>7.89</v>
      </c>
      <c r="G328" s="24">
        <f>E328-F328</f>
        <v>-2.6799999999999997</v>
      </c>
      <c r="H328" s="21" t="s">
        <v>294</v>
      </c>
      <c r="I328" s="21">
        <v>0</v>
      </c>
      <c r="J328" s="21">
        <v>0</v>
      </c>
      <c r="K328" s="21">
        <v>6</v>
      </c>
      <c r="L328" s="21">
        <v>4</v>
      </c>
      <c r="M328" s="21">
        <v>6</v>
      </c>
      <c r="P328" s="24">
        <f>J328+L328+N328</f>
        <v>4</v>
      </c>
      <c r="Q328" s="24">
        <f>K328+M328+O328</f>
        <v>12</v>
      </c>
      <c r="R328" s="24">
        <f>P328/(P328+Q328)</f>
        <v>0.25</v>
      </c>
      <c r="S328" s="21" t="s">
        <v>35</v>
      </c>
      <c r="U328" s="21" t="s">
        <v>287</v>
      </c>
      <c r="V328" s="21" t="s">
        <v>286</v>
      </c>
      <c r="W328" s="21">
        <v>8</v>
      </c>
      <c r="X328" s="21" t="s">
        <v>285</v>
      </c>
      <c r="Y328" s="21" t="s">
        <v>284</v>
      </c>
      <c r="Z328" s="21" t="s">
        <v>283</v>
      </c>
      <c r="AA328" s="21" t="s">
        <v>57</v>
      </c>
      <c r="AB328" s="21">
        <v>1</v>
      </c>
      <c r="AD328" s="24">
        <v>5.91</v>
      </c>
      <c r="AE328" s="24">
        <v>7.87</v>
      </c>
      <c r="AF328" s="21" t="s">
        <v>302</v>
      </c>
      <c r="AG328" s="21" t="s">
        <v>301</v>
      </c>
    </row>
    <row r="329" spans="1:33">
      <c r="A329" s="21" t="s">
        <v>91</v>
      </c>
      <c r="B329" s="21" t="s">
        <v>515</v>
      </c>
      <c r="C329" s="25">
        <v>46083.713888888888</v>
      </c>
      <c r="D329" s="21" t="s">
        <v>730</v>
      </c>
      <c r="E329" s="24">
        <v>6.61</v>
      </c>
      <c r="F329" s="24">
        <v>7.19</v>
      </c>
      <c r="G329" s="24">
        <f>E329-F329</f>
        <v>-0.58000000000000007</v>
      </c>
      <c r="H329" s="21" t="s">
        <v>294</v>
      </c>
      <c r="I329" s="21">
        <v>0</v>
      </c>
      <c r="J329" s="21">
        <v>4</v>
      </c>
      <c r="K329" s="21">
        <v>6</v>
      </c>
      <c r="L329" s="21">
        <v>2</v>
      </c>
      <c r="M329" s="21">
        <v>6</v>
      </c>
      <c r="P329" s="24">
        <f>J329+L329+N329</f>
        <v>6</v>
      </c>
      <c r="Q329" s="24">
        <f>K329+M329+O329</f>
        <v>12</v>
      </c>
      <c r="R329" s="24">
        <f>P329/(P329+Q329)</f>
        <v>0.33333333333333331</v>
      </c>
      <c r="S329" s="21" t="s">
        <v>581</v>
      </c>
      <c r="U329" s="21" t="s">
        <v>412</v>
      </c>
      <c r="V329" s="21" t="s">
        <v>286</v>
      </c>
      <c r="W329" s="21">
        <v>0</v>
      </c>
      <c r="X329" s="21" t="s">
        <v>312</v>
      </c>
      <c r="Y329" s="21" t="s">
        <v>318</v>
      </c>
      <c r="Z329" s="21" t="s">
        <v>317</v>
      </c>
      <c r="AA329" s="21" t="s">
        <v>91</v>
      </c>
      <c r="AB329" s="21">
        <v>1</v>
      </c>
      <c r="AD329" s="24">
        <v>6.61</v>
      </c>
      <c r="AE329" s="24">
        <v>7.19</v>
      </c>
      <c r="AF329" s="21" t="s">
        <v>302</v>
      </c>
      <c r="AG329" s="21" t="s">
        <v>301</v>
      </c>
    </row>
    <row r="330" spans="1:33">
      <c r="A330" s="21" t="s">
        <v>91</v>
      </c>
      <c r="B330" s="21" t="s">
        <v>515</v>
      </c>
      <c r="C330" s="25">
        <v>46090.428472222222</v>
      </c>
      <c r="D330" s="21" t="s">
        <v>729</v>
      </c>
      <c r="E330" s="24">
        <v>6.18</v>
      </c>
      <c r="F330" s="24">
        <v>5.97</v>
      </c>
      <c r="G330" s="24">
        <f>E330-F330</f>
        <v>0.20999999999999996</v>
      </c>
      <c r="H330" s="21" t="s">
        <v>294</v>
      </c>
      <c r="I330" s="21">
        <v>0</v>
      </c>
      <c r="J330" s="21">
        <v>4</v>
      </c>
      <c r="K330" s="21">
        <v>6</v>
      </c>
      <c r="L330" s="21">
        <v>3</v>
      </c>
      <c r="M330" s="21">
        <v>6</v>
      </c>
      <c r="P330" s="24">
        <f>J330+L330+N330</f>
        <v>7</v>
      </c>
      <c r="Q330" s="24">
        <f>K330+M330+O330</f>
        <v>12</v>
      </c>
      <c r="R330" s="24">
        <v>0.36842105263157893</v>
      </c>
      <c r="S330" s="21" t="s">
        <v>728</v>
      </c>
      <c r="U330" s="21" t="s">
        <v>412</v>
      </c>
      <c r="V330" s="21" t="s">
        <v>286</v>
      </c>
      <c r="W330" s="21">
        <v>1</v>
      </c>
      <c r="X330" s="21" t="s">
        <v>323</v>
      </c>
      <c r="Y330" s="21" t="s">
        <v>318</v>
      </c>
      <c r="Z330" s="21" t="s">
        <v>317</v>
      </c>
      <c r="AA330" s="21" t="s">
        <v>91</v>
      </c>
      <c r="AB330" s="21">
        <v>1</v>
      </c>
      <c r="AD330" s="24">
        <v>6.61</v>
      </c>
      <c r="AE330" s="24">
        <v>5.97</v>
      </c>
      <c r="AF330" s="21" t="s">
        <v>304</v>
      </c>
      <c r="AG330" s="21" t="s">
        <v>303</v>
      </c>
    </row>
    <row r="331" spans="1:33">
      <c r="A331" s="21" t="s">
        <v>91</v>
      </c>
      <c r="B331" s="21" t="s">
        <v>515</v>
      </c>
      <c r="C331" s="25">
        <v>46098.625</v>
      </c>
      <c r="D331" s="21" t="s">
        <v>70</v>
      </c>
      <c r="E331" s="24">
        <v>5.71</v>
      </c>
      <c r="F331" s="24">
        <v>8.11</v>
      </c>
      <c r="G331" s="24">
        <f>E331-F331</f>
        <v>-2.3999999999999995</v>
      </c>
      <c r="H331" s="21" t="s">
        <v>294</v>
      </c>
      <c r="I331" s="21">
        <v>0</v>
      </c>
      <c r="J331" s="21">
        <v>4</v>
      </c>
      <c r="K331" s="21">
        <v>6</v>
      </c>
      <c r="L331" s="21">
        <v>7</v>
      </c>
      <c r="M331" s="21">
        <v>6</v>
      </c>
      <c r="N331" s="21">
        <v>0</v>
      </c>
      <c r="O331" s="21">
        <v>1</v>
      </c>
      <c r="P331" s="24">
        <f>J331+L331+N331</f>
        <v>11</v>
      </c>
      <c r="Q331" s="24">
        <f>K331+M331+O331</f>
        <v>13</v>
      </c>
      <c r="R331" s="24">
        <v>0.33208955223880599</v>
      </c>
      <c r="S331" s="21" t="s">
        <v>324</v>
      </c>
      <c r="U331" s="21" t="s">
        <v>287</v>
      </c>
      <c r="V331" s="21" t="s">
        <v>286</v>
      </c>
      <c r="W331" s="21">
        <v>2</v>
      </c>
      <c r="X331" s="21" t="s">
        <v>310</v>
      </c>
      <c r="Y331" s="21" t="s">
        <v>318</v>
      </c>
      <c r="Z331" s="21" t="s">
        <v>317</v>
      </c>
      <c r="AA331" s="21" t="s">
        <v>91</v>
      </c>
      <c r="AB331" s="21">
        <v>1</v>
      </c>
      <c r="AD331" s="24">
        <v>6.61</v>
      </c>
      <c r="AE331" s="24">
        <v>7.26</v>
      </c>
      <c r="AF331" s="21" t="s">
        <v>304</v>
      </c>
      <c r="AG331" s="21" t="s">
        <v>303</v>
      </c>
    </row>
    <row r="332" spans="1:33">
      <c r="A332" s="21" t="s">
        <v>91</v>
      </c>
      <c r="B332" s="21" t="s">
        <v>515</v>
      </c>
      <c r="C332" s="25">
        <v>46099.645833333336</v>
      </c>
      <c r="D332" s="21" t="s">
        <v>37</v>
      </c>
      <c r="E332" s="24">
        <v>5.71</v>
      </c>
      <c r="F332" s="24">
        <v>9.94</v>
      </c>
      <c r="G332" s="24">
        <f>E332-F332</f>
        <v>-4.2299999999999995</v>
      </c>
      <c r="H332" s="21" t="s">
        <v>294</v>
      </c>
      <c r="I332" s="21">
        <v>0</v>
      </c>
      <c r="J332" s="21">
        <v>2</v>
      </c>
      <c r="K332" s="21">
        <v>6</v>
      </c>
      <c r="L332" s="21">
        <v>3</v>
      </c>
      <c r="M332" s="21">
        <v>6</v>
      </c>
      <c r="P332" s="24">
        <f>J332+L332+N332</f>
        <v>5</v>
      </c>
      <c r="Q332" s="24">
        <f>K332+M332+O332</f>
        <v>12</v>
      </c>
      <c r="R332" s="24">
        <v>0.29411764705882354</v>
      </c>
      <c r="S332" s="21" t="s">
        <v>444</v>
      </c>
      <c r="U332" s="21" t="s">
        <v>287</v>
      </c>
      <c r="V332" s="21" t="s">
        <v>286</v>
      </c>
      <c r="W332" s="21">
        <v>3</v>
      </c>
      <c r="X332" s="21" t="s">
        <v>285</v>
      </c>
      <c r="Y332" s="21" t="s">
        <v>318</v>
      </c>
      <c r="Z332" s="21" t="s">
        <v>317</v>
      </c>
      <c r="AA332" s="21" t="s">
        <v>91</v>
      </c>
      <c r="AB332" s="21">
        <v>1</v>
      </c>
      <c r="AD332" s="24">
        <v>6.61</v>
      </c>
      <c r="AE332" s="24">
        <v>10.06</v>
      </c>
      <c r="AF332" s="21" t="s">
        <v>304</v>
      </c>
      <c r="AG332" s="21" t="s">
        <v>303</v>
      </c>
    </row>
    <row r="333" spans="1:33">
      <c r="A333" s="21" t="s">
        <v>91</v>
      </c>
      <c r="B333" s="21" t="s">
        <v>515</v>
      </c>
      <c r="C333" s="25">
        <v>46105.645833333336</v>
      </c>
      <c r="D333" s="21" t="s">
        <v>54</v>
      </c>
      <c r="E333" s="24">
        <v>5.31</v>
      </c>
      <c r="F333" s="24">
        <v>4.54</v>
      </c>
      <c r="G333" s="24">
        <f>E333-F333</f>
        <v>0.76999999999999957</v>
      </c>
      <c r="H333" s="21" t="s">
        <v>289</v>
      </c>
      <c r="I333" s="21">
        <v>1</v>
      </c>
      <c r="J333" s="21">
        <v>6</v>
      </c>
      <c r="K333" s="21">
        <v>1</v>
      </c>
      <c r="L333" s="21">
        <v>6</v>
      </c>
      <c r="M333" s="21">
        <v>3</v>
      </c>
      <c r="P333" s="24">
        <f>J333+L333+N333</f>
        <v>12</v>
      </c>
      <c r="Q333" s="24">
        <f>K333+M333+O333</f>
        <v>4</v>
      </c>
      <c r="R333" s="24">
        <v>0.75</v>
      </c>
      <c r="S333" s="21" t="s">
        <v>213</v>
      </c>
      <c r="U333" s="21" t="s">
        <v>287</v>
      </c>
      <c r="V333" s="21" t="s">
        <v>286</v>
      </c>
      <c r="W333" s="21">
        <v>4</v>
      </c>
      <c r="X333" s="21" t="s">
        <v>285</v>
      </c>
      <c r="Y333" s="21" t="s">
        <v>318</v>
      </c>
      <c r="Z333" s="21" t="s">
        <v>317</v>
      </c>
      <c r="AA333" s="21" t="s">
        <v>91</v>
      </c>
      <c r="AB333" s="21">
        <v>1</v>
      </c>
      <c r="AD333" s="24">
        <v>6.61</v>
      </c>
      <c r="AE333" s="24">
        <v>4.8600000000000003</v>
      </c>
      <c r="AF333" s="21" t="s">
        <v>304</v>
      </c>
      <c r="AG333" s="21" t="s">
        <v>303</v>
      </c>
    </row>
    <row r="334" spans="1:33">
      <c r="A334" s="21" t="s">
        <v>91</v>
      </c>
      <c r="B334" s="21" t="s">
        <v>515</v>
      </c>
      <c r="C334" s="25">
        <v>46106.645833333336</v>
      </c>
      <c r="D334" s="21" t="s">
        <v>46</v>
      </c>
      <c r="E334" s="24">
        <v>5.31</v>
      </c>
      <c r="F334" s="24">
        <v>7.33</v>
      </c>
      <c r="G334" s="24">
        <f>E334-F334</f>
        <v>-2.0200000000000005</v>
      </c>
      <c r="H334" s="21" t="s">
        <v>289</v>
      </c>
      <c r="I334" s="21">
        <v>1</v>
      </c>
      <c r="J334" s="21">
        <v>6</v>
      </c>
      <c r="K334" s="21">
        <v>4</v>
      </c>
      <c r="L334" s="21">
        <v>2</v>
      </c>
      <c r="M334" s="21">
        <v>6</v>
      </c>
      <c r="N334" s="21">
        <v>6</v>
      </c>
      <c r="O334" s="21">
        <v>3</v>
      </c>
      <c r="P334" s="24">
        <f>J334+L334+N334</f>
        <v>14</v>
      </c>
      <c r="Q334" s="24">
        <f>K334+M334+O334</f>
        <v>13</v>
      </c>
      <c r="R334" s="24">
        <v>0.51851851851851849</v>
      </c>
      <c r="S334" s="21" t="s">
        <v>207</v>
      </c>
      <c r="U334" s="21" t="s">
        <v>287</v>
      </c>
      <c r="V334" s="21" t="s">
        <v>286</v>
      </c>
      <c r="W334" s="21">
        <v>5</v>
      </c>
      <c r="X334" s="21" t="s">
        <v>285</v>
      </c>
      <c r="Y334" s="21" t="s">
        <v>318</v>
      </c>
      <c r="Z334" s="21" t="s">
        <v>317</v>
      </c>
      <c r="AA334" s="21" t="s">
        <v>91</v>
      </c>
      <c r="AB334" s="21">
        <v>1</v>
      </c>
      <c r="AD334" s="24">
        <v>6.61</v>
      </c>
      <c r="AE334" s="24">
        <v>7.96</v>
      </c>
      <c r="AF334" s="21" t="s">
        <v>304</v>
      </c>
      <c r="AG334" s="21" t="s">
        <v>303</v>
      </c>
    </row>
    <row r="335" spans="1:33">
      <c r="A335" s="21" t="s">
        <v>91</v>
      </c>
      <c r="B335" s="21" t="s">
        <v>515</v>
      </c>
      <c r="C335" s="25">
        <v>46108.645833333336</v>
      </c>
      <c r="D335" s="21" t="s">
        <v>13</v>
      </c>
      <c r="E335" s="24">
        <v>5.31</v>
      </c>
      <c r="F335" s="24">
        <v>7.16</v>
      </c>
      <c r="G335" s="24">
        <f>E335-F335</f>
        <v>-1.8500000000000005</v>
      </c>
      <c r="H335" s="21" t="s">
        <v>294</v>
      </c>
      <c r="I335" s="21">
        <v>0</v>
      </c>
      <c r="J335" s="21">
        <v>0</v>
      </c>
      <c r="K335" s="21">
        <v>6</v>
      </c>
      <c r="L335" s="21">
        <v>4</v>
      </c>
      <c r="M335" s="21">
        <v>6</v>
      </c>
      <c r="P335" s="24">
        <f>J335+L335+N335</f>
        <v>4</v>
      </c>
      <c r="Q335" s="24">
        <f>K335+M335+O335</f>
        <v>12</v>
      </c>
      <c r="R335" s="24">
        <v>0.25</v>
      </c>
      <c r="S335" s="21" t="s">
        <v>190</v>
      </c>
      <c r="U335" s="21" t="s">
        <v>287</v>
      </c>
      <c r="V335" s="21" t="s">
        <v>286</v>
      </c>
      <c r="W335" s="21">
        <v>6</v>
      </c>
      <c r="X335" s="21" t="s">
        <v>285</v>
      </c>
      <c r="Y335" s="21" t="s">
        <v>318</v>
      </c>
      <c r="Z335" s="21" t="s">
        <v>317</v>
      </c>
      <c r="AA335" s="21" t="s">
        <v>91</v>
      </c>
      <c r="AB335" s="21">
        <v>1</v>
      </c>
      <c r="AD335" s="24">
        <v>6.61</v>
      </c>
      <c r="AE335" s="24">
        <v>7.52</v>
      </c>
      <c r="AF335" s="21" t="s">
        <v>304</v>
      </c>
      <c r="AG335" s="21" t="s">
        <v>303</v>
      </c>
    </row>
    <row r="336" spans="1:33">
      <c r="A336" s="21" t="s">
        <v>91</v>
      </c>
      <c r="B336" s="21" t="s">
        <v>515</v>
      </c>
      <c r="C336" s="25">
        <v>46111.606944444444</v>
      </c>
      <c r="D336" s="21" t="s">
        <v>710</v>
      </c>
      <c r="E336" s="24">
        <v>5.31</v>
      </c>
      <c r="F336" s="24">
        <v>6.3</v>
      </c>
      <c r="G336" s="24">
        <f>E336-F336</f>
        <v>-0.99000000000000021</v>
      </c>
      <c r="H336" s="21" t="s">
        <v>289</v>
      </c>
      <c r="I336" s="21">
        <v>1</v>
      </c>
      <c r="J336" s="21">
        <v>6</v>
      </c>
      <c r="K336" s="21">
        <v>4</v>
      </c>
      <c r="L336" s="21">
        <v>6</v>
      </c>
      <c r="M336" s="21">
        <v>4</v>
      </c>
      <c r="P336" s="24">
        <f>J336+L336+N336</f>
        <v>12</v>
      </c>
      <c r="Q336" s="24">
        <f>K336+M336+O336</f>
        <v>8</v>
      </c>
      <c r="R336" s="24">
        <v>0.6</v>
      </c>
      <c r="S336" s="21" t="s">
        <v>727</v>
      </c>
      <c r="U336" s="21" t="s">
        <v>412</v>
      </c>
      <c r="V336" s="21" t="s">
        <v>286</v>
      </c>
      <c r="W336" s="21">
        <v>7</v>
      </c>
      <c r="X336" s="21" t="s">
        <v>285</v>
      </c>
      <c r="Y336" s="21" t="s">
        <v>318</v>
      </c>
      <c r="Z336" s="21" t="s">
        <v>317</v>
      </c>
      <c r="AA336" s="21" t="s">
        <v>91</v>
      </c>
      <c r="AB336" s="21">
        <v>1</v>
      </c>
      <c r="AD336" s="24">
        <v>6.61</v>
      </c>
      <c r="AE336" s="24">
        <v>6.3</v>
      </c>
      <c r="AF336" s="21" t="s">
        <v>304</v>
      </c>
      <c r="AG336" s="21" t="s">
        <v>303</v>
      </c>
    </row>
    <row r="337" spans="1:33">
      <c r="A337" s="21" t="s">
        <v>91</v>
      </c>
      <c r="B337" s="21" t="s">
        <v>515</v>
      </c>
      <c r="C337" s="25">
        <v>46111.609027777777</v>
      </c>
      <c r="D337" s="21" t="s">
        <v>679</v>
      </c>
      <c r="E337" s="24">
        <v>5.31</v>
      </c>
      <c r="F337" s="24">
        <v>5.49</v>
      </c>
      <c r="G337" s="24">
        <f>E337-F337</f>
        <v>-0.1800000000000006</v>
      </c>
      <c r="H337" s="21" t="s">
        <v>289</v>
      </c>
      <c r="I337" s="21">
        <v>1</v>
      </c>
      <c r="J337" s="21">
        <v>6</v>
      </c>
      <c r="K337" s="21">
        <v>3</v>
      </c>
      <c r="L337" s="21">
        <v>6</v>
      </c>
      <c r="M337" s="21">
        <v>1</v>
      </c>
      <c r="P337" s="24">
        <f>J337+L337+N337</f>
        <v>12</v>
      </c>
      <c r="Q337" s="24">
        <f>K337+M337+O337</f>
        <v>4</v>
      </c>
      <c r="R337" s="24">
        <v>0.75</v>
      </c>
      <c r="S337" s="21" t="s">
        <v>727</v>
      </c>
      <c r="U337" s="21" t="s">
        <v>412</v>
      </c>
      <c r="V337" s="21" t="s">
        <v>286</v>
      </c>
      <c r="W337" s="21">
        <v>8</v>
      </c>
      <c r="X337" s="21" t="s">
        <v>285</v>
      </c>
      <c r="Y337" s="21" t="s">
        <v>318</v>
      </c>
      <c r="Z337" s="21" t="s">
        <v>317</v>
      </c>
      <c r="AA337" s="21" t="s">
        <v>91</v>
      </c>
      <c r="AB337" s="21">
        <v>1</v>
      </c>
      <c r="AD337" s="24">
        <v>6.61</v>
      </c>
      <c r="AE337" s="24">
        <v>5.49</v>
      </c>
      <c r="AF337" s="21" t="s">
        <v>304</v>
      </c>
      <c r="AG337" s="21" t="s">
        <v>303</v>
      </c>
    </row>
    <row r="338" spans="1:33">
      <c r="A338" s="21" t="s">
        <v>91</v>
      </c>
      <c r="B338" s="21" t="s">
        <v>515</v>
      </c>
      <c r="C338" s="25">
        <v>46111.645833333336</v>
      </c>
      <c r="D338" s="21" t="s">
        <v>427</v>
      </c>
      <c r="E338" s="24">
        <v>5.31</v>
      </c>
      <c r="F338" s="24">
        <v>2.35</v>
      </c>
      <c r="G338" s="24">
        <f>E338-F338</f>
        <v>2.9599999999999995</v>
      </c>
      <c r="H338" s="21" t="s">
        <v>289</v>
      </c>
      <c r="I338" s="21">
        <v>1</v>
      </c>
      <c r="J338" s="21">
        <v>6</v>
      </c>
      <c r="K338" s="21">
        <v>1</v>
      </c>
      <c r="L338" s="21">
        <v>6</v>
      </c>
      <c r="M338" s="21">
        <v>0</v>
      </c>
      <c r="P338" s="24">
        <f>J338+L338+N338</f>
        <v>12</v>
      </c>
      <c r="Q338" s="24">
        <f>K338+M338+O338</f>
        <v>1</v>
      </c>
      <c r="R338" s="24">
        <v>0.92307692307692313</v>
      </c>
      <c r="S338" s="21" t="s">
        <v>517</v>
      </c>
      <c r="U338" s="21" t="s">
        <v>287</v>
      </c>
      <c r="V338" s="21" t="s">
        <v>286</v>
      </c>
      <c r="W338" s="21">
        <v>9</v>
      </c>
      <c r="X338" s="21" t="s">
        <v>285</v>
      </c>
      <c r="Y338" s="21" t="s">
        <v>318</v>
      </c>
      <c r="Z338" s="21" t="s">
        <v>317</v>
      </c>
      <c r="AA338" s="21" t="s">
        <v>91</v>
      </c>
      <c r="AB338" s="21">
        <v>1</v>
      </c>
      <c r="AD338" s="24">
        <v>6.61</v>
      </c>
      <c r="AE338" s="24">
        <v>2.5499999999999998</v>
      </c>
      <c r="AF338" s="21" t="s">
        <v>304</v>
      </c>
      <c r="AG338" s="21" t="s">
        <v>303</v>
      </c>
    </row>
    <row r="339" spans="1:33">
      <c r="A339" s="21" t="s">
        <v>91</v>
      </c>
      <c r="B339" s="21" t="s">
        <v>515</v>
      </c>
      <c r="C339" s="25">
        <v>46113.645833333336</v>
      </c>
      <c r="D339" s="21" t="s">
        <v>117</v>
      </c>
      <c r="E339" s="24">
        <v>5.35</v>
      </c>
      <c r="F339" s="24">
        <v>7.99</v>
      </c>
      <c r="G339" s="24">
        <f>E339-F339</f>
        <v>-2.6400000000000006</v>
      </c>
      <c r="H339" s="21" t="s">
        <v>294</v>
      </c>
      <c r="I339" s="21">
        <v>0</v>
      </c>
      <c r="J339" s="21">
        <v>0</v>
      </c>
      <c r="K339" s="21">
        <v>6</v>
      </c>
      <c r="L339" s="21">
        <v>2</v>
      </c>
      <c r="M339" s="21">
        <v>6</v>
      </c>
      <c r="P339" s="24">
        <f>J339+L339+N339</f>
        <v>2</v>
      </c>
      <c r="Q339" s="24">
        <f>K339+M339+O339</f>
        <v>12</v>
      </c>
      <c r="R339" s="24">
        <v>0.14285714285714285</v>
      </c>
      <c r="S339" s="21" t="s">
        <v>174</v>
      </c>
      <c r="U339" s="21" t="s">
        <v>287</v>
      </c>
      <c r="V339" s="21" t="s">
        <v>286</v>
      </c>
      <c r="W339" s="21">
        <v>10</v>
      </c>
      <c r="X339" s="21" t="s">
        <v>285</v>
      </c>
      <c r="Y339" s="21" t="s">
        <v>318</v>
      </c>
      <c r="Z339" s="21" t="s">
        <v>317</v>
      </c>
      <c r="AA339" s="21" t="s">
        <v>91</v>
      </c>
      <c r="AB339" s="21">
        <v>1</v>
      </c>
      <c r="AD339" s="24">
        <v>6.61</v>
      </c>
      <c r="AE339" s="24">
        <v>8.35</v>
      </c>
      <c r="AF339" s="21" t="s">
        <v>302</v>
      </c>
      <c r="AG339" s="21" t="s">
        <v>301</v>
      </c>
    </row>
    <row r="340" spans="1:33">
      <c r="A340" s="21" t="s">
        <v>91</v>
      </c>
      <c r="B340" s="21" t="s">
        <v>515</v>
      </c>
      <c r="C340" s="25">
        <v>46119.645833333336</v>
      </c>
      <c r="D340" s="21" t="s">
        <v>140</v>
      </c>
      <c r="E340" s="24">
        <v>5.68</v>
      </c>
      <c r="F340" s="24">
        <v>6.43</v>
      </c>
      <c r="G340" s="24">
        <f>E340-F340</f>
        <v>-0.75</v>
      </c>
      <c r="H340" s="21" t="s">
        <v>289</v>
      </c>
      <c r="I340" s="21">
        <v>1</v>
      </c>
      <c r="J340" s="21">
        <v>6</v>
      </c>
      <c r="K340" s="21">
        <v>2</v>
      </c>
      <c r="L340" s="21">
        <v>6</v>
      </c>
      <c r="M340" s="21">
        <v>0</v>
      </c>
      <c r="P340" s="24">
        <f>J340+L340+N340</f>
        <v>12</v>
      </c>
      <c r="Q340" s="24">
        <f>K340+M340+O340</f>
        <v>2</v>
      </c>
      <c r="R340" s="24">
        <v>0.8571428571428571</v>
      </c>
      <c r="S340" s="21" t="s">
        <v>161</v>
      </c>
      <c r="U340" s="21" t="s">
        <v>287</v>
      </c>
      <c r="V340" s="21" t="s">
        <v>286</v>
      </c>
      <c r="W340" s="21">
        <v>11</v>
      </c>
      <c r="X340" s="21" t="s">
        <v>285</v>
      </c>
      <c r="Y340" s="21" t="s">
        <v>318</v>
      </c>
      <c r="Z340" s="21" t="s">
        <v>317</v>
      </c>
      <c r="AA340" s="21" t="s">
        <v>91</v>
      </c>
      <c r="AB340" s="21">
        <v>1</v>
      </c>
      <c r="AD340" s="24">
        <v>6.61</v>
      </c>
      <c r="AE340" s="24">
        <v>5.68</v>
      </c>
      <c r="AF340" s="21" t="s">
        <v>304</v>
      </c>
      <c r="AG340" s="21" t="s">
        <v>303</v>
      </c>
    </row>
    <row r="341" spans="1:33">
      <c r="A341" s="21" t="s">
        <v>91</v>
      </c>
      <c r="B341" s="21" t="s">
        <v>515</v>
      </c>
      <c r="C341" s="25">
        <v>46125.645833333336</v>
      </c>
      <c r="D341" s="21" t="s">
        <v>40</v>
      </c>
      <c r="E341" s="24">
        <v>5.68</v>
      </c>
      <c r="F341" s="24">
        <v>9.57</v>
      </c>
      <c r="G341" s="24">
        <f>E341-F341</f>
        <v>-3.8900000000000006</v>
      </c>
      <c r="H341" s="21" t="s">
        <v>294</v>
      </c>
      <c r="I341" s="21">
        <v>0</v>
      </c>
      <c r="J341" s="21">
        <v>0</v>
      </c>
      <c r="K341" s="21">
        <v>6</v>
      </c>
      <c r="L341" s="21">
        <v>0</v>
      </c>
      <c r="M341" s="21">
        <v>6</v>
      </c>
      <c r="P341" s="24">
        <f>J341+L341+N341</f>
        <v>0</v>
      </c>
      <c r="Q341" s="24">
        <f>K341+M341+O341</f>
        <v>12</v>
      </c>
      <c r="R341" s="24">
        <v>0</v>
      </c>
      <c r="S341" s="21" t="s">
        <v>122</v>
      </c>
      <c r="U341" s="21" t="s">
        <v>287</v>
      </c>
      <c r="V341" s="21" t="s">
        <v>286</v>
      </c>
      <c r="W341" s="21">
        <v>12</v>
      </c>
      <c r="X341" s="21" t="s">
        <v>285</v>
      </c>
      <c r="Y341" s="21" t="s">
        <v>318</v>
      </c>
      <c r="Z341" s="21" t="s">
        <v>317</v>
      </c>
      <c r="AA341" s="21" t="s">
        <v>91</v>
      </c>
      <c r="AB341" s="21">
        <v>1</v>
      </c>
      <c r="AD341" s="24">
        <v>6.61</v>
      </c>
      <c r="AE341" s="24">
        <v>10.01</v>
      </c>
      <c r="AF341" s="21" t="s">
        <v>304</v>
      </c>
      <c r="AG341" s="21" t="s">
        <v>303</v>
      </c>
    </row>
    <row r="342" spans="1:33">
      <c r="A342" s="21" t="s">
        <v>91</v>
      </c>
      <c r="B342" s="21" t="s">
        <v>515</v>
      </c>
      <c r="C342" s="25">
        <v>46128.541666666664</v>
      </c>
      <c r="D342" s="21" t="s">
        <v>90</v>
      </c>
      <c r="E342" s="24">
        <v>5.85</v>
      </c>
      <c r="F342" s="24">
        <v>6.39</v>
      </c>
      <c r="G342" s="24">
        <f>E342-F342</f>
        <v>-0.54</v>
      </c>
      <c r="H342" s="21" t="s">
        <v>289</v>
      </c>
      <c r="I342" s="21">
        <v>1</v>
      </c>
      <c r="J342" s="21">
        <v>8</v>
      </c>
      <c r="K342" s="21">
        <v>5</v>
      </c>
      <c r="P342" s="24">
        <f>J342+L342+N342</f>
        <v>8</v>
      </c>
      <c r="Q342" s="24">
        <f>K342+M342+O342</f>
        <v>5</v>
      </c>
      <c r="R342" s="24">
        <v>0.61538461538461542</v>
      </c>
      <c r="S342" s="21" t="s">
        <v>387</v>
      </c>
      <c r="T342" s="21" t="s">
        <v>296</v>
      </c>
      <c r="U342" s="21" t="s">
        <v>287</v>
      </c>
      <c r="V342" s="21" t="s">
        <v>286</v>
      </c>
      <c r="W342" s="21">
        <v>13</v>
      </c>
      <c r="X342" s="21" t="s">
        <v>285</v>
      </c>
      <c r="Y342" s="21" t="s">
        <v>318</v>
      </c>
      <c r="Z342" s="21" t="s">
        <v>317</v>
      </c>
      <c r="AA342" s="21" t="s">
        <v>91</v>
      </c>
      <c r="AB342" s="21">
        <v>1</v>
      </c>
      <c r="AD342" s="24">
        <v>6.61</v>
      </c>
      <c r="AE342" s="24">
        <v>6.34</v>
      </c>
      <c r="AF342" s="21" t="s">
        <v>304</v>
      </c>
      <c r="AG342" s="21" t="s">
        <v>303</v>
      </c>
    </row>
    <row r="343" spans="1:33">
      <c r="A343" s="21" t="s">
        <v>91</v>
      </c>
      <c r="B343" s="21" t="s">
        <v>515</v>
      </c>
      <c r="C343" s="25">
        <v>46128.625</v>
      </c>
      <c r="D343" s="21" t="s">
        <v>5</v>
      </c>
      <c r="E343" s="24">
        <v>5.85</v>
      </c>
      <c r="F343" s="24">
        <v>8.9700000000000006</v>
      </c>
      <c r="G343" s="24">
        <f>E343-F343</f>
        <v>-3.120000000000001</v>
      </c>
      <c r="H343" s="21" t="s">
        <v>294</v>
      </c>
      <c r="I343" s="21">
        <v>0</v>
      </c>
      <c r="J343" s="21">
        <v>6</v>
      </c>
      <c r="K343" s="21">
        <v>7</v>
      </c>
      <c r="L343" s="21">
        <v>3</v>
      </c>
      <c r="M343" s="21">
        <v>6</v>
      </c>
      <c r="P343" s="24">
        <f>J343+L343+N343</f>
        <v>9</v>
      </c>
      <c r="Q343" s="24">
        <f>K343+M343+O343</f>
        <v>13</v>
      </c>
      <c r="R343" s="24">
        <v>0.43537414965986393</v>
      </c>
      <c r="S343" s="21" t="s">
        <v>387</v>
      </c>
      <c r="T343" s="21" t="s">
        <v>295</v>
      </c>
      <c r="U343" s="21" t="s">
        <v>287</v>
      </c>
      <c r="V343" s="21" t="s">
        <v>286</v>
      </c>
      <c r="W343" s="21">
        <v>14</v>
      </c>
      <c r="X343" s="21" t="s">
        <v>285</v>
      </c>
      <c r="Y343" s="21" t="s">
        <v>318</v>
      </c>
      <c r="Z343" s="21" t="s">
        <v>317</v>
      </c>
      <c r="AA343" s="21" t="s">
        <v>91</v>
      </c>
      <c r="AB343" s="21">
        <v>1</v>
      </c>
      <c r="AD343" s="24">
        <v>6.61</v>
      </c>
      <c r="AE343" s="24">
        <v>8.08</v>
      </c>
      <c r="AF343" s="21" t="s">
        <v>304</v>
      </c>
      <c r="AG343" s="21" t="s">
        <v>303</v>
      </c>
    </row>
    <row r="344" spans="1:33">
      <c r="A344" s="21" t="s">
        <v>91</v>
      </c>
      <c r="B344" s="21" t="s">
        <v>515</v>
      </c>
      <c r="C344" s="25">
        <v>46128.729166666664</v>
      </c>
      <c r="D344" s="21" t="s">
        <v>70</v>
      </c>
      <c r="E344" s="24">
        <v>5.85</v>
      </c>
      <c r="F344" s="24">
        <v>7.81</v>
      </c>
      <c r="G344" s="24">
        <f>E344-F344</f>
        <v>-1.96</v>
      </c>
      <c r="H344" s="21" t="s">
        <v>294</v>
      </c>
      <c r="I344" s="21">
        <v>0</v>
      </c>
      <c r="J344" s="21">
        <v>3</v>
      </c>
      <c r="K344" s="21">
        <v>6</v>
      </c>
      <c r="L344" s="21">
        <v>6</v>
      </c>
      <c r="M344" s="21">
        <v>7</v>
      </c>
      <c r="P344" s="24">
        <f>J344+L344+N344</f>
        <v>9</v>
      </c>
      <c r="Q344" s="24">
        <f>K344+M344+O344</f>
        <v>13</v>
      </c>
      <c r="R344" s="24">
        <v>0.44666666666666666</v>
      </c>
      <c r="S344" s="21" t="s">
        <v>387</v>
      </c>
      <c r="T344" s="21" t="s">
        <v>293</v>
      </c>
      <c r="U344" s="21" t="s">
        <v>287</v>
      </c>
      <c r="V344" s="21" t="s">
        <v>286</v>
      </c>
      <c r="W344" s="21">
        <v>15</v>
      </c>
      <c r="X344" s="21" t="s">
        <v>285</v>
      </c>
      <c r="Y344" s="21" t="s">
        <v>318</v>
      </c>
      <c r="Z344" s="21" t="s">
        <v>317</v>
      </c>
      <c r="AA344" s="21" t="s">
        <v>91</v>
      </c>
      <c r="AB344" s="21">
        <v>1</v>
      </c>
      <c r="AD344" s="24">
        <v>6.61</v>
      </c>
      <c r="AE344" s="24">
        <v>7.26</v>
      </c>
      <c r="AF344" s="21" t="s">
        <v>304</v>
      </c>
      <c r="AG344" s="21" t="s">
        <v>303</v>
      </c>
    </row>
    <row r="345" spans="1:33">
      <c r="A345" s="21" t="s">
        <v>91</v>
      </c>
      <c r="B345" s="21" t="s">
        <v>515</v>
      </c>
      <c r="C345" s="25">
        <v>46139.645833333336</v>
      </c>
      <c r="D345" s="21" t="s">
        <v>42</v>
      </c>
      <c r="E345" s="24">
        <v>6.09</v>
      </c>
      <c r="F345" s="24">
        <v>7.67</v>
      </c>
      <c r="G345" s="24">
        <f>E345-F345</f>
        <v>-1.58</v>
      </c>
      <c r="H345" s="21" t="s">
        <v>294</v>
      </c>
      <c r="I345" s="21">
        <v>0</v>
      </c>
      <c r="J345" s="21">
        <v>5</v>
      </c>
      <c r="K345" s="21">
        <v>7</v>
      </c>
      <c r="L345" s="21">
        <v>0</v>
      </c>
      <c r="M345" s="21">
        <v>6</v>
      </c>
      <c r="P345" s="24">
        <f>J345+L345+N345</f>
        <v>5</v>
      </c>
      <c r="Q345" s="24">
        <f>K345+M345+O345</f>
        <v>13</v>
      </c>
      <c r="R345" s="24">
        <v>0.27777777777777779</v>
      </c>
      <c r="S345" s="21" t="s">
        <v>387</v>
      </c>
      <c r="U345" s="21" t="s">
        <v>287</v>
      </c>
      <c r="V345" s="21" t="s">
        <v>286</v>
      </c>
      <c r="W345" s="21">
        <v>16</v>
      </c>
      <c r="X345" s="21" t="s">
        <v>285</v>
      </c>
      <c r="Y345" s="21" t="s">
        <v>318</v>
      </c>
      <c r="Z345" s="21" t="s">
        <v>317</v>
      </c>
      <c r="AA345" s="21" t="s">
        <v>91</v>
      </c>
      <c r="AB345" s="21">
        <v>1</v>
      </c>
      <c r="AD345" s="24">
        <v>6.61</v>
      </c>
      <c r="AE345" s="24">
        <v>8.3699999999999992</v>
      </c>
      <c r="AF345" s="21" t="s">
        <v>304</v>
      </c>
      <c r="AG345" s="21" t="s">
        <v>303</v>
      </c>
    </row>
    <row r="346" spans="1:33">
      <c r="A346" s="21" t="s">
        <v>140</v>
      </c>
      <c r="B346" s="21" t="s">
        <v>725</v>
      </c>
      <c r="C346" s="25">
        <v>46100.333333333336</v>
      </c>
      <c r="D346" s="21" t="s">
        <v>154</v>
      </c>
      <c r="E346" s="24">
        <v>6.1</v>
      </c>
      <c r="F346" s="24">
        <v>6.57</v>
      </c>
      <c r="G346" s="24">
        <f>E346-F346</f>
        <v>-0.47000000000000064</v>
      </c>
      <c r="H346" s="21" t="s">
        <v>289</v>
      </c>
      <c r="I346" s="21">
        <v>1</v>
      </c>
      <c r="J346" s="21">
        <v>6</v>
      </c>
      <c r="K346" s="21">
        <v>4</v>
      </c>
      <c r="L346" s="21">
        <v>4</v>
      </c>
      <c r="M346" s="21">
        <v>2</v>
      </c>
      <c r="P346" s="24">
        <f>J346+L346+N346</f>
        <v>10</v>
      </c>
      <c r="Q346" s="24">
        <f>K346+M346+O346</f>
        <v>6</v>
      </c>
      <c r="R346" s="24">
        <v>0.625</v>
      </c>
      <c r="S346" s="21" t="s">
        <v>726</v>
      </c>
      <c r="U346" s="21" t="s">
        <v>287</v>
      </c>
      <c r="V346" s="21" t="s">
        <v>286</v>
      </c>
      <c r="W346" s="21">
        <v>0</v>
      </c>
      <c r="X346" s="21" t="s">
        <v>312</v>
      </c>
      <c r="Y346" s="21" t="s">
        <v>326</v>
      </c>
      <c r="Z346" s="21" t="s">
        <v>325</v>
      </c>
      <c r="AA346" s="21" t="s">
        <v>140</v>
      </c>
      <c r="AB346" s="21">
        <v>1</v>
      </c>
      <c r="AD346" s="24">
        <v>5.68</v>
      </c>
      <c r="AE346" s="24">
        <v>6.62</v>
      </c>
      <c r="AF346" s="21" t="s">
        <v>322</v>
      </c>
      <c r="AG346" s="21" t="s">
        <v>301</v>
      </c>
    </row>
    <row r="347" spans="1:33">
      <c r="A347" s="21" t="s">
        <v>140</v>
      </c>
      <c r="B347" s="21" t="s">
        <v>725</v>
      </c>
      <c r="C347" s="25">
        <v>46105</v>
      </c>
      <c r="D347" s="21" t="s">
        <v>76</v>
      </c>
      <c r="E347" s="24">
        <v>6.07</v>
      </c>
      <c r="F347" s="24">
        <v>4.45</v>
      </c>
      <c r="G347" s="24">
        <f>E347-F347</f>
        <v>1.62</v>
      </c>
      <c r="H347" s="21" t="s">
        <v>289</v>
      </c>
      <c r="I347" s="21">
        <v>1</v>
      </c>
      <c r="J347" s="21">
        <v>6</v>
      </c>
      <c r="K347" s="21">
        <v>0</v>
      </c>
      <c r="L347" s="21">
        <v>6</v>
      </c>
      <c r="M347" s="21">
        <v>1</v>
      </c>
      <c r="P347" s="24">
        <f>J347+L347+N347</f>
        <v>12</v>
      </c>
      <c r="Q347" s="24">
        <f>K347+M347+O347</f>
        <v>1</v>
      </c>
      <c r="R347" s="24">
        <v>0.92307692307692313</v>
      </c>
      <c r="S347" s="21" t="s">
        <v>662</v>
      </c>
      <c r="U347" s="21" t="s">
        <v>287</v>
      </c>
      <c r="V347" s="21" t="s">
        <v>286</v>
      </c>
      <c r="W347" s="21">
        <v>1</v>
      </c>
      <c r="X347" s="21" t="s">
        <v>323</v>
      </c>
      <c r="Y347" s="21" t="s">
        <v>326</v>
      </c>
      <c r="Z347" s="21" t="s">
        <v>325</v>
      </c>
      <c r="AA347" s="21" t="s">
        <v>140</v>
      </c>
      <c r="AB347" s="21">
        <v>1</v>
      </c>
      <c r="AD347" s="24">
        <v>5.68</v>
      </c>
      <c r="AE347" s="24">
        <v>4.45</v>
      </c>
      <c r="AF347" s="21" t="s">
        <v>322</v>
      </c>
      <c r="AG347" s="21" t="s">
        <v>301</v>
      </c>
    </row>
    <row r="348" spans="1:33">
      <c r="A348" s="21" t="s">
        <v>140</v>
      </c>
      <c r="B348" s="21" t="s">
        <v>725</v>
      </c>
      <c r="C348" s="25">
        <v>46106</v>
      </c>
      <c r="D348" s="21" t="s">
        <v>42</v>
      </c>
      <c r="E348" s="24">
        <v>6.07</v>
      </c>
      <c r="F348" s="24">
        <v>7.96</v>
      </c>
      <c r="G348" s="24">
        <f>E348-F348</f>
        <v>-1.8899999999999997</v>
      </c>
      <c r="H348" s="21" t="s">
        <v>294</v>
      </c>
      <c r="I348" s="21">
        <v>0</v>
      </c>
      <c r="J348" s="21">
        <v>4</v>
      </c>
      <c r="K348" s="21">
        <v>6</v>
      </c>
      <c r="L348" s="21">
        <v>0</v>
      </c>
      <c r="M348" s="21">
        <v>6</v>
      </c>
      <c r="P348" s="24">
        <f>J348+L348+N348</f>
        <v>4</v>
      </c>
      <c r="Q348" s="24">
        <f>K348+M348+O348</f>
        <v>12</v>
      </c>
      <c r="R348" s="24">
        <v>0.25</v>
      </c>
      <c r="S348" s="21" t="s">
        <v>204</v>
      </c>
      <c r="U348" s="21" t="s">
        <v>287</v>
      </c>
      <c r="V348" s="21" t="s">
        <v>286</v>
      </c>
      <c r="W348" s="21">
        <v>2</v>
      </c>
      <c r="X348" s="21" t="s">
        <v>310</v>
      </c>
      <c r="Y348" s="21" t="s">
        <v>326</v>
      </c>
      <c r="Z348" s="21" t="s">
        <v>325</v>
      </c>
      <c r="AA348" s="21" t="s">
        <v>140</v>
      </c>
      <c r="AB348" s="21">
        <v>1</v>
      </c>
      <c r="AD348" s="24">
        <v>5.68</v>
      </c>
      <c r="AE348" s="24">
        <v>8.3699999999999992</v>
      </c>
      <c r="AF348" s="21" t="s">
        <v>322</v>
      </c>
      <c r="AG348" s="21" t="s">
        <v>301</v>
      </c>
    </row>
    <row r="349" spans="1:33">
      <c r="A349" s="21" t="s">
        <v>140</v>
      </c>
      <c r="B349" s="21" t="s">
        <v>725</v>
      </c>
      <c r="C349" s="25">
        <v>46119.645833333336</v>
      </c>
      <c r="D349" s="21" t="s">
        <v>91</v>
      </c>
      <c r="E349" s="24">
        <v>6.43</v>
      </c>
      <c r="F349" s="24">
        <v>5.68</v>
      </c>
      <c r="G349" s="24">
        <f>E349-F349</f>
        <v>0.75</v>
      </c>
      <c r="H349" s="21" t="s">
        <v>294</v>
      </c>
      <c r="I349" s="21">
        <v>0</v>
      </c>
      <c r="J349" s="21">
        <v>2</v>
      </c>
      <c r="K349" s="21">
        <v>6</v>
      </c>
      <c r="L349" s="21">
        <v>0</v>
      </c>
      <c r="M349" s="21">
        <v>6</v>
      </c>
      <c r="P349" s="24">
        <f>J349+L349+N349</f>
        <v>2</v>
      </c>
      <c r="Q349" s="24">
        <f>K349+M349+O349</f>
        <v>12</v>
      </c>
      <c r="R349" s="24">
        <v>0.14285714285714285</v>
      </c>
      <c r="S349" s="21" t="s">
        <v>161</v>
      </c>
      <c r="U349" s="21" t="s">
        <v>287</v>
      </c>
      <c r="V349" s="21" t="s">
        <v>286</v>
      </c>
      <c r="W349" s="21">
        <v>3</v>
      </c>
      <c r="X349" s="21" t="s">
        <v>285</v>
      </c>
      <c r="Y349" s="21" t="s">
        <v>326</v>
      </c>
      <c r="Z349" s="21" t="s">
        <v>325</v>
      </c>
      <c r="AA349" s="21" t="s">
        <v>140</v>
      </c>
      <c r="AB349" s="21">
        <v>1</v>
      </c>
      <c r="AD349" s="24">
        <v>5.68</v>
      </c>
      <c r="AE349" s="24">
        <v>6.61</v>
      </c>
      <c r="AF349" s="21" t="s">
        <v>322</v>
      </c>
      <c r="AG349" s="21" t="s">
        <v>301</v>
      </c>
    </row>
    <row r="350" spans="1:33">
      <c r="A350" s="21" t="s">
        <v>140</v>
      </c>
      <c r="B350" s="21" t="s">
        <v>725</v>
      </c>
      <c r="C350" s="25">
        <v>46122.333333333336</v>
      </c>
      <c r="D350" s="21" t="s">
        <v>141</v>
      </c>
      <c r="E350" s="24">
        <v>6.43</v>
      </c>
      <c r="F350" s="24">
        <v>5.68</v>
      </c>
      <c r="G350" s="24">
        <f>E350-F350</f>
        <v>0.75</v>
      </c>
      <c r="H350" s="21" t="s">
        <v>294</v>
      </c>
      <c r="I350" s="21">
        <v>0</v>
      </c>
      <c r="J350" s="21">
        <v>5</v>
      </c>
      <c r="K350" s="21">
        <v>7</v>
      </c>
      <c r="L350" s="21">
        <v>2</v>
      </c>
      <c r="M350" s="21">
        <v>6</v>
      </c>
      <c r="P350" s="24">
        <f>J350+L350+N350</f>
        <v>7</v>
      </c>
      <c r="Q350" s="24">
        <f>K350+M350+O350</f>
        <v>13</v>
      </c>
      <c r="R350" s="24">
        <v>0.35</v>
      </c>
      <c r="S350" s="21" t="s">
        <v>136</v>
      </c>
      <c r="U350" s="21" t="s">
        <v>287</v>
      </c>
      <c r="V350" s="21" t="s">
        <v>286</v>
      </c>
      <c r="W350" s="21">
        <v>4</v>
      </c>
      <c r="X350" s="21" t="s">
        <v>285</v>
      </c>
      <c r="Y350" s="21" t="s">
        <v>326</v>
      </c>
      <c r="Z350" s="21" t="s">
        <v>325</v>
      </c>
      <c r="AA350" s="21" t="s">
        <v>140</v>
      </c>
      <c r="AB350" s="21">
        <v>1</v>
      </c>
      <c r="AD350" s="24">
        <v>5.68</v>
      </c>
      <c r="AE350" s="24">
        <v>5.97</v>
      </c>
      <c r="AF350" s="21" t="s">
        <v>322</v>
      </c>
      <c r="AG350" s="21" t="s">
        <v>301</v>
      </c>
    </row>
    <row r="351" spans="1:33">
      <c r="A351" s="21" t="s">
        <v>140</v>
      </c>
      <c r="B351" s="21" t="s">
        <v>725</v>
      </c>
      <c r="C351" s="25">
        <v>46125.333333333336</v>
      </c>
      <c r="D351" s="21" t="s">
        <v>504</v>
      </c>
      <c r="E351" s="24">
        <v>6.43</v>
      </c>
      <c r="F351" s="24">
        <v>3.62</v>
      </c>
      <c r="G351" s="24">
        <f>E351-F351</f>
        <v>2.8099999999999996</v>
      </c>
      <c r="H351" s="21" t="s">
        <v>289</v>
      </c>
      <c r="I351" s="21">
        <v>1</v>
      </c>
      <c r="J351" s="21">
        <v>6</v>
      </c>
      <c r="K351" s="21">
        <v>0</v>
      </c>
      <c r="L351" s="21">
        <v>6</v>
      </c>
      <c r="M351" s="21">
        <v>0</v>
      </c>
      <c r="P351" s="24">
        <f>J351+L351+N351</f>
        <v>12</v>
      </c>
      <c r="Q351" s="24">
        <f>K351+M351+O351</f>
        <v>0</v>
      </c>
      <c r="R351" s="24">
        <v>1</v>
      </c>
      <c r="S351" s="21" t="s">
        <v>507</v>
      </c>
      <c r="U351" s="21" t="s">
        <v>287</v>
      </c>
      <c r="V351" s="21" t="s">
        <v>286</v>
      </c>
      <c r="W351" s="21">
        <v>5</v>
      </c>
      <c r="X351" s="21" t="s">
        <v>285</v>
      </c>
      <c r="Y351" s="21" t="s">
        <v>326</v>
      </c>
      <c r="Z351" s="21" t="s">
        <v>325</v>
      </c>
      <c r="AA351" s="21" t="s">
        <v>140</v>
      </c>
      <c r="AB351" s="21">
        <v>1</v>
      </c>
      <c r="AD351" s="24">
        <v>5.68</v>
      </c>
      <c r="AE351" s="24">
        <v>3.58</v>
      </c>
      <c r="AF351" s="21" t="s">
        <v>322</v>
      </c>
      <c r="AG351" s="21" t="s">
        <v>301</v>
      </c>
    </row>
    <row r="352" spans="1:33">
      <c r="A352" s="21" t="s">
        <v>140</v>
      </c>
      <c r="B352" s="21" t="s">
        <v>725</v>
      </c>
      <c r="C352" s="25">
        <v>46127.333333333336</v>
      </c>
      <c r="D352" s="21" t="s">
        <v>145</v>
      </c>
      <c r="E352" s="24">
        <v>6.43</v>
      </c>
      <c r="F352" s="24">
        <v>8.17</v>
      </c>
      <c r="G352" s="24">
        <f>E352-F352</f>
        <v>-1.7400000000000002</v>
      </c>
      <c r="H352" s="21" t="s">
        <v>294</v>
      </c>
      <c r="I352" s="21">
        <v>0</v>
      </c>
      <c r="J352" s="21">
        <v>0</v>
      </c>
      <c r="K352" s="21">
        <v>6</v>
      </c>
      <c r="L352" s="21">
        <v>0</v>
      </c>
      <c r="M352" s="21">
        <v>6</v>
      </c>
      <c r="P352" s="24">
        <f>J352+L352+N352</f>
        <v>0</v>
      </c>
      <c r="Q352" s="24">
        <f>K352+M352+O352</f>
        <v>12</v>
      </c>
      <c r="R352" s="24">
        <v>0</v>
      </c>
      <c r="S352" s="21" t="s">
        <v>406</v>
      </c>
      <c r="U352" s="21" t="s">
        <v>287</v>
      </c>
      <c r="V352" s="21" t="s">
        <v>286</v>
      </c>
      <c r="W352" s="21">
        <v>6</v>
      </c>
      <c r="X352" s="21" t="s">
        <v>285</v>
      </c>
      <c r="Y352" s="21" t="s">
        <v>326</v>
      </c>
      <c r="Z352" s="21" t="s">
        <v>325</v>
      </c>
      <c r="AA352" s="21" t="s">
        <v>140</v>
      </c>
      <c r="AB352" s="21">
        <v>1</v>
      </c>
      <c r="AD352" s="24">
        <v>5.68</v>
      </c>
      <c r="AE352" s="24">
        <v>8.58</v>
      </c>
      <c r="AF352" s="21" t="s">
        <v>322</v>
      </c>
      <c r="AG352" s="21" t="s">
        <v>301</v>
      </c>
    </row>
    <row r="353" spans="1:33">
      <c r="A353" s="21" t="s">
        <v>140</v>
      </c>
      <c r="B353" s="21" t="s">
        <v>725</v>
      </c>
      <c r="C353" s="25">
        <v>46141.57708333333</v>
      </c>
      <c r="D353" s="21" t="s">
        <v>28</v>
      </c>
      <c r="E353" s="24">
        <v>5.54</v>
      </c>
      <c r="F353" s="24">
        <v>8.31</v>
      </c>
      <c r="G353" s="24">
        <f>E353-F353</f>
        <v>-2.7700000000000005</v>
      </c>
      <c r="H353" s="21" t="s">
        <v>294</v>
      </c>
      <c r="I353" s="21">
        <v>0</v>
      </c>
      <c r="J353" s="21">
        <v>1</v>
      </c>
      <c r="K353" s="21">
        <v>6</v>
      </c>
      <c r="L353" s="21">
        <v>4</v>
      </c>
      <c r="M353" s="21">
        <v>6</v>
      </c>
      <c r="P353" s="24">
        <f>J353+L353+N353</f>
        <v>5</v>
      </c>
      <c r="Q353" s="24">
        <f>K353+M353+O353</f>
        <v>12</v>
      </c>
      <c r="R353" s="24">
        <v>0.29411764705882354</v>
      </c>
      <c r="S353" s="21" t="s">
        <v>29</v>
      </c>
      <c r="T353" s="21" t="s">
        <v>298</v>
      </c>
      <c r="U353" s="21" t="s">
        <v>292</v>
      </c>
      <c r="V353" s="21" t="s">
        <v>286</v>
      </c>
      <c r="W353" s="21">
        <v>7</v>
      </c>
      <c r="X353" s="21" t="s">
        <v>285</v>
      </c>
      <c r="Y353" s="21" t="s">
        <v>326</v>
      </c>
      <c r="Z353" s="21" t="s">
        <v>325</v>
      </c>
      <c r="AA353" s="21" t="s">
        <v>140</v>
      </c>
      <c r="AB353" s="21">
        <v>1</v>
      </c>
      <c r="AD353" s="24">
        <v>5.68</v>
      </c>
      <c r="AE353" s="24">
        <v>8.57</v>
      </c>
      <c r="AF353" s="21" t="s">
        <v>322</v>
      </c>
      <c r="AG353" s="21" t="s">
        <v>301</v>
      </c>
    </row>
    <row r="354" spans="1:33">
      <c r="A354" s="21" t="s">
        <v>78</v>
      </c>
      <c r="B354" s="21" t="s">
        <v>350</v>
      </c>
      <c r="C354" s="25">
        <v>46031</v>
      </c>
      <c r="D354" s="21" t="s">
        <v>724</v>
      </c>
      <c r="E354" s="24">
        <v>9.77</v>
      </c>
      <c r="F354" s="24">
        <v>7.98</v>
      </c>
      <c r="G354" s="24">
        <f>E354-F354</f>
        <v>1.7899999999999991</v>
      </c>
      <c r="H354" s="21" t="s">
        <v>289</v>
      </c>
      <c r="I354" s="21">
        <v>1</v>
      </c>
      <c r="J354" s="21">
        <v>6</v>
      </c>
      <c r="K354" s="21">
        <v>3</v>
      </c>
      <c r="L354" s="21">
        <v>6</v>
      </c>
      <c r="M354" s="21">
        <v>1</v>
      </c>
      <c r="P354" s="24">
        <f>J354+L354+N354</f>
        <v>12</v>
      </c>
      <c r="Q354" s="24">
        <f>K354+M354+O354</f>
        <v>4</v>
      </c>
      <c r="R354" s="24">
        <v>0.75</v>
      </c>
      <c r="S354" s="21" t="s">
        <v>452</v>
      </c>
      <c r="T354" s="21" t="s">
        <v>451</v>
      </c>
      <c r="U354" s="21" t="s">
        <v>292</v>
      </c>
      <c r="V354" s="21" t="s">
        <v>286</v>
      </c>
      <c r="W354" s="21">
        <v>0</v>
      </c>
      <c r="X354" s="21" t="s">
        <v>312</v>
      </c>
      <c r="Y354" s="21" t="s">
        <v>318</v>
      </c>
      <c r="Z354" s="21" t="s">
        <v>317</v>
      </c>
      <c r="AA354" s="21" t="s">
        <v>78</v>
      </c>
      <c r="AB354" s="21">
        <v>1</v>
      </c>
      <c r="AD354" s="24">
        <v>9.77</v>
      </c>
      <c r="AE354" s="24">
        <v>7.98</v>
      </c>
      <c r="AF354" s="21" t="s">
        <v>304</v>
      </c>
      <c r="AG354" s="21" t="s">
        <v>303</v>
      </c>
    </row>
    <row r="355" spans="1:33">
      <c r="A355" s="21" t="s">
        <v>78</v>
      </c>
      <c r="B355" s="21" t="s">
        <v>350</v>
      </c>
      <c r="C355" s="25">
        <v>46031</v>
      </c>
      <c r="D355" s="21" t="s">
        <v>721</v>
      </c>
      <c r="E355" s="24">
        <v>9.77</v>
      </c>
      <c r="F355" s="24">
        <v>10.42</v>
      </c>
      <c r="G355" s="24">
        <f>E355-F355</f>
        <v>-0.65000000000000036</v>
      </c>
      <c r="H355" s="21" t="s">
        <v>289</v>
      </c>
      <c r="I355" s="21">
        <v>1</v>
      </c>
      <c r="J355" s="21">
        <v>4</v>
      </c>
      <c r="K355" s="21">
        <v>6</v>
      </c>
      <c r="L355" s="21">
        <v>7</v>
      </c>
      <c r="M355" s="21">
        <v>6</v>
      </c>
      <c r="N355" s="21">
        <v>1</v>
      </c>
      <c r="O355" s="21">
        <v>0</v>
      </c>
      <c r="P355" s="24">
        <f>J355+L355+N355</f>
        <v>12</v>
      </c>
      <c r="Q355" s="24">
        <f>K355+M355+O355</f>
        <v>12</v>
      </c>
      <c r="R355" s="24">
        <v>0.71535580524344566</v>
      </c>
      <c r="S355" s="21" t="s">
        <v>452</v>
      </c>
      <c r="T355" s="21" t="s">
        <v>418</v>
      </c>
      <c r="U355" s="21" t="s">
        <v>292</v>
      </c>
      <c r="V355" s="21" t="s">
        <v>286</v>
      </c>
      <c r="W355" s="21">
        <v>0</v>
      </c>
      <c r="X355" s="21" t="s">
        <v>312</v>
      </c>
      <c r="Y355" s="21" t="s">
        <v>318</v>
      </c>
      <c r="Z355" s="21" t="s">
        <v>317</v>
      </c>
      <c r="AA355" s="21" t="s">
        <v>78</v>
      </c>
      <c r="AB355" s="21">
        <v>1</v>
      </c>
      <c r="AD355" s="24">
        <v>9.77</v>
      </c>
      <c r="AE355" s="24">
        <v>10.42</v>
      </c>
      <c r="AF355" s="21" t="s">
        <v>302</v>
      </c>
      <c r="AG355" s="21" t="s">
        <v>301</v>
      </c>
    </row>
    <row r="356" spans="1:33">
      <c r="A356" s="21" t="s">
        <v>78</v>
      </c>
      <c r="B356" s="21" t="s">
        <v>350</v>
      </c>
      <c r="C356" s="25">
        <v>46031</v>
      </c>
      <c r="D356" s="21" t="s">
        <v>21</v>
      </c>
      <c r="E356" s="24">
        <v>9.77</v>
      </c>
      <c r="F356" s="24">
        <v>8.4600000000000009</v>
      </c>
      <c r="G356" s="24">
        <f>E356-F356</f>
        <v>1.3099999999999987</v>
      </c>
      <c r="H356" s="21" t="s">
        <v>289</v>
      </c>
      <c r="I356" s="21">
        <v>1</v>
      </c>
      <c r="J356" s="21">
        <v>6</v>
      </c>
      <c r="K356" s="21">
        <v>0</v>
      </c>
      <c r="L356" s="21">
        <v>6</v>
      </c>
      <c r="M356" s="21">
        <v>1</v>
      </c>
      <c r="P356" s="24">
        <f>J356+L356+N356</f>
        <v>12</v>
      </c>
      <c r="Q356" s="24">
        <f>K356+M356+O356</f>
        <v>1</v>
      </c>
      <c r="R356" s="24">
        <v>0.92307692307692313</v>
      </c>
      <c r="S356" s="21" t="s">
        <v>452</v>
      </c>
      <c r="T356" s="21" t="s">
        <v>298</v>
      </c>
      <c r="U356" s="21" t="s">
        <v>292</v>
      </c>
      <c r="V356" s="21" t="s">
        <v>286</v>
      </c>
      <c r="W356" s="21">
        <v>0</v>
      </c>
      <c r="X356" s="21" t="s">
        <v>312</v>
      </c>
      <c r="Y356" s="21" t="s">
        <v>318</v>
      </c>
      <c r="Z356" s="21" t="s">
        <v>317</v>
      </c>
      <c r="AA356" s="21" t="s">
        <v>78</v>
      </c>
      <c r="AB356" s="21">
        <v>1</v>
      </c>
      <c r="AD356" s="24">
        <v>9.77</v>
      </c>
      <c r="AE356" s="24">
        <v>8.4600000000000009</v>
      </c>
      <c r="AF356" s="21" t="s">
        <v>304</v>
      </c>
      <c r="AG356" s="21" t="s">
        <v>303</v>
      </c>
    </row>
    <row r="357" spans="1:33">
      <c r="A357" s="21" t="s">
        <v>78</v>
      </c>
      <c r="B357" s="21" t="s">
        <v>350</v>
      </c>
      <c r="C357" s="25">
        <v>46031</v>
      </c>
      <c r="D357" s="21" t="s">
        <v>564</v>
      </c>
      <c r="E357" s="24">
        <v>9.77</v>
      </c>
      <c r="F357" s="24">
        <v>11.06</v>
      </c>
      <c r="G357" s="24">
        <f>E357-F357</f>
        <v>-1.2900000000000009</v>
      </c>
      <c r="H357" s="21" t="s">
        <v>294</v>
      </c>
      <c r="I357" s="21">
        <v>0</v>
      </c>
      <c r="J357" s="21">
        <v>1</v>
      </c>
      <c r="K357" s="21">
        <v>6</v>
      </c>
      <c r="L357" s="21">
        <v>1</v>
      </c>
      <c r="M357" s="21">
        <v>6</v>
      </c>
      <c r="P357" s="24">
        <f>J357+L357+N357</f>
        <v>2</v>
      </c>
      <c r="Q357" s="24">
        <f>K357+M357+O357</f>
        <v>12</v>
      </c>
      <c r="R357" s="24">
        <v>0.14285714285714285</v>
      </c>
      <c r="S357" s="21" t="s">
        <v>452</v>
      </c>
      <c r="T357" s="21" t="s">
        <v>297</v>
      </c>
      <c r="U357" s="21" t="s">
        <v>292</v>
      </c>
      <c r="V357" s="21" t="s">
        <v>286</v>
      </c>
      <c r="W357" s="21">
        <v>0</v>
      </c>
      <c r="X357" s="21" t="s">
        <v>312</v>
      </c>
      <c r="Y357" s="21" t="s">
        <v>318</v>
      </c>
      <c r="Z357" s="21" t="s">
        <v>317</v>
      </c>
      <c r="AA357" s="21" t="s">
        <v>78</v>
      </c>
      <c r="AB357" s="21">
        <v>1</v>
      </c>
      <c r="AD357" s="24">
        <v>9.77</v>
      </c>
      <c r="AE357" s="24">
        <v>11.06</v>
      </c>
      <c r="AF357" s="21" t="s">
        <v>304</v>
      </c>
      <c r="AG357" s="21" t="s">
        <v>303</v>
      </c>
    </row>
    <row r="358" spans="1:33">
      <c r="A358" s="21" t="s">
        <v>78</v>
      </c>
      <c r="B358" s="21" t="s">
        <v>350</v>
      </c>
      <c r="C358" s="25">
        <v>46053</v>
      </c>
      <c r="D358" s="21" t="s">
        <v>723</v>
      </c>
      <c r="E358" s="24">
        <v>9.77</v>
      </c>
      <c r="F358" s="24">
        <v>9.77</v>
      </c>
      <c r="G358" s="24">
        <f>E358-F358</f>
        <v>0</v>
      </c>
      <c r="H358" s="21" t="s">
        <v>294</v>
      </c>
      <c r="I358" s="21">
        <v>0</v>
      </c>
      <c r="J358" s="21">
        <v>7</v>
      </c>
      <c r="K358" s="21">
        <v>5</v>
      </c>
      <c r="L358" s="21">
        <v>3</v>
      </c>
      <c r="M358" s="21">
        <v>6</v>
      </c>
      <c r="N358" s="21">
        <v>0</v>
      </c>
      <c r="O358" s="21">
        <v>1</v>
      </c>
      <c r="P358" s="24">
        <f>J358+L358+N358</f>
        <v>10</v>
      </c>
      <c r="Q358" s="24">
        <f>K358+M358+O358</f>
        <v>12</v>
      </c>
      <c r="R358" s="24">
        <v>0.11678832116788321</v>
      </c>
      <c r="S358" s="21" t="s">
        <v>722</v>
      </c>
      <c r="T358" s="21" t="s">
        <v>297</v>
      </c>
      <c r="U358" s="21" t="s">
        <v>292</v>
      </c>
      <c r="V358" s="21" t="s">
        <v>286</v>
      </c>
      <c r="W358" s="21">
        <v>4</v>
      </c>
      <c r="X358" s="21" t="s">
        <v>285</v>
      </c>
      <c r="Y358" s="21" t="s">
        <v>318</v>
      </c>
      <c r="Z358" s="21" t="s">
        <v>317</v>
      </c>
      <c r="AA358" s="21" t="s">
        <v>78</v>
      </c>
      <c r="AB358" s="21">
        <v>1</v>
      </c>
      <c r="AD358" s="24">
        <v>9.77</v>
      </c>
      <c r="AE358" s="24">
        <v>9.77</v>
      </c>
      <c r="AF358" s="21" t="s">
        <v>304</v>
      </c>
      <c r="AG358" s="21" t="s">
        <v>303</v>
      </c>
    </row>
    <row r="359" spans="1:33">
      <c r="A359" s="21" t="s">
        <v>78</v>
      </c>
      <c r="B359" s="21" t="s">
        <v>350</v>
      </c>
      <c r="C359" s="25">
        <v>46067</v>
      </c>
      <c r="D359" s="21" t="s">
        <v>564</v>
      </c>
      <c r="E359" s="24">
        <v>9.77</v>
      </c>
      <c r="F359" s="24">
        <v>11.06</v>
      </c>
      <c r="G359" s="24">
        <f>E359-F359</f>
        <v>-1.2900000000000009</v>
      </c>
      <c r="H359" s="21" t="s">
        <v>294</v>
      </c>
      <c r="I359" s="21">
        <v>0</v>
      </c>
      <c r="J359" s="21">
        <v>3</v>
      </c>
      <c r="K359" s="21">
        <v>6</v>
      </c>
      <c r="L359" s="21">
        <v>3</v>
      </c>
      <c r="M359" s="21">
        <v>6</v>
      </c>
      <c r="P359" s="24">
        <f>J359+L359+N359</f>
        <v>6</v>
      </c>
      <c r="Q359" s="24">
        <f>K359+M359+O359</f>
        <v>12</v>
      </c>
      <c r="R359" s="24">
        <v>0.33333333333333331</v>
      </c>
      <c r="S359" s="21" t="s">
        <v>562</v>
      </c>
      <c r="T359" s="21" t="s">
        <v>296</v>
      </c>
      <c r="U359" s="21" t="s">
        <v>292</v>
      </c>
      <c r="V359" s="21" t="s">
        <v>286</v>
      </c>
      <c r="W359" s="21">
        <v>5</v>
      </c>
      <c r="X359" s="21" t="s">
        <v>285</v>
      </c>
      <c r="Y359" s="21" t="s">
        <v>318</v>
      </c>
      <c r="Z359" s="21" t="s">
        <v>317</v>
      </c>
      <c r="AA359" s="21" t="s">
        <v>78</v>
      </c>
      <c r="AB359" s="21">
        <v>1</v>
      </c>
      <c r="AD359" s="24">
        <v>9.77</v>
      </c>
      <c r="AE359" s="24">
        <v>11.06</v>
      </c>
      <c r="AF359" s="21" t="s">
        <v>302</v>
      </c>
      <c r="AG359" s="21" t="s">
        <v>301</v>
      </c>
    </row>
    <row r="360" spans="1:33">
      <c r="A360" s="21" t="s">
        <v>78</v>
      </c>
      <c r="B360" s="21" t="s">
        <v>350</v>
      </c>
      <c r="C360" s="25">
        <v>46067</v>
      </c>
      <c r="D360" s="21" t="s">
        <v>563</v>
      </c>
      <c r="E360" s="24">
        <v>9.77</v>
      </c>
      <c r="F360" s="24">
        <v>10.29</v>
      </c>
      <c r="G360" s="24">
        <f>E360-F360</f>
        <v>-0.51999999999999957</v>
      </c>
      <c r="H360" s="21" t="s">
        <v>289</v>
      </c>
      <c r="I360" s="21">
        <v>1</v>
      </c>
      <c r="J360" s="21">
        <v>5</v>
      </c>
      <c r="K360" s="21">
        <v>7</v>
      </c>
      <c r="L360" s="21">
        <v>6</v>
      </c>
      <c r="M360" s="21">
        <v>4</v>
      </c>
      <c r="N360" s="21">
        <v>1</v>
      </c>
      <c r="O360" s="21">
        <v>0</v>
      </c>
      <c r="P360" s="24">
        <f>J360+L360+N360</f>
        <v>12</v>
      </c>
      <c r="Q360" s="24">
        <f>K360+M360+O360</f>
        <v>11</v>
      </c>
      <c r="R360" s="24">
        <v>0.87681159420289856</v>
      </c>
      <c r="S360" s="21" t="s">
        <v>562</v>
      </c>
      <c r="T360" s="21" t="s">
        <v>297</v>
      </c>
      <c r="U360" s="21" t="s">
        <v>292</v>
      </c>
      <c r="V360" s="21" t="s">
        <v>286</v>
      </c>
      <c r="W360" s="21">
        <v>5</v>
      </c>
      <c r="X360" s="21" t="s">
        <v>285</v>
      </c>
      <c r="Y360" s="21" t="s">
        <v>318</v>
      </c>
      <c r="Z360" s="21" t="s">
        <v>317</v>
      </c>
      <c r="AA360" s="21" t="s">
        <v>78</v>
      </c>
      <c r="AB360" s="21">
        <v>1</v>
      </c>
      <c r="AD360" s="24">
        <v>9.77</v>
      </c>
      <c r="AE360" s="24">
        <v>10.29</v>
      </c>
      <c r="AF360" s="21" t="s">
        <v>304</v>
      </c>
      <c r="AG360" s="21" t="s">
        <v>303</v>
      </c>
    </row>
    <row r="361" spans="1:33">
      <c r="A361" s="21" t="s">
        <v>78</v>
      </c>
      <c r="B361" s="21" t="s">
        <v>350</v>
      </c>
      <c r="C361" s="25">
        <v>46067</v>
      </c>
      <c r="D361" s="21" t="s">
        <v>583</v>
      </c>
      <c r="E361" s="24">
        <v>9.77</v>
      </c>
      <c r="F361" s="24">
        <v>10.36</v>
      </c>
      <c r="G361" s="24">
        <f>E361-F361</f>
        <v>-0.58999999999999986</v>
      </c>
      <c r="H361" s="21" t="s">
        <v>294</v>
      </c>
      <c r="I361" s="21">
        <v>0</v>
      </c>
      <c r="J361" s="21">
        <v>4</v>
      </c>
      <c r="K361" s="21">
        <v>1</v>
      </c>
      <c r="L361" s="21">
        <v>2</v>
      </c>
      <c r="M361" s="21">
        <v>4</v>
      </c>
      <c r="N361" s="21">
        <v>0</v>
      </c>
      <c r="O361" s="21">
        <v>1</v>
      </c>
      <c r="P361" s="24">
        <f>J361+L361+N361</f>
        <v>6</v>
      </c>
      <c r="Q361" s="24">
        <f>K361+M361+O361</f>
        <v>6</v>
      </c>
      <c r="R361" s="24">
        <v>0.5</v>
      </c>
      <c r="S361" s="21" t="s">
        <v>562</v>
      </c>
      <c r="T361" s="21" t="s">
        <v>420</v>
      </c>
      <c r="U361" s="21" t="s">
        <v>292</v>
      </c>
      <c r="V361" s="21" t="s">
        <v>286</v>
      </c>
      <c r="W361" s="21">
        <v>5</v>
      </c>
      <c r="X361" s="21" t="s">
        <v>285</v>
      </c>
      <c r="Y361" s="21" t="s">
        <v>318</v>
      </c>
      <c r="Z361" s="21" t="s">
        <v>317</v>
      </c>
      <c r="AA361" s="21" t="s">
        <v>78</v>
      </c>
      <c r="AB361" s="21">
        <v>1</v>
      </c>
      <c r="AD361" s="24">
        <v>9.77</v>
      </c>
      <c r="AE361" s="24">
        <v>10.36</v>
      </c>
      <c r="AF361" s="21" t="s">
        <v>302</v>
      </c>
      <c r="AG361" s="21" t="s">
        <v>301</v>
      </c>
    </row>
    <row r="362" spans="1:33">
      <c r="A362" s="21" t="s">
        <v>78</v>
      </c>
      <c r="B362" s="21" t="s">
        <v>350</v>
      </c>
      <c r="C362" s="25">
        <v>46095</v>
      </c>
      <c r="D362" s="21" t="s">
        <v>228</v>
      </c>
      <c r="E362" s="24">
        <v>10.27</v>
      </c>
      <c r="F362" s="24">
        <v>9.09</v>
      </c>
      <c r="G362" s="24">
        <f>E362-F362</f>
        <v>1.1799999999999997</v>
      </c>
      <c r="H362" s="21" t="s">
        <v>289</v>
      </c>
      <c r="I362" s="21">
        <v>1</v>
      </c>
      <c r="J362" s="21">
        <v>6</v>
      </c>
      <c r="K362" s="21">
        <v>3</v>
      </c>
      <c r="L362" s="21">
        <v>6</v>
      </c>
      <c r="M362" s="21">
        <v>2</v>
      </c>
      <c r="P362" s="24">
        <f>J362+L362+N362</f>
        <v>12</v>
      </c>
      <c r="Q362" s="24">
        <f>K362+M362+O362</f>
        <v>5</v>
      </c>
      <c r="R362" s="24">
        <v>0.70588235294117652</v>
      </c>
      <c r="S362" s="21" t="s">
        <v>241</v>
      </c>
      <c r="T362" s="21" t="s">
        <v>296</v>
      </c>
      <c r="U362" s="21" t="s">
        <v>292</v>
      </c>
      <c r="V362" s="21" t="s">
        <v>286</v>
      </c>
      <c r="W362" s="21">
        <v>8</v>
      </c>
      <c r="X362" s="21" t="s">
        <v>285</v>
      </c>
      <c r="Y362" s="21" t="s">
        <v>318</v>
      </c>
      <c r="Z362" s="21" t="s">
        <v>317</v>
      </c>
      <c r="AA362" s="21" t="s">
        <v>78</v>
      </c>
      <c r="AB362" s="21">
        <v>1</v>
      </c>
      <c r="AD362" s="24">
        <v>9.77</v>
      </c>
      <c r="AE362" s="24">
        <v>8.76</v>
      </c>
      <c r="AF362" s="21" t="s">
        <v>304</v>
      </c>
      <c r="AG362" s="21" t="s">
        <v>303</v>
      </c>
    </row>
    <row r="363" spans="1:33">
      <c r="A363" s="21" t="s">
        <v>78</v>
      </c>
      <c r="B363" s="21" t="s">
        <v>350</v>
      </c>
      <c r="C363" s="25">
        <v>46095</v>
      </c>
      <c r="D363" s="21" t="s">
        <v>721</v>
      </c>
      <c r="E363" s="24">
        <v>10.27</v>
      </c>
      <c r="F363" s="24">
        <v>10.42</v>
      </c>
      <c r="G363" s="24">
        <f>E363-F363</f>
        <v>-0.15000000000000036</v>
      </c>
      <c r="H363" s="21" t="s">
        <v>289</v>
      </c>
      <c r="I363" s="21">
        <v>1</v>
      </c>
      <c r="J363" s="21">
        <v>7</v>
      </c>
      <c r="K363" s="21">
        <v>5</v>
      </c>
      <c r="L363" s="21">
        <v>6</v>
      </c>
      <c r="M363" s="21">
        <v>4</v>
      </c>
      <c r="P363" s="24">
        <f>J363+L363+N363</f>
        <v>13</v>
      </c>
      <c r="Q363" s="24">
        <f>K363+M363+O363</f>
        <v>9</v>
      </c>
      <c r="R363" s="24">
        <v>0.59090909090909094</v>
      </c>
      <c r="S363" s="21" t="s">
        <v>241</v>
      </c>
      <c r="T363" s="21" t="s">
        <v>355</v>
      </c>
      <c r="U363" s="21" t="s">
        <v>292</v>
      </c>
      <c r="V363" s="21" t="s">
        <v>286</v>
      </c>
      <c r="W363" s="21">
        <v>8</v>
      </c>
      <c r="X363" s="21" t="s">
        <v>285</v>
      </c>
      <c r="Y363" s="21" t="s">
        <v>318</v>
      </c>
      <c r="Z363" s="21" t="s">
        <v>317</v>
      </c>
      <c r="AA363" s="21" t="s">
        <v>78</v>
      </c>
      <c r="AB363" s="21">
        <v>1</v>
      </c>
      <c r="AD363" s="24">
        <v>9.77</v>
      </c>
      <c r="AE363" s="24">
        <v>10.42</v>
      </c>
      <c r="AF363" s="21" t="s">
        <v>304</v>
      </c>
      <c r="AG363" s="21" t="s">
        <v>303</v>
      </c>
    </row>
    <row r="364" spans="1:33">
      <c r="A364" s="21" t="s">
        <v>78</v>
      </c>
      <c r="B364" s="21" t="s">
        <v>350</v>
      </c>
      <c r="C364" s="25">
        <v>46095</v>
      </c>
      <c r="D364" s="21" t="s">
        <v>38</v>
      </c>
      <c r="E364" s="24">
        <v>10.27</v>
      </c>
      <c r="F364" s="24">
        <v>10.11</v>
      </c>
      <c r="G364" s="24">
        <f>E364-F364</f>
        <v>0.16000000000000014</v>
      </c>
      <c r="H364" s="21" t="s">
        <v>289</v>
      </c>
      <c r="I364" s="21">
        <v>1</v>
      </c>
      <c r="J364" s="21">
        <v>6</v>
      </c>
      <c r="K364" s="21">
        <v>0</v>
      </c>
      <c r="L364" s="21">
        <v>6</v>
      </c>
      <c r="M364" s="21">
        <v>2</v>
      </c>
      <c r="P364" s="24">
        <f>J364+L364+N364</f>
        <v>12</v>
      </c>
      <c r="Q364" s="24">
        <f>K364+M364+O364</f>
        <v>2</v>
      </c>
      <c r="R364" s="24">
        <v>0.8571428571428571</v>
      </c>
      <c r="S364" s="21" t="s">
        <v>241</v>
      </c>
      <c r="T364" s="21" t="s">
        <v>295</v>
      </c>
      <c r="U364" s="21" t="s">
        <v>292</v>
      </c>
      <c r="V364" s="21" t="s">
        <v>286</v>
      </c>
      <c r="W364" s="21">
        <v>8</v>
      </c>
      <c r="X364" s="21" t="s">
        <v>285</v>
      </c>
      <c r="Y364" s="21" t="s">
        <v>318</v>
      </c>
      <c r="Z364" s="21" t="s">
        <v>317</v>
      </c>
      <c r="AA364" s="21" t="s">
        <v>78</v>
      </c>
      <c r="AB364" s="21">
        <v>1</v>
      </c>
      <c r="AD364" s="24">
        <v>9.77</v>
      </c>
      <c r="AE364" s="24">
        <v>10.01</v>
      </c>
      <c r="AF364" s="21" t="s">
        <v>304</v>
      </c>
      <c r="AG364" s="21" t="s">
        <v>303</v>
      </c>
    </row>
    <row r="365" spans="1:33">
      <c r="A365" s="21" t="s">
        <v>78</v>
      </c>
      <c r="B365" s="21" t="s">
        <v>350</v>
      </c>
      <c r="C365" s="25">
        <v>46107.333333333336</v>
      </c>
      <c r="D365" s="21" t="s">
        <v>143</v>
      </c>
      <c r="E365" s="24">
        <v>10.35</v>
      </c>
      <c r="F365" s="24">
        <v>6.42</v>
      </c>
      <c r="G365" s="24">
        <f>E365-F365</f>
        <v>3.9299999999999997</v>
      </c>
      <c r="H365" s="21" t="s">
        <v>289</v>
      </c>
      <c r="I365" s="21">
        <v>1</v>
      </c>
      <c r="J365" s="21">
        <v>6</v>
      </c>
      <c r="K365" s="21">
        <v>1</v>
      </c>
      <c r="L365" s="21">
        <v>7</v>
      </c>
      <c r="M365" s="21">
        <v>5</v>
      </c>
      <c r="P365" s="24">
        <f>J365+L365+N365</f>
        <v>13</v>
      </c>
      <c r="Q365" s="24">
        <f>K365+M365+O365</f>
        <v>6</v>
      </c>
      <c r="R365" s="24">
        <v>0.68421052631578949</v>
      </c>
      <c r="S365" s="21" t="s">
        <v>358</v>
      </c>
      <c r="U365" s="21" t="s">
        <v>287</v>
      </c>
      <c r="V365" s="21" t="s">
        <v>286</v>
      </c>
      <c r="W365" s="21">
        <v>11</v>
      </c>
      <c r="X365" s="21" t="s">
        <v>285</v>
      </c>
      <c r="Y365" s="21" t="s">
        <v>318</v>
      </c>
      <c r="Z365" s="21" t="s">
        <v>317</v>
      </c>
      <c r="AA365" s="21" t="s">
        <v>78</v>
      </c>
      <c r="AB365" s="21">
        <v>1</v>
      </c>
      <c r="AD365" s="24">
        <v>9.77</v>
      </c>
      <c r="AE365" s="24">
        <v>7.19</v>
      </c>
      <c r="AF365" s="21" t="s">
        <v>304</v>
      </c>
      <c r="AG365" s="21" t="s">
        <v>303</v>
      </c>
    </row>
    <row r="366" spans="1:33">
      <c r="A366" s="21" t="s">
        <v>78</v>
      </c>
      <c r="B366" s="21" t="s">
        <v>350</v>
      </c>
      <c r="C366" s="25">
        <v>46121.645833333336</v>
      </c>
      <c r="D366" s="21" t="s">
        <v>61</v>
      </c>
      <c r="E366" s="24">
        <v>10.44</v>
      </c>
      <c r="F366" s="24">
        <v>6.4</v>
      </c>
      <c r="G366" s="24">
        <f>E366-F366</f>
        <v>4.0399999999999991</v>
      </c>
      <c r="H366" s="21" t="s">
        <v>289</v>
      </c>
      <c r="I366" s="21">
        <v>1</v>
      </c>
      <c r="J366" s="21">
        <v>6</v>
      </c>
      <c r="K366" s="21">
        <v>0</v>
      </c>
      <c r="L366" s="21">
        <v>7</v>
      </c>
      <c r="M366" s="21">
        <v>6</v>
      </c>
      <c r="P366" s="24">
        <f>J366+L366+N366</f>
        <v>13</v>
      </c>
      <c r="Q366" s="24">
        <f>K366+M366+O366</f>
        <v>6</v>
      </c>
      <c r="R366" s="24">
        <v>0.57241379310344831</v>
      </c>
      <c r="S366" s="21" t="s">
        <v>673</v>
      </c>
      <c r="U366" s="21" t="s">
        <v>287</v>
      </c>
      <c r="V366" s="21" t="s">
        <v>286</v>
      </c>
      <c r="W366" s="21">
        <v>12</v>
      </c>
      <c r="X366" s="21" t="s">
        <v>285</v>
      </c>
      <c r="Y366" s="21" t="s">
        <v>318</v>
      </c>
      <c r="Z366" s="21" t="s">
        <v>317</v>
      </c>
      <c r="AA366" s="21" t="s">
        <v>78</v>
      </c>
      <c r="AB366" s="21">
        <v>1</v>
      </c>
      <c r="AD366" s="24">
        <v>9.77</v>
      </c>
      <c r="AE366" s="24">
        <v>6.95</v>
      </c>
      <c r="AF366" s="21" t="s">
        <v>304</v>
      </c>
      <c r="AG366" s="21" t="s">
        <v>303</v>
      </c>
    </row>
    <row r="367" spans="1:33">
      <c r="A367" s="21" t="s">
        <v>78</v>
      </c>
      <c r="B367" s="21" t="s">
        <v>350</v>
      </c>
      <c r="C367" s="25">
        <v>46123</v>
      </c>
      <c r="D367" s="21" t="s">
        <v>450</v>
      </c>
      <c r="E367" s="24">
        <v>10.44</v>
      </c>
      <c r="F367" s="24">
        <v>10.42</v>
      </c>
      <c r="G367" s="24">
        <f>E367-F367</f>
        <v>1.9999999999999574E-2</v>
      </c>
      <c r="H367" s="21" t="s">
        <v>294</v>
      </c>
      <c r="I367" s="21">
        <v>0</v>
      </c>
      <c r="J367" s="21">
        <v>5</v>
      </c>
      <c r="K367" s="21">
        <v>7</v>
      </c>
      <c r="L367" s="21">
        <v>4</v>
      </c>
      <c r="M367" s="21">
        <v>6</v>
      </c>
      <c r="P367" s="24">
        <f>J367+L367+N367</f>
        <v>9</v>
      </c>
      <c r="Q367" s="24">
        <f>K367+M367+O367</f>
        <v>13</v>
      </c>
      <c r="R367" s="24">
        <v>0.40909090909090912</v>
      </c>
      <c r="S367" s="21" t="s">
        <v>353</v>
      </c>
      <c r="T367" s="21" t="s">
        <v>297</v>
      </c>
      <c r="U367" s="21" t="s">
        <v>292</v>
      </c>
      <c r="V367" s="21" t="s">
        <v>286</v>
      </c>
      <c r="W367" s="21">
        <v>13</v>
      </c>
      <c r="X367" s="21" t="s">
        <v>285</v>
      </c>
      <c r="Y367" s="21" t="s">
        <v>318</v>
      </c>
      <c r="Z367" s="21" t="s">
        <v>317</v>
      </c>
      <c r="AA367" s="21" t="s">
        <v>78</v>
      </c>
      <c r="AB367" s="21">
        <v>1</v>
      </c>
      <c r="AD367" s="24">
        <v>9.77</v>
      </c>
      <c r="AE367" s="24">
        <v>10.42</v>
      </c>
      <c r="AF367" s="21" t="s">
        <v>304</v>
      </c>
      <c r="AG367" s="21" t="s">
        <v>303</v>
      </c>
    </row>
    <row r="368" spans="1:33">
      <c r="A368" s="21" t="s">
        <v>78</v>
      </c>
      <c r="B368" s="21" t="s">
        <v>350</v>
      </c>
      <c r="C368" s="25">
        <v>46126.645833333336</v>
      </c>
      <c r="D368" s="21" t="s">
        <v>44</v>
      </c>
      <c r="E368" s="24">
        <v>10.45</v>
      </c>
      <c r="F368" s="24">
        <v>8.5500000000000007</v>
      </c>
      <c r="G368" s="24">
        <f>E368-F368</f>
        <v>1.8999999999999986</v>
      </c>
      <c r="H368" s="21" t="s">
        <v>289</v>
      </c>
      <c r="I368" s="21">
        <v>1</v>
      </c>
      <c r="J368" s="21">
        <v>6</v>
      </c>
      <c r="K368" s="21">
        <v>2</v>
      </c>
      <c r="L368" s="21">
        <v>6</v>
      </c>
      <c r="M368" s="21">
        <v>4</v>
      </c>
      <c r="P368" s="24">
        <f>J368+L368+N368</f>
        <v>12</v>
      </c>
      <c r="Q368" s="24">
        <f>K368+M368+O368</f>
        <v>6</v>
      </c>
      <c r="R368" s="24">
        <v>0.66666666666666663</v>
      </c>
      <c r="S368" s="21" t="s">
        <v>112</v>
      </c>
      <c r="U368" s="21" t="s">
        <v>287</v>
      </c>
      <c r="V368" s="21" t="s">
        <v>286</v>
      </c>
      <c r="W368" s="21">
        <v>14</v>
      </c>
      <c r="X368" s="21" t="s">
        <v>285</v>
      </c>
      <c r="Y368" s="21" t="s">
        <v>318</v>
      </c>
      <c r="Z368" s="21" t="s">
        <v>317</v>
      </c>
      <c r="AA368" s="21" t="s">
        <v>78</v>
      </c>
      <c r="AB368" s="21">
        <v>1</v>
      </c>
      <c r="AD368" s="24">
        <v>9.77</v>
      </c>
      <c r="AE368" s="24">
        <v>8.42</v>
      </c>
      <c r="AF368" s="21" t="s">
        <v>304</v>
      </c>
      <c r="AG368" s="21" t="s">
        <v>303</v>
      </c>
    </row>
    <row r="369" spans="1:33">
      <c r="A369" s="21" t="s">
        <v>78</v>
      </c>
      <c r="B369" s="21" t="s">
        <v>350</v>
      </c>
      <c r="C369" s="25">
        <v>46130.845138888886</v>
      </c>
      <c r="D369" s="21" t="s">
        <v>290</v>
      </c>
      <c r="E369" s="24">
        <v>10.45</v>
      </c>
      <c r="F369" s="24">
        <v>7.08</v>
      </c>
      <c r="G369" s="24">
        <f>E369-F369</f>
        <v>3.3699999999999992</v>
      </c>
      <c r="H369" s="21" t="s">
        <v>289</v>
      </c>
      <c r="I369" s="21">
        <v>1</v>
      </c>
      <c r="J369" s="21">
        <v>6</v>
      </c>
      <c r="K369" s="21">
        <v>0</v>
      </c>
      <c r="L369" s="21">
        <v>6</v>
      </c>
      <c r="M369" s="21">
        <v>1</v>
      </c>
      <c r="P369" s="24">
        <f>J369+L369+N369</f>
        <v>12</v>
      </c>
      <c r="Q369" s="24">
        <f>K369+M369+O369</f>
        <v>1</v>
      </c>
      <c r="R369" s="24">
        <v>0.92307692307692313</v>
      </c>
      <c r="S369" s="21" t="s">
        <v>63</v>
      </c>
      <c r="T369" s="21" t="s">
        <v>352</v>
      </c>
      <c r="U369" s="21" t="s">
        <v>287</v>
      </c>
      <c r="V369" s="21" t="s">
        <v>286</v>
      </c>
      <c r="W369" s="21">
        <v>15</v>
      </c>
      <c r="X369" s="21" t="s">
        <v>285</v>
      </c>
      <c r="Y369" s="21" t="s">
        <v>318</v>
      </c>
      <c r="Z369" s="21" t="s">
        <v>317</v>
      </c>
      <c r="AA369" s="21" t="s">
        <v>78</v>
      </c>
      <c r="AB369" s="21">
        <v>1</v>
      </c>
      <c r="AD369" s="24">
        <v>9.77</v>
      </c>
      <c r="AE369" s="24">
        <v>7.08</v>
      </c>
      <c r="AF369" s="21" t="s">
        <v>304</v>
      </c>
      <c r="AG369" s="21" t="s">
        <v>303</v>
      </c>
    </row>
    <row r="370" spans="1:33">
      <c r="A370" s="21" t="s">
        <v>78</v>
      </c>
      <c r="B370" s="21" t="s">
        <v>350</v>
      </c>
      <c r="C370" s="25">
        <v>46130.84652777778</v>
      </c>
      <c r="D370" s="21" t="s">
        <v>18</v>
      </c>
      <c r="E370" s="24">
        <v>10.45</v>
      </c>
      <c r="F370" s="24">
        <v>8.1300000000000008</v>
      </c>
      <c r="G370" s="24">
        <f>E370-F370</f>
        <v>2.3199999999999985</v>
      </c>
      <c r="H370" s="21" t="s">
        <v>289</v>
      </c>
      <c r="I370" s="21">
        <v>1</v>
      </c>
      <c r="J370" s="21">
        <v>6</v>
      </c>
      <c r="K370" s="21">
        <v>3</v>
      </c>
      <c r="L370" s="21">
        <v>6</v>
      </c>
      <c r="M370" s="21">
        <v>2</v>
      </c>
      <c r="P370" s="24">
        <f>J370+L370+N370</f>
        <v>12</v>
      </c>
      <c r="Q370" s="24">
        <f>K370+M370+O370</f>
        <v>5</v>
      </c>
      <c r="R370" s="24">
        <v>0.70588235294117652</v>
      </c>
      <c r="S370" s="21" t="s">
        <v>63</v>
      </c>
      <c r="T370" s="21" t="s">
        <v>351</v>
      </c>
      <c r="U370" s="21" t="s">
        <v>287</v>
      </c>
      <c r="V370" s="21" t="s">
        <v>286</v>
      </c>
      <c r="W370" s="21">
        <v>16</v>
      </c>
      <c r="X370" s="21" t="s">
        <v>285</v>
      </c>
      <c r="Y370" s="21" t="s">
        <v>318</v>
      </c>
      <c r="Z370" s="21" t="s">
        <v>317</v>
      </c>
      <c r="AA370" s="21" t="s">
        <v>78</v>
      </c>
      <c r="AB370" s="21">
        <v>1</v>
      </c>
      <c r="AD370" s="24">
        <v>9.77</v>
      </c>
      <c r="AE370" s="24">
        <v>8.73</v>
      </c>
      <c r="AF370" s="21" t="s">
        <v>302</v>
      </c>
      <c r="AG370" s="21" t="s">
        <v>301</v>
      </c>
    </row>
    <row r="371" spans="1:33">
      <c r="A371" s="21" t="s">
        <v>78</v>
      </c>
      <c r="B371" s="21" t="s">
        <v>350</v>
      </c>
      <c r="C371" s="25">
        <v>46130.848611111112</v>
      </c>
      <c r="D371" s="21" t="s">
        <v>38</v>
      </c>
      <c r="E371" s="24">
        <v>10.45</v>
      </c>
      <c r="F371" s="24">
        <v>10.18</v>
      </c>
      <c r="G371" s="24">
        <f>E371-F371</f>
        <v>0.26999999999999957</v>
      </c>
      <c r="H371" s="21" t="s">
        <v>289</v>
      </c>
      <c r="I371" s="21">
        <v>1</v>
      </c>
      <c r="J371" s="21">
        <v>6</v>
      </c>
      <c r="K371" s="21">
        <v>3</v>
      </c>
      <c r="L371" s="21">
        <v>2</v>
      </c>
      <c r="M371" s="21">
        <v>6</v>
      </c>
      <c r="N371" s="21">
        <v>7</v>
      </c>
      <c r="O371" s="21">
        <v>6</v>
      </c>
      <c r="P371" s="24">
        <f>J371+L371+N371</f>
        <v>15</v>
      </c>
      <c r="Q371" s="24">
        <f>K371+M371+O371</f>
        <v>15</v>
      </c>
      <c r="R371" s="24">
        <v>0.53459119496855345</v>
      </c>
      <c r="S371" s="21" t="s">
        <v>63</v>
      </c>
      <c r="T371" s="21" t="s">
        <v>536</v>
      </c>
      <c r="U371" s="21" t="s">
        <v>287</v>
      </c>
      <c r="V371" s="21" t="s">
        <v>286</v>
      </c>
      <c r="W371" s="21">
        <v>17</v>
      </c>
      <c r="X371" s="21" t="s">
        <v>285</v>
      </c>
      <c r="Y371" s="21" t="s">
        <v>318</v>
      </c>
      <c r="Z371" s="21" t="s">
        <v>317</v>
      </c>
      <c r="AA371" s="21" t="s">
        <v>78</v>
      </c>
      <c r="AB371" s="21">
        <v>1</v>
      </c>
      <c r="AD371" s="24">
        <v>9.77</v>
      </c>
      <c r="AE371" s="24">
        <v>10.01</v>
      </c>
      <c r="AF371" s="21" t="s">
        <v>302</v>
      </c>
      <c r="AG371" s="21" t="s">
        <v>301</v>
      </c>
    </row>
    <row r="372" spans="1:33">
      <c r="A372" s="21" t="s">
        <v>78</v>
      </c>
      <c r="B372" s="21" t="s">
        <v>350</v>
      </c>
      <c r="C372" s="25">
        <v>46133.645833333336</v>
      </c>
      <c r="D372" s="21" t="s">
        <v>14</v>
      </c>
      <c r="E372" s="24">
        <v>10.41</v>
      </c>
      <c r="F372" s="24">
        <v>6.83</v>
      </c>
      <c r="G372" s="24">
        <f>E372-F372</f>
        <v>3.58</v>
      </c>
      <c r="H372" s="21" t="s">
        <v>289</v>
      </c>
      <c r="I372" s="21">
        <v>1</v>
      </c>
      <c r="J372" s="21">
        <v>7</v>
      </c>
      <c r="K372" s="21">
        <v>6</v>
      </c>
      <c r="L372" s="21">
        <v>6</v>
      </c>
      <c r="M372" s="21">
        <v>1</v>
      </c>
      <c r="P372" s="24">
        <f>J372+L372+N372</f>
        <v>13</v>
      </c>
      <c r="Q372" s="24">
        <f>K372+M372+O372</f>
        <v>7</v>
      </c>
      <c r="R372" s="24">
        <v>0.55704697986577179</v>
      </c>
      <c r="S372" s="21" t="s">
        <v>63</v>
      </c>
      <c r="U372" s="21" t="s">
        <v>287</v>
      </c>
      <c r="V372" s="21" t="s">
        <v>286</v>
      </c>
      <c r="W372" s="21">
        <v>18</v>
      </c>
      <c r="X372" s="21" t="s">
        <v>285</v>
      </c>
      <c r="Y372" s="21" t="s">
        <v>318</v>
      </c>
      <c r="Z372" s="21" t="s">
        <v>317</v>
      </c>
      <c r="AA372" s="21" t="s">
        <v>78</v>
      </c>
      <c r="AB372" s="21">
        <v>1</v>
      </c>
      <c r="AD372" s="24">
        <v>9.77</v>
      </c>
      <c r="AE372" s="24">
        <v>8.06</v>
      </c>
      <c r="AF372" s="21" t="s">
        <v>322</v>
      </c>
      <c r="AG372" s="21" t="s">
        <v>301</v>
      </c>
    </row>
    <row r="373" spans="1:33">
      <c r="A373" s="21" t="s">
        <v>78</v>
      </c>
      <c r="B373" s="21" t="s">
        <v>350</v>
      </c>
      <c r="C373" s="25">
        <v>46139.666666666664</v>
      </c>
      <c r="D373" s="21" t="s">
        <v>18</v>
      </c>
      <c r="E373" s="24">
        <v>10.41</v>
      </c>
      <c r="F373" s="24">
        <v>8.14</v>
      </c>
      <c r="G373" s="24">
        <f>E373-F373</f>
        <v>2.2699999999999996</v>
      </c>
      <c r="H373" s="21" t="s">
        <v>289</v>
      </c>
      <c r="I373" s="21">
        <v>1</v>
      </c>
      <c r="J373" s="21">
        <v>6</v>
      </c>
      <c r="K373" s="21">
        <v>4</v>
      </c>
      <c r="L373" s="21">
        <v>4</v>
      </c>
      <c r="M373" s="21">
        <v>6</v>
      </c>
      <c r="N373" s="21">
        <v>6</v>
      </c>
      <c r="O373" s="21">
        <v>3</v>
      </c>
      <c r="P373" s="24">
        <f>J373+L373+N373</f>
        <v>16</v>
      </c>
      <c r="Q373" s="24">
        <f>K373+M373+O373</f>
        <v>13</v>
      </c>
      <c r="R373" s="24">
        <v>0.55172413793103448</v>
      </c>
      <c r="S373" s="21" t="s">
        <v>49</v>
      </c>
      <c r="U373" s="21" t="s">
        <v>287</v>
      </c>
      <c r="V373" s="21" t="s">
        <v>286</v>
      </c>
      <c r="W373" s="21">
        <v>19</v>
      </c>
      <c r="X373" s="21" t="s">
        <v>285</v>
      </c>
      <c r="Y373" s="21" t="s">
        <v>318</v>
      </c>
      <c r="Z373" s="21" t="s">
        <v>317</v>
      </c>
      <c r="AA373" s="21" t="s">
        <v>78</v>
      </c>
      <c r="AB373" s="21">
        <v>1</v>
      </c>
      <c r="AD373" s="24">
        <v>9.77</v>
      </c>
      <c r="AE373" s="24">
        <v>8.73</v>
      </c>
      <c r="AF373" s="21" t="s">
        <v>304</v>
      </c>
      <c r="AG373" s="21" t="s">
        <v>303</v>
      </c>
    </row>
    <row r="374" spans="1:33">
      <c r="A374" s="21" t="s">
        <v>78</v>
      </c>
      <c r="B374" s="21" t="s">
        <v>350</v>
      </c>
      <c r="C374" s="25">
        <v>46141.581250000003</v>
      </c>
      <c r="D374" s="21" t="s">
        <v>114</v>
      </c>
      <c r="E374" s="24">
        <v>10.37</v>
      </c>
      <c r="F374" s="24">
        <v>7.92</v>
      </c>
      <c r="G374" s="24">
        <f>E374-F374</f>
        <v>2.4499999999999993</v>
      </c>
      <c r="H374" s="21" t="s">
        <v>289</v>
      </c>
      <c r="I374" s="21">
        <v>1</v>
      </c>
      <c r="J374" s="21">
        <v>6</v>
      </c>
      <c r="K374" s="21">
        <v>3</v>
      </c>
      <c r="L374" s="21">
        <v>6</v>
      </c>
      <c r="M374" s="21">
        <v>3</v>
      </c>
      <c r="P374" s="24">
        <f>J374+L374+N374</f>
        <v>12</v>
      </c>
      <c r="Q374" s="24">
        <f>K374+M374+O374</f>
        <v>6</v>
      </c>
      <c r="R374" s="24">
        <v>0.66666666666666663</v>
      </c>
      <c r="S374" s="21" t="s">
        <v>29</v>
      </c>
      <c r="T374" s="21" t="s">
        <v>297</v>
      </c>
      <c r="U374" s="21" t="s">
        <v>292</v>
      </c>
      <c r="V374" s="21" t="s">
        <v>286</v>
      </c>
      <c r="W374" s="21">
        <v>20</v>
      </c>
      <c r="X374" s="21" t="s">
        <v>285</v>
      </c>
      <c r="Y374" s="21" t="s">
        <v>318</v>
      </c>
      <c r="Z374" s="21" t="s">
        <v>317</v>
      </c>
      <c r="AA374" s="21" t="s">
        <v>78</v>
      </c>
      <c r="AB374" s="21">
        <v>1</v>
      </c>
      <c r="AD374" s="24">
        <v>9.77</v>
      </c>
      <c r="AE374" s="24">
        <v>8.2799999999999994</v>
      </c>
      <c r="AF374" s="21" t="s">
        <v>304</v>
      </c>
      <c r="AG374" s="21" t="s">
        <v>303</v>
      </c>
    </row>
    <row r="375" spans="1:33">
      <c r="A375" s="21" t="s">
        <v>78</v>
      </c>
      <c r="B375" s="21" t="s">
        <v>350</v>
      </c>
      <c r="C375" s="25">
        <v>46141.587500000001</v>
      </c>
      <c r="D375" s="21" t="s">
        <v>18</v>
      </c>
      <c r="E375" s="24">
        <v>10.37</v>
      </c>
      <c r="F375" s="24">
        <v>8.18</v>
      </c>
      <c r="G375" s="24">
        <f>E375-F375</f>
        <v>2.1899999999999995</v>
      </c>
      <c r="H375" s="21" t="s">
        <v>289</v>
      </c>
      <c r="I375" s="21">
        <v>1</v>
      </c>
      <c r="J375" s="21">
        <v>6</v>
      </c>
      <c r="K375" s="21">
        <v>3</v>
      </c>
      <c r="L375" s="21">
        <v>7</v>
      </c>
      <c r="M375" s="21">
        <v>5</v>
      </c>
      <c r="P375" s="24">
        <f>J375+L375+N375</f>
        <v>13</v>
      </c>
      <c r="Q375" s="24">
        <f>K375+M375+O375</f>
        <v>8</v>
      </c>
      <c r="R375" s="24">
        <v>0.61904761904761907</v>
      </c>
      <c r="S375" s="21" t="s">
        <v>29</v>
      </c>
      <c r="T375" s="21" t="s">
        <v>296</v>
      </c>
      <c r="U375" s="21" t="s">
        <v>292</v>
      </c>
      <c r="V375" s="21" t="s">
        <v>286</v>
      </c>
      <c r="W375" s="21">
        <v>21</v>
      </c>
      <c r="X375" s="21" t="s">
        <v>285</v>
      </c>
      <c r="Y375" s="21" t="s">
        <v>318</v>
      </c>
      <c r="Z375" s="21" t="s">
        <v>317</v>
      </c>
      <c r="AA375" s="21" t="s">
        <v>78</v>
      </c>
      <c r="AB375" s="21">
        <v>1</v>
      </c>
      <c r="AD375" s="24">
        <v>9.77</v>
      </c>
      <c r="AE375" s="24">
        <v>8.73</v>
      </c>
      <c r="AF375" s="21" t="s">
        <v>304</v>
      </c>
      <c r="AG375" s="21" t="s">
        <v>303</v>
      </c>
    </row>
    <row r="376" spans="1:33">
      <c r="A376" s="21" t="s">
        <v>78</v>
      </c>
      <c r="B376" s="21" t="s">
        <v>350</v>
      </c>
      <c r="C376" s="25">
        <v>46141.59097222222</v>
      </c>
      <c r="D376" s="21" t="s">
        <v>40</v>
      </c>
      <c r="E376" s="24">
        <v>10.37</v>
      </c>
      <c r="F376" s="24">
        <v>9.56</v>
      </c>
      <c r="G376" s="24">
        <f>E376-F376</f>
        <v>0.80999999999999872</v>
      </c>
      <c r="H376" s="21" t="s">
        <v>294</v>
      </c>
      <c r="I376" s="21">
        <v>0</v>
      </c>
      <c r="J376" s="21">
        <v>3</v>
      </c>
      <c r="K376" s="21">
        <v>6</v>
      </c>
      <c r="L376" s="21">
        <v>4</v>
      </c>
      <c r="M376" s="21">
        <v>6</v>
      </c>
      <c r="P376" s="24">
        <f>J376+L376+N376</f>
        <v>7</v>
      </c>
      <c r="Q376" s="24">
        <f>K376+M376+O376</f>
        <v>12</v>
      </c>
      <c r="R376" s="24">
        <v>0.36842105263157893</v>
      </c>
      <c r="S376" s="21" t="s">
        <v>29</v>
      </c>
      <c r="T376" s="21" t="s">
        <v>295</v>
      </c>
      <c r="U376" s="21" t="s">
        <v>292</v>
      </c>
      <c r="V376" s="21" t="s">
        <v>286</v>
      </c>
      <c r="W376" s="21">
        <v>22</v>
      </c>
      <c r="X376" s="21" t="s">
        <v>285</v>
      </c>
      <c r="Y376" s="21" t="s">
        <v>318</v>
      </c>
      <c r="Z376" s="21" t="s">
        <v>317</v>
      </c>
      <c r="AA376" s="21" t="s">
        <v>78</v>
      </c>
      <c r="AB376" s="21">
        <v>1</v>
      </c>
      <c r="AD376" s="24">
        <v>9.77</v>
      </c>
      <c r="AE376" s="24">
        <v>10.01</v>
      </c>
      <c r="AF376" s="21" t="s">
        <v>304</v>
      </c>
      <c r="AG376" s="21" t="s">
        <v>303</v>
      </c>
    </row>
    <row r="377" spans="1:33">
      <c r="A377" s="21" t="s">
        <v>78</v>
      </c>
      <c r="B377" s="21" t="s">
        <v>350</v>
      </c>
      <c r="C377" s="25">
        <v>46141.599305555559</v>
      </c>
      <c r="D377" s="21" t="s">
        <v>37</v>
      </c>
      <c r="E377" s="24">
        <v>10.37</v>
      </c>
      <c r="F377" s="24">
        <v>10.16</v>
      </c>
      <c r="G377" s="24">
        <f>E377-F377</f>
        <v>0.20999999999999908</v>
      </c>
      <c r="H377" s="21" t="s">
        <v>294</v>
      </c>
      <c r="I377" s="21">
        <v>0</v>
      </c>
      <c r="J377" s="21">
        <v>2</v>
      </c>
      <c r="K377" s="21">
        <v>6</v>
      </c>
      <c r="L377" s="21">
        <v>1</v>
      </c>
      <c r="M377" s="21">
        <v>6</v>
      </c>
      <c r="P377" s="24">
        <f>J377+L377+N377</f>
        <v>3</v>
      </c>
      <c r="Q377" s="24">
        <f>K377+M377+O377</f>
        <v>12</v>
      </c>
      <c r="R377" s="24">
        <v>0.2</v>
      </c>
      <c r="S377" s="21" t="s">
        <v>29</v>
      </c>
      <c r="T377" s="21" t="s">
        <v>293</v>
      </c>
      <c r="U377" s="21" t="s">
        <v>292</v>
      </c>
      <c r="V377" s="21" t="s">
        <v>286</v>
      </c>
      <c r="W377" s="21">
        <v>23</v>
      </c>
      <c r="X377" s="21" t="s">
        <v>285</v>
      </c>
      <c r="Y377" s="21" t="s">
        <v>318</v>
      </c>
      <c r="Z377" s="21" t="s">
        <v>317</v>
      </c>
      <c r="AA377" s="21" t="s">
        <v>78</v>
      </c>
      <c r="AB377" s="21">
        <v>1</v>
      </c>
      <c r="AD377" s="24">
        <v>9.77</v>
      </c>
      <c r="AE377" s="24">
        <v>10.06</v>
      </c>
      <c r="AF377" s="21" t="s">
        <v>304</v>
      </c>
      <c r="AG377" s="21" t="s">
        <v>303</v>
      </c>
    </row>
    <row r="378" spans="1:33">
      <c r="A378" s="21" t="s">
        <v>78</v>
      </c>
      <c r="B378" s="21" t="s">
        <v>350</v>
      </c>
      <c r="C378" s="25">
        <v>46178</v>
      </c>
      <c r="D378" s="21" t="s">
        <v>721</v>
      </c>
      <c r="E378" s="24">
        <v>10.18</v>
      </c>
      <c r="F378" s="24">
        <v>10.42</v>
      </c>
      <c r="G378" s="24">
        <f>E378-F378</f>
        <v>-0.24000000000000021</v>
      </c>
      <c r="H378" s="21" t="s">
        <v>294</v>
      </c>
      <c r="I378" s="21">
        <v>0</v>
      </c>
      <c r="J378" s="21">
        <v>1</v>
      </c>
      <c r="K378" s="21">
        <v>6</v>
      </c>
      <c r="L378" s="21">
        <v>1</v>
      </c>
      <c r="M378" s="21">
        <v>6</v>
      </c>
      <c r="P378" s="24">
        <f>J378+L378+N378</f>
        <v>2</v>
      </c>
      <c r="Q378" s="24">
        <f>K378+M378+O378</f>
        <v>12</v>
      </c>
      <c r="R378" s="24">
        <v>0.14285714285714285</v>
      </c>
      <c r="S378" s="21" t="s">
        <v>574</v>
      </c>
      <c r="T378" s="21" t="s">
        <v>372</v>
      </c>
      <c r="U378" s="21" t="s">
        <v>292</v>
      </c>
      <c r="V378" s="21" t="s">
        <v>286</v>
      </c>
      <c r="W378" s="21">
        <v>24</v>
      </c>
      <c r="X378" s="21" t="s">
        <v>285</v>
      </c>
      <c r="Y378" s="21" t="s">
        <v>318</v>
      </c>
      <c r="Z378" s="21" t="s">
        <v>317</v>
      </c>
      <c r="AA378" s="21" t="s">
        <v>78</v>
      </c>
      <c r="AB378" s="21">
        <v>1</v>
      </c>
      <c r="AD378" s="24">
        <v>9.77</v>
      </c>
      <c r="AE378" s="24">
        <v>10.42</v>
      </c>
      <c r="AF378" s="21" t="s">
        <v>302</v>
      </c>
      <c r="AG378" s="21" t="s">
        <v>301</v>
      </c>
    </row>
    <row r="379" spans="1:33">
      <c r="A379" s="21" t="s">
        <v>78</v>
      </c>
      <c r="B379" s="21" t="s">
        <v>350</v>
      </c>
      <c r="C379" s="25">
        <v>46178</v>
      </c>
      <c r="D379" s="21" t="s">
        <v>720</v>
      </c>
      <c r="E379" s="24">
        <v>10.18</v>
      </c>
      <c r="F379" s="24">
        <v>8.24</v>
      </c>
      <c r="G379" s="24">
        <f>E379-F379</f>
        <v>1.9399999999999995</v>
      </c>
      <c r="H379" s="21" t="s">
        <v>294</v>
      </c>
      <c r="I379" s="21">
        <v>0</v>
      </c>
      <c r="J379" s="21">
        <v>3</v>
      </c>
      <c r="K379" s="21">
        <v>6</v>
      </c>
      <c r="L379" s="21">
        <v>5</v>
      </c>
      <c r="M379" s="21">
        <v>7</v>
      </c>
      <c r="P379" s="24">
        <f>J379+L379+N379</f>
        <v>8</v>
      </c>
      <c r="Q379" s="24">
        <f>K379+M379+O379</f>
        <v>13</v>
      </c>
      <c r="R379" s="24">
        <v>0.38095238095238093</v>
      </c>
      <c r="S379" s="21" t="s">
        <v>574</v>
      </c>
      <c r="T379" s="21" t="s">
        <v>298</v>
      </c>
      <c r="U379" s="21" t="s">
        <v>292</v>
      </c>
      <c r="V379" s="21" t="s">
        <v>286</v>
      </c>
      <c r="W379" s="21">
        <v>24</v>
      </c>
      <c r="X379" s="21" t="s">
        <v>285</v>
      </c>
      <c r="Y379" s="21" t="s">
        <v>318</v>
      </c>
      <c r="Z379" s="21" t="s">
        <v>317</v>
      </c>
      <c r="AA379" s="21" t="s">
        <v>78</v>
      </c>
      <c r="AB379" s="21">
        <v>1</v>
      </c>
      <c r="AD379" s="24">
        <v>9.77</v>
      </c>
      <c r="AE379" s="24">
        <v>8.24</v>
      </c>
      <c r="AF379" s="21" t="s">
        <v>302</v>
      </c>
      <c r="AG379" s="21" t="s">
        <v>301</v>
      </c>
    </row>
    <row r="380" spans="1:33">
      <c r="A380" s="21" t="s">
        <v>44</v>
      </c>
      <c r="B380" s="21" t="s">
        <v>335</v>
      </c>
      <c r="C380" s="25">
        <v>46069</v>
      </c>
      <c r="D380" s="21" t="s">
        <v>719</v>
      </c>
      <c r="E380" s="24">
        <v>8.3699999999999992</v>
      </c>
      <c r="F380" s="24">
        <v>6.22</v>
      </c>
      <c r="G380" s="24">
        <f>E380-F380</f>
        <v>2.1499999999999995</v>
      </c>
      <c r="H380" s="21" t="s">
        <v>289</v>
      </c>
      <c r="I380" s="21">
        <v>1</v>
      </c>
      <c r="J380" s="21">
        <v>6</v>
      </c>
      <c r="K380" s="21">
        <v>1</v>
      </c>
      <c r="L380" s="21">
        <v>6</v>
      </c>
      <c r="M380" s="21">
        <v>0</v>
      </c>
      <c r="P380" s="24">
        <f>J380+L380+N380</f>
        <v>12</v>
      </c>
      <c r="Q380" s="24">
        <f>K380+M380+O380</f>
        <v>1</v>
      </c>
      <c r="R380" s="24">
        <v>0.92307692307692313</v>
      </c>
      <c r="S380" s="21" t="s">
        <v>342</v>
      </c>
      <c r="T380" s="21" t="s">
        <v>296</v>
      </c>
      <c r="U380" s="21" t="s">
        <v>287</v>
      </c>
      <c r="V380" s="21" t="s">
        <v>286</v>
      </c>
      <c r="W380" s="21">
        <v>0</v>
      </c>
      <c r="X380" s="21" t="s">
        <v>312</v>
      </c>
      <c r="Y380" s="21" t="s">
        <v>284</v>
      </c>
      <c r="Z380" s="21" t="s">
        <v>283</v>
      </c>
      <c r="AA380" s="21" t="s">
        <v>44</v>
      </c>
      <c r="AB380" s="21">
        <v>1</v>
      </c>
      <c r="AD380" s="24">
        <v>8.3699999999999992</v>
      </c>
      <c r="AE380" s="24">
        <v>6.22</v>
      </c>
      <c r="AF380" s="21" t="s">
        <v>304</v>
      </c>
      <c r="AG380" s="21" t="s">
        <v>303</v>
      </c>
    </row>
    <row r="381" spans="1:33">
      <c r="A381" s="21" t="s">
        <v>44</v>
      </c>
      <c r="B381" s="21" t="s">
        <v>335</v>
      </c>
      <c r="C381" s="25">
        <v>46092.645833333336</v>
      </c>
      <c r="D381" s="21" t="s">
        <v>37</v>
      </c>
      <c r="E381" s="24">
        <v>8.5500000000000007</v>
      </c>
      <c r="F381" s="24">
        <v>9.93</v>
      </c>
      <c r="G381" s="24">
        <f>E381-F381</f>
        <v>-1.379999999999999</v>
      </c>
      <c r="H381" s="21" t="s">
        <v>294</v>
      </c>
      <c r="I381" s="21">
        <v>0</v>
      </c>
      <c r="J381" s="21">
        <v>4</v>
      </c>
      <c r="K381" s="21">
        <v>6</v>
      </c>
      <c r="L381" s="21">
        <v>2</v>
      </c>
      <c r="M381" s="21">
        <v>6</v>
      </c>
      <c r="P381" s="24">
        <f>J381+L381+N381</f>
        <v>6</v>
      </c>
      <c r="Q381" s="24">
        <f>K381+M381+O381</f>
        <v>12</v>
      </c>
      <c r="R381" s="24">
        <v>0.33333333333333331</v>
      </c>
      <c r="S381" s="21" t="s">
        <v>342</v>
      </c>
      <c r="U381" s="21" t="s">
        <v>287</v>
      </c>
      <c r="V381" s="21" t="s">
        <v>286</v>
      </c>
      <c r="W381" s="21">
        <v>1</v>
      </c>
      <c r="X381" s="21" t="s">
        <v>323</v>
      </c>
      <c r="Y381" s="21" t="s">
        <v>284</v>
      </c>
      <c r="Z381" s="21" t="s">
        <v>283</v>
      </c>
      <c r="AA381" s="21" t="s">
        <v>44</v>
      </c>
      <c r="AB381" s="21">
        <v>1</v>
      </c>
      <c r="AD381" s="24">
        <v>8.3699999999999992</v>
      </c>
      <c r="AE381" s="24">
        <v>10.19</v>
      </c>
      <c r="AF381" s="21" t="s">
        <v>304</v>
      </c>
      <c r="AG381" s="21" t="s">
        <v>303</v>
      </c>
    </row>
    <row r="382" spans="1:33">
      <c r="A382" s="21" t="s">
        <v>44</v>
      </c>
      <c r="B382" s="21" t="s">
        <v>335</v>
      </c>
      <c r="C382" s="25">
        <v>46098.645833333336</v>
      </c>
      <c r="D382" s="21" t="s">
        <v>46</v>
      </c>
      <c r="E382" s="24">
        <v>8.56</v>
      </c>
      <c r="F382" s="24">
        <v>7.32</v>
      </c>
      <c r="G382" s="24">
        <f>E382-F382</f>
        <v>1.2400000000000002</v>
      </c>
      <c r="H382" s="21" t="s">
        <v>289</v>
      </c>
      <c r="I382" s="21">
        <v>1</v>
      </c>
      <c r="J382" s="21">
        <v>6</v>
      </c>
      <c r="K382" s="21">
        <v>4</v>
      </c>
      <c r="L382" s="21">
        <v>6</v>
      </c>
      <c r="M382" s="21">
        <v>1</v>
      </c>
      <c r="P382" s="24">
        <f>J382+L382+N382</f>
        <v>12</v>
      </c>
      <c r="Q382" s="24">
        <f>K382+M382+O382</f>
        <v>5</v>
      </c>
      <c r="R382" s="24">
        <v>0.70588235294117652</v>
      </c>
      <c r="S382" s="21" t="s">
        <v>239</v>
      </c>
      <c r="U382" s="21" t="s">
        <v>287</v>
      </c>
      <c r="V382" s="21" t="s">
        <v>286</v>
      </c>
      <c r="W382" s="21">
        <v>2</v>
      </c>
      <c r="X382" s="21" t="s">
        <v>310</v>
      </c>
      <c r="Y382" s="21" t="s">
        <v>284</v>
      </c>
      <c r="Z382" s="21" t="s">
        <v>283</v>
      </c>
      <c r="AA382" s="21" t="s">
        <v>44</v>
      </c>
      <c r="AB382" s="21">
        <v>1</v>
      </c>
      <c r="AD382" s="24">
        <v>8.3699999999999992</v>
      </c>
      <c r="AE382" s="24">
        <v>7.82</v>
      </c>
      <c r="AF382" s="21" t="s">
        <v>302</v>
      </c>
      <c r="AG382" s="21" t="s">
        <v>301</v>
      </c>
    </row>
    <row r="383" spans="1:33">
      <c r="A383" s="21" t="s">
        <v>44</v>
      </c>
      <c r="B383" s="21" t="s">
        <v>335</v>
      </c>
      <c r="C383" s="25">
        <v>46106.645833333336</v>
      </c>
      <c r="D383" s="21" t="s">
        <v>40</v>
      </c>
      <c r="E383" s="24">
        <v>8.6</v>
      </c>
      <c r="F383" s="24">
        <v>9.61</v>
      </c>
      <c r="G383" s="24">
        <f>E383-F383</f>
        <v>-1.0099999999999998</v>
      </c>
      <c r="H383" s="21" t="s">
        <v>294</v>
      </c>
      <c r="I383" s="21">
        <v>0</v>
      </c>
      <c r="J383" s="21">
        <v>1</v>
      </c>
      <c r="K383" s="21">
        <v>6</v>
      </c>
      <c r="L383" s="21">
        <v>1</v>
      </c>
      <c r="M383" s="21">
        <v>6</v>
      </c>
      <c r="P383" s="24">
        <f>J383+L383+N383</f>
        <v>2</v>
      </c>
      <c r="Q383" s="24">
        <f>K383+M383+O383</f>
        <v>12</v>
      </c>
      <c r="R383" s="24">
        <v>0.14285714285714285</v>
      </c>
      <c r="S383" s="21" t="s">
        <v>211</v>
      </c>
      <c r="U383" s="21" t="s">
        <v>287</v>
      </c>
      <c r="V383" s="21" t="s">
        <v>286</v>
      </c>
      <c r="W383" s="21">
        <v>3</v>
      </c>
      <c r="X383" s="21" t="s">
        <v>285</v>
      </c>
      <c r="Y383" s="21" t="s">
        <v>284</v>
      </c>
      <c r="Z383" s="21" t="s">
        <v>283</v>
      </c>
      <c r="AA383" s="21" t="s">
        <v>44</v>
      </c>
      <c r="AB383" s="21">
        <v>1</v>
      </c>
      <c r="AD383" s="24">
        <v>8.3699999999999992</v>
      </c>
      <c r="AE383" s="24">
        <v>9.84</v>
      </c>
      <c r="AF383" s="21" t="s">
        <v>304</v>
      </c>
      <c r="AG383" s="21" t="s">
        <v>303</v>
      </c>
    </row>
    <row r="384" spans="1:33">
      <c r="A384" s="21" t="s">
        <v>44</v>
      </c>
      <c r="B384" s="21" t="s">
        <v>335</v>
      </c>
      <c r="C384" s="25">
        <v>46111.645833333336</v>
      </c>
      <c r="D384" s="21" t="s">
        <v>504</v>
      </c>
      <c r="E384" s="24">
        <v>8.6</v>
      </c>
      <c r="F384" s="24">
        <v>3.62</v>
      </c>
      <c r="G384" s="24">
        <f>E384-F384</f>
        <v>4.9799999999999995</v>
      </c>
      <c r="H384" s="21" t="s">
        <v>289</v>
      </c>
      <c r="I384" s="21">
        <v>1</v>
      </c>
      <c r="J384" s="21">
        <v>6</v>
      </c>
      <c r="K384" s="21">
        <v>0</v>
      </c>
      <c r="L384" s="21">
        <v>6</v>
      </c>
      <c r="M384" s="21">
        <v>0</v>
      </c>
      <c r="P384" s="24">
        <f>J384+L384+N384</f>
        <v>12</v>
      </c>
      <c r="Q384" s="24">
        <f>K384+M384+O384</f>
        <v>0</v>
      </c>
      <c r="R384" s="24">
        <v>1</v>
      </c>
      <c r="S384" s="21" t="s">
        <v>339</v>
      </c>
      <c r="U384" s="21" t="s">
        <v>287</v>
      </c>
      <c r="V384" s="21" t="s">
        <v>286</v>
      </c>
      <c r="W384" s="21">
        <v>4</v>
      </c>
      <c r="X384" s="21" t="s">
        <v>285</v>
      </c>
      <c r="Y384" s="21" t="s">
        <v>284</v>
      </c>
      <c r="Z384" s="21" t="s">
        <v>283</v>
      </c>
      <c r="AA384" s="21" t="s">
        <v>44</v>
      </c>
      <c r="AB384" s="21">
        <v>1</v>
      </c>
      <c r="AD384" s="24">
        <v>8.3699999999999992</v>
      </c>
      <c r="AE384" s="24">
        <v>3.68</v>
      </c>
      <c r="AF384" s="21" t="s">
        <v>302</v>
      </c>
      <c r="AG384" s="21" t="s">
        <v>301</v>
      </c>
    </row>
    <row r="385" spans="1:33">
      <c r="A385" s="21" t="s">
        <v>44</v>
      </c>
      <c r="B385" s="21" t="s">
        <v>335</v>
      </c>
      <c r="C385" s="25">
        <v>46113.645833333336</v>
      </c>
      <c r="D385" s="21" t="s">
        <v>128</v>
      </c>
      <c r="E385" s="24">
        <v>8.61</v>
      </c>
      <c r="F385" s="24">
        <v>6.64</v>
      </c>
      <c r="G385" s="24">
        <f>E385-F385</f>
        <v>1.9699999999999998</v>
      </c>
      <c r="H385" s="21" t="s">
        <v>289</v>
      </c>
      <c r="I385" s="21">
        <v>1</v>
      </c>
      <c r="J385" s="21">
        <v>7</v>
      </c>
      <c r="K385" s="21">
        <v>5</v>
      </c>
      <c r="L385" s="21">
        <v>6</v>
      </c>
      <c r="M385" s="21">
        <v>2</v>
      </c>
      <c r="P385" s="24">
        <f>J385+L385+N385</f>
        <v>13</v>
      </c>
      <c r="Q385" s="24">
        <f>K385+M385+O385</f>
        <v>7</v>
      </c>
      <c r="R385" s="24">
        <v>0.65</v>
      </c>
      <c r="S385" s="21" t="s">
        <v>174</v>
      </c>
      <c r="U385" s="21" t="s">
        <v>287</v>
      </c>
      <c r="V385" s="21" t="s">
        <v>286</v>
      </c>
      <c r="W385" s="21">
        <v>5</v>
      </c>
      <c r="X385" s="21" t="s">
        <v>285</v>
      </c>
      <c r="Y385" s="21" t="s">
        <v>284</v>
      </c>
      <c r="Z385" s="21" t="s">
        <v>283</v>
      </c>
      <c r="AA385" s="21" t="s">
        <v>44</v>
      </c>
      <c r="AB385" s="21">
        <v>1</v>
      </c>
      <c r="AD385" s="24">
        <v>8.3699999999999992</v>
      </c>
      <c r="AE385" s="24">
        <v>6.88</v>
      </c>
      <c r="AF385" s="21" t="s">
        <v>302</v>
      </c>
      <c r="AG385" s="21" t="s">
        <v>301</v>
      </c>
    </row>
    <row r="386" spans="1:33">
      <c r="A386" s="21" t="s">
        <v>44</v>
      </c>
      <c r="B386" s="21" t="s">
        <v>335</v>
      </c>
      <c r="C386" s="25">
        <v>46120.666666666664</v>
      </c>
      <c r="D386" s="21" t="s">
        <v>718</v>
      </c>
      <c r="E386" s="24">
        <v>8.65</v>
      </c>
      <c r="F386" s="24">
        <v>8.93</v>
      </c>
      <c r="G386" s="24">
        <f>E386-F386</f>
        <v>-0.27999999999999936</v>
      </c>
      <c r="H386" s="21" t="s">
        <v>294</v>
      </c>
      <c r="I386" s="21">
        <v>0</v>
      </c>
      <c r="J386" s="21">
        <v>0</v>
      </c>
      <c r="K386" s="21">
        <v>6</v>
      </c>
      <c r="L386" s="21">
        <v>1</v>
      </c>
      <c r="M386" s="21">
        <v>6</v>
      </c>
      <c r="P386" s="24">
        <f>J386+L386+N386</f>
        <v>1</v>
      </c>
      <c r="Q386" s="24">
        <f>K386+M386+O386</f>
        <v>12</v>
      </c>
      <c r="R386" s="24">
        <v>7.6923076923076927E-2</v>
      </c>
      <c r="S386" s="21" t="s">
        <v>337</v>
      </c>
      <c r="U386" s="21" t="s">
        <v>287</v>
      </c>
      <c r="V386" s="21" t="s">
        <v>286</v>
      </c>
      <c r="W386" s="21">
        <v>6</v>
      </c>
      <c r="X386" s="21" t="s">
        <v>285</v>
      </c>
      <c r="Y386" s="21" t="s">
        <v>284</v>
      </c>
      <c r="Z386" s="21" t="s">
        <v>283</v>
      </c>
      <c r="AA386" s="21" t="s">
        <v>44</v>
      </c>
      <c r="AB386" s="21">
        <v>1</v>
      </c>
      <c r="AD386" s="24">
        <v>8.3699999999999992</v>
      </c>
      <c r="AE386" s="24">
        <v>8.93</v>
      </c>
      <c r="AF386" s="21" t="s">
        <v>304</v>
      </c>
      <c r="AG386" s="21" t="s">
        <v>303</v>
      </c>
    </row>
    <row r="387" spans="1:33">
      <c r="A387" s="21" t="s">
        <v>44</v>
      </c>
      <c r="B387" s="21" t="s">
        <v>335</v>
      </c>
      <c r="C387" s="25">
        <v>46121.333333333336</v>
      </c>
      <c r="D387" s="21" t="s">
        <v>717</v>
      </c>
      <c r="E387" s="24">
        <v>8.65</v>
      </c>
      <c r="F387" s="24">
        <v>1.6</v>
      </c>
      <c r="G387" s="24">
        <f>E387-F387</f>
        <v>7.0500000000000007</v>
      </c>
      <c r="H387" s="21" t="s">
        <v>289</v>
      </c>
      <c r="I387" s="21">
        <v>1</v>
      </c>
      <c r="J387" s="21">
        <v>6</v>
      </c>
      <c r="K387" s="21">
        <v>0</v>
      </c>
      <c r="L387" s="21">
        <v>6</v>
      </c>
      <c r="M387" s="21">
        <v>0</v>
      </c>
      <c r="P387" s="24">
        <f>J387+L387+N387</f>
        <v>12</v>
      </c>
      <c r="Q387" s="24">
        <f>K387+M387+O387</f>
        <v>0</v>
      </c>
      <c r="R387" s="24">
        <v>1</v>
      </c>
      <c r="S387" s="21" t="s">
        <v>336</v>
      </c>
      <c r="U387" s="21" t="s">
        <v>287</v>
      </c>
      <c r="V387" s="21" t="s">
        <v>286</v>
      </c>
      <c r="W387" s="21">
        <v>7</v>
      </c>
      <c r="X387" s="21" t="s">
        <v>285</v>
      </c>
      <c r="Y387" s="21" t="s">
        <v>284</v>
      </c>
      <c r="Z387" s="21" t="s">
        <v>283</v>
      </c>
      <c r="AA387" s="21" t="s">
        <v>44</v>
      </c>
      <c r="AB387" s="21">
        <v>1</v>
      </c>
      <c r="AD387" s="24">
        <v>8.3699999999999992</v>
      </c>
      <c r="AE387" s="24">
        <v>1.6</v>
      </c>
      <c r="AF387" s="21" t="s">
        <v>304</v>
      </c>
      <c r="AG387" s="21" t="s">
        <v>303</v>
      </c>
    </row>
    <row r="388" spans="1:33">
      <c r="A388" s="21" t="s">
        <v>44</v>
      </c>
      <c r="B388" s="21" t="s">
        <v>335</v>
      </c>
      <c r="C388" s="25">
        <v>46125.645833333336</v>
      </c>
      <c r="D388" s="21" t="s">
        <v>13</v>
      </c>
      <c r="E388" s="24">
        <v>8.65</v>
      </c>
      <c r="F388" s="24">
        <v>7.2</v>
      </c>
      <c r="G388" s="24">
        <f>E388-F388</f>
        <v>1.4500000000000002</v>
      </c>
      <c r="H388" s="21" t="s">
        <v>289</v>
      </c>
      <c r="I388" s="21">
        <v>1</v>
      </c>
      <c r="J388" s="21">
        <v>6</v>
      </c>
      <c r="K388" s="21">
        <v>4</v>
      </c>
      <c r="L388" s="21">
        <v>6</v>
      </c>
      <c r="M388" s="21">
        <v>4</v>
      </c>
      <c r="P388" s="24">
        <f>J388+L388+N388</f>
        <v>12</v>
      </c>
      <c r="Q388" s="24">
        <f>K388+M388+O388</f>
        <v>8</v>
      </c>
      <c r="R388" s="24">
        <v>0.6</v>
      </c>
      <c r="S388" s="21" t="s">
        <v>118</v>
      </c>
      <c r="U388" s="21" t="s">
        <v>287</v>
      </c>
      <c r="V388" s="21" t="s">
        <v>286</v>
      </c>
      <c r="W388" s="21">
        <v>8</v>
      </c>
      <c r="X388" s="21" t="s">
        <v>285</v>
      </c>
      <c r="Y388" s="21" t="s">
        <v>284</v>
      </c>
      <c r="Z388" s="21" t="s">
        <v>283</v>
      </c>
      <c r="AA388" s="21" t="s">
        <v>44</v>
      </c>
      <c r="AB388" s="21">
        <v>1</v>
      </c>
      <c r="AD388" s="24">
        <v>8.3699999999999992</v>
      </c>
      <c r="AE388" s="24">
        <v>7.46</v>
      </c>
      <c r="AF388" s="21" t="s">
        <v>304</v>
      </c>
      <c r="AG388" s="21" t="s">
        <v>341</v>
      </c>
    </row>
    <row r="389" spans="1:33">
      <c r="A389" s="21" t="s">
        <v>44</v>
      </c>
      <c r="B389" s="21" t="s">
        <v>335</v>
      </c>
      <c r="C389" s="25">
        <v>46126.645833333336</v>
      </c>
      <c r="D389" s="21" t="s">
        <v>78</v>
      </c>
      <c r="E389" s="24">
        <v>8.5500000000000007</v>
      </c>
      <c r="F389" s="24">
        <v>10.45</v>
      </c>
      <c r="G389" s="24">
        <f>E389-F389</f>
        <v>-1.8999999999999986</v>
      </c>
      <c r="H389" s="21" t="s">
        <v>294</v>
      </c>
      <c r="I389" s="21">
        <v>0</v>
      </c>
      <c r="J389" s="21">
        <v>2</v>
      </c>
      <c r="K389" s="21">
        <v>6</v>
      </c>
      <c r="L389" s="21">
        <v>4</v>
      </c>
      <c r="M389" s="21">
        <v>6</v>
      </c>
      <c r="P389" s="24">
        <f>J389+L389+N389</f>
        <v>6</v>
      </c>
      <c r="Q389" s="24">
        <f>K389+M389+O389</f>
        <v>12</v>
      </c>
      <c r="R389" s="24">
        <v>0.33333333333333331</v>
      </c>
      <c r="S389" s="21" t="s">
        <v>112</v>
      </c>
      <c r="U389" s="21" t="s">
        <v>287</v>
      </c>
      <c r="V389" s="21" t="s">
        <v>286</v>
      </c>
      <c r="W389" s="21">
        <v>9</v>
      </c>
      <c r="X389" s="21" t="s">
        <v>285</v>
      </c>
      <c r="Y389" s="21" t="s">
        <v>284</v>
      </c>
      <c r="Z389" s="21" t="s">
        <v>283</v>
      </c>
      <c r="AA389" s="21" t="s">
        <v>44</v>
      </c>
      <c r="AB389" s="21">
        <v>1</v>
      </c>
      <c r="AD389" s="24">
        <v>8.3699999999999992</v>
      </c>
      <c r="AE389" s="24">
        <v>9.9700000000000006</v>
      </c>
      <c r="AF389" s="21" t="s">
        <v>304</v>
      </c>
      <c r="AG389" s="21" t="s">
        <v>341</v>
      </c>
    </row>
    <row r="390" spans="1:33">
      <c r="A390" s="21" t="s">
        <v>44</v>
      </c>
      <c r="B390" s="21" t="s">
        <v>335</v>
      </c>
      <c r="C390" s="25">
        <v>46141.574305555558</v>
      </c>
      <c r="D390" s="21" t="s">
        <v>290</v>
      </c>
      <c r="E390" s="24">
        <v>8.41</v>
      </c>
      <c r="F390" s="24">
        <v>6.48</v>
      </c>
      <c r="G390" s="24">
        <f>E390-F390</f>
        <v>1.9299999999999997</v>
      </c>
      <c r="H390" s="21" t="s">
        <v>289</v>
      </c>
      <c r="I390" s="21">
        <v>1</v>
      </c>
      <c r="J390" s="21">
        <v>6</v>
      </c>
      <c r="K390" s="21">
        <v>0</v>
      </c>
      <c r="L390" s="21">
        <v>6</v>
      </c>
      <c r="M390" s="21">
        <v>2</v>
      </c>
      <c r="P390" s="24">
        <f>J390+L390+N390</f>
        <v>12</v>
      </c>
      <c r="Q390" s="24">
        <f>K390+M390+O390</f>
        <v>2</v>
      </c>
      <c r="R390" s="24">
        <v>0.8571428571428571</v>
      </c>
      <c r="S390" s="21" t="s">
        <v>29</v>
      </c>
      <c r="T390" s="21" t="s">
        <v>298</v>
      </c>
      <c r="U390" s="21" t="s">
        <v>292</v>
      </c>
      <c r="V390" s="21" t="s">
        <v>286</v>
      </c>
      <c r="W390" s="21">
        <v>10</v>
      </c>
      <c r="X390" s="21" t="s">
        <v>285</v>
      </c>
      <c r="Y390" s="21" t="s">
        <v>284</v>
      </c>
      <c r="Z390" s="21" t="s">
        <v>283</v>
      </c>
      <c r="AA390" s="21" t="s">
        <v>44</v>
      </c>
      <c r="AB390" s="21">
        <v>1</v>
      </c>
      <c r="AD390" s="24">
        <v>8.3699999999999992</v>
      </c>
      <c r="AE390" s="24">
        <v>6.48</v>
      </c>
      <c r="AF390" s="21" t="s">
        <v>304</v>
      </c>
      <c r="AG390" s="21" t="s">
        <v>303</v>
      </c>
    </row>
    <row r="391" spans="1:33">
      <c r="A391" s="21" t="s">
        <v>44</v>
      </c>
      <c r="B391" s="21" t="s">
        <v>335</v>
      </c>
      <c r="C391" s="25">
        <v>46141.582638888889</v>
      </c>
      <c r="D391" s="21" t="s">
        <v>6</v>
      </c>
      <c r="E391" s="24">
        <v>8.41</v>
      </c>
      <c r="F391" s="24">
        <v>8.64</v>
      </c>
      <c r="G391" s="24">
        <f>E391-F391</f>
        <v>-0.23000000000000043</v>
      </c>
      <c r="H391" s="21" t="s">
        <v>294</v>
      </c>
      <c r="I391" s="21">
        <v>0</v>
      </c>
      <c r="J391" s="21">
        <v>4</v>
      </c>
      <c r="K391" s="21">
        <v>6</v>
      </c>
      <c r="L391" s="21">
        <v>1</v>
      </c>
      <c r="M391" s="21">
        <v>6</v>
      </c>
      <c r="P391" s="24">
        <f>J391+L391+N391</f>
        <v>5</v>
      </c>
      <c r="Q391" s="24">
        <f>K391+M391+O391</f>
        <v>12</v>
      </c>
      <c r="R391" s="24">
        <v>0.29411764705882354</v>
      </c>
      <c r="S391" s="21" t="s">
        <v>29</v>
      </c>
      <c r="T391" s="21" t="s">
        <v>297</v>
      </c>
      <c r="U391" s="21" t="s">
        <v>292</v>
      </c>
      <c r="V391" s="21" t="s">
        <v>286</v>
      </c>
      <c r="W391" s="21">
        <v>11</v>
      </c>
      <c r="X391" s="21" t="s">
        <v>285</v>
      </c>
      <c r="Y391" s="21" t="s">
        <v>284</v>
      </c>
      <c r="Z391" s="21" t="s">
        <v>283</v>
      </c>
      <c r="AA391" s="21" t="s">
        <v>44</v>
      </c>
      <c r="AB391" s="21">
        <v>1</v>
      </c>
      <c r="AD391" s="24">
        <v>8.3699999999999992</v>
      </c>
      <c r="AE391" s="24">
        <v>8.89</v>
      </c>
      <c r="AF391" s="21" t="s">
        <v>304</v>
      </c>
      <c r="AG391" s="21" t="s">
        <v>303</v>
      </c>
    </row>
    <row r="392" spans="1:33">
      <c r="A392" s="21" t="s">
        <v>84</v>
      </c>
      <c r="B392" s="21" t="s">
        <v>376</v>
      </c>
      <c r="C392" s="25">
        <v>46088</v>
      </c>
      <c r="D392" s="21" t="s">
        <v>360</v>
      </c>
      <c r="E392" s="24">
        <v>6.25</v>
      </c>
      <c r="F392" s="24">
        <v>7.99</v>
      </c>
      <c r="G392" s="24">
        <f>E392-F392</f>
        <v>-1.7400000000000002</v>
      </c>
      <c r="H392" s="21" t="s">
        <v>294</v>
      </c>
      <c r="I392" s="21">
        <v>0</v>
      </c>
      <c r="J392" s="21">
        <v>2</v>
      </c>
      <c r="K392" s="21">
        <v>6</v>
      </c>
      <c r="L392" s="21">
        <v>1</v>
      </c>
      <c r="M392" s="21">
        <v>6</v>
      </c>
      <c r="P392" s="24">
        <f>J392+L392+N392</f>
        <v>3</v>
      </c>
      <c r="Q392" s="24">
        <f>K392+M392+O392</f>
        <v>12</v>
      </c>
      <c r="R392" s="24">
        <v>0.2</v>
      </c>
      <c r="S392" s="21" t="s">
        <v>716</v>
      </c>
      <c r="T392" s="21" t="s">
        <v>316</v>
      </c>
      <c r="U392" s="21" t="s">
        <v>292</v>
      </c>
      <c r="V392" s="21" t="s">
        <v>286</v>
      </c>
      <c r="W392" s="21">
        <v>0</v>
      </c>
      <c r="X392" s="21" t="s">
        <v>312</v>
      </c>
      <c r="Y392" s="21" t="s">
        <v>284</v>
      </c>
      <c r="Z392" s="21" t="s">
        <v>283</v>
      </c>
      <c r="AA392" s="21" t="s">
        <v>84</v>
      </c>
      <c r="AB392" s="21">
        <v>1</v>
      </c>
      <c r="AD392" s="24">
        <v>6.87</v>
      </c>
      <c r="AE392" s="24">
        <v>7.99</v>
      </c>
      <c r="AF392" s="21" t="s">
        <v>302</v>
      </c>
      <c r="AG392" s="21" t="s">
        <v>301</v>
      </c>
    </row>
    <row r="393" spans="1:33">
      <c r="A393" s="21" t="s">
        <v>84</v>
      </c>
      <c r="B393" s="21" t="s">
        <v>376</v>
      </c>
      <c r="C393" s="25">
        <v>46090.645833333336</v>
      </c>
      <c r="D393" s="21" t="s">
        <v>715</v>
      </c>
      <c r="E393" s="24">
        <v>6.25</v>
      </c>
      <c r="F393" s="24">
        <v>5.31</v>
      </c>
      <c r="G393" s="24">
        <f>E393-F393</f>
        <v>0.94000000000000039</v>
      </c>
      <c r="H393" s="21" t="s">
        <v>289</v>
      </c>
      <c r="I393" s="21">
        <v>1</v>
      </c>
      <c r="J393" s="21">
        <v>6</v>
      </c>
      <c r="K393" s="21">
        <v>0</v>
      </c>
      <c r="L393" s="21">
        <v>6</v>
      </c>
      <c r="M393" s="21">
        <v>1</v>
      </c>
      <c r="P393" s="24">
        <f>J393+L393+N393</f>
        <v>12</v>
      </c>
      <c r="Q393" s="24">
        <f>K393+M393+O393</f>
        <v>1</v>
      </c>
      <c r="R393" s="24">
        <v>0.92307692307692313</v>
      </c>
      <c r="S393" s="21" t="s">
        <v>379</v>
      </c>
      <c r="U393" s="21" t="s">
        <v>287</v>
      </c>
      <c r="V393" s="21" t="s">
        <v>286</v>
      </c>
      <c r="W393" s="21">
        <v>1</v>
      </c>
      <c r="X393" s="21" t="s">
        <v>323</v>
      </c>
      <c r="Y393" s="21" t="s">
        <v>284</v>
      </c>
      <c r="Z393" s="21" t="s">
        <v>283</v>
      </c>
      <c r="AA393" s="21" t="s">
        <v>84</v>
      </c>
      <c r="AB393" s="21">
        <v>1</v>
      </c>
      <c r="AD393" s="24">
        <v>6.87</v>
      </c>
      <c r="AE393" s="24">
        <v>5.31</v>
      </c>
      <c r="AF393" s="21" t="s">
        <v>304</v>
      </c>
      <c r="AG393" s="21" t="s">
        <v>303</v>
      </c>
    </row>
    <row r="394" spans="1:33">
      <c r="A394" s="21" t="s">
        <v>84</v>
      </c>
      <c r="B394" s="21" t="s">
        <v>376</v>
      </c>
      <c r="C394" s="25">
        <v>46092.645833333336</v>
      </c>
      <c r="D394" s="21" t="s">
        <v>228</v>
      </c>
      <c r="E394" s="24">
        <v>6.26</v>
      </c>
      <c r="F394" s="24">
        <v>9.09</v>
      </c>
      <c r="G394" s="24">
        <f>E394-F394</f>
        <v>-2.83</v>
      </c>
      <c r="H394" s="21" t="s">
        <v>294</v>
      </c>
      <c r="I394" s="21">
        <v>0</v>
      </c>
      <c r="J394" s="21">
        <v>2</v>
      </c>
      <c r="K394" s="21">
        <v>6</v>
      </c>
      <c r="L394" s="21">
        <v>3</v>
      </c>
      <c r="M394" s="21">
        <v>6</v>
      </c>
      <c r="P394" s="24">
        <f>J394+L394+N394</f>
        <v>5</v>
      </c>
      <c r="Q394" s="24">
        <f>K394+M394+O394</f>
        <v>12</v>
      </c>
      <c r="R394" s="24">
        <v>0.29411764705882354</v>
      </c>
      <c r="S394" s="21" t="s">
        <v>637</v>
      </c>
      <c r="U394" s="21" t="s">
        <v>287</v>
      </c>
      <c r="V394" s="21" t="s">
        <v>286</v>
      </c>
      <c r="W394" s="21">
        <v>2</v>
      </c>
      <c r="X394" s="21" t="s">
        <v>310</v>
      </c>
      <c r="Y394" s="21" t="s">
        <v>284</v>
      </c>
      <c r="Z394" s="21" t="s">
        <v>283</v>
      </c>
      <c r="AA394" s="21" t="s">
        <v>84</v>
      </c>
      <c r="AB394" s="21">
        <v>1</v>
      </c>
      <c r="AD394" s="24">
        <v>6.87</v>
      </c>
      <c r="AE394" s="24">
        <v>8.81</v>
      </c>
      <c r="AF394" s="21" t="s">
        <v>304</v>
      </c>
      <c r="AG394" s="21" t="s">
        <v>303</v>
      </c>
    </row>
    <row r="395" spans="1:33">
      <c r="A395" s="21" t="s">
        <v>84</v>
      </c>
      <c r="B395" s="21" t="s">
        <v>376</v>
      </c>
      <c r="C395" s="25">
        <v>46100.645833333336</v>
      </c>
      <c r="D395" s="21" t="s">
        <v>181</v>
      </c>
      <c r="E395" s="24">
        <v>6.26</v>
      </c>
      <c r="F395" s="24">
        <v>6</v>
      </c>
      <c r="G395" s="24">
        <f>E395-F395</f>
        <v>0.25999999999999979</v>
      </c>
      <c r="H395" s="21" t="s">
        <v>289</v>
      </c>
      <c r="I395" s="21">
        <v>1</v>
      </c>
      <c r="J395" s="21">
        <v>7</v>
      </c>
      <c r="K395" s="21">
        <v>5</v>
      </c>
      <c r="L395" s="21">
        <v>6</v>
      </c>
      <c r="M395" s="21">
        <v>2</v>
      </c>
      <c r="P395" s="24">
        <f>J395+L395+N395</f>
        <v>13</v>
      </c>
      <c r="Q395" s="24">
        <f>K395+M395+O395</f>
        <v>7</v>
      </c>
      <c r="R395" s="24">
        <v>0.65</v>
      </c>
      <c r="S395" s="21" t="s">
        <v>225</v>
      </c>
      <c r="U395" s="21" t="s">
        <v>287</v>
      </c>
      <c r="V395" s="21" t="s">
        <v>286</v>
      </c>
      <c r="W395" s="21">
        <v>3</v>
      </c>
      <c r="X395" s="21" t="s">
        <v>285</v>
      </c>
      <c r="Y395" s="21" t="s">
        <v>284</v>
      </c>
      <c r="Z395" s="21" t="s">
        <v>283</v>
      </c>
      <c r="AA395" s="21" t="s">
        <v>84</v>
      </c>
      <c r="AB395" s="21">
        <v>1</v>
      </c>
      <c r="AD395" s="24">
        <v>6.87</v>
      </c>
      <c r="AE395" s="24">
        <v>6.07</v>
      </c>
      <c r="AF395" s="21" t="s">
        <v>304</v>
      </c>
      <c r="AG395" s="21" t="s">
        <v>303</v>
      </c>
    </row>
    <row r="396" spans="1:33">
      <c r="A396" s="21" t="s">
        <v>84</v>
      </c>
      <c r="B396" s="21" t="s">
        <v>376</v>
      </c>
      <c r="C396" s="25">
        <v>46105.645833333336</v>
      </c>
      <c r="D396" s="21" t="s">
        <v>525</v>
      </c>
      <c r="E396" s="24">
        <v>6.29</v>
      </c>
      <c r="F396" s="24">
        <v>3.23</v>
      </c>
      <c r="G396" s="24">
        <f>E396-F396</f>
        <v>3.06</v>
      </c>
      <c r="H396" s="21" t="s">
        <v>289</v>
      </c>
      <c r="I396" s="21">
        <v>1</v>
      </c>
      <c r="J396" s="21">
        <v>6</v>
      </c>
      <c r="K396" s="21">
        <v>2</v>
      </c>
      <c r="L396" s="21">
        <v>6</v>
      </c>
      <c r="M396" s="21">
        <v>1</v>
      </c>
      <c r="P396" s="24">
        <f>J396+L396+N396</f>
        <v>12</v>
      </c>
      <c r="Q396" s="24">
        <f>K396+M396+O396</f>
        <v>3</v>
      </c>
      <c r="R396" s="24">
        <v>0.8</v>
      </c>
      <c r="S396" s="21" t="s">
        <v>217</v>
      </c>
      <c r="U396" s="21" t="s">
        <v>287</v>
      </c>
      <c r="V396" s="21" t="s">
        <v>286</v>
      </c>
      <c r="W396" s="21">
        <v>4</v>
      </c>
      <c r="X396" s="21" t="s">
        <v>285</v>
      </c>
      <c r="Y396" s="21" t="s">
        <v>284</v>
      </c>
      <c r="Z396" s="21" t="s">
        <v>283</v>
      </c>
      <c r="AA396" s="21" t="s">
        <v>84</v>
      </c>
      <c r="AB396" s="21">
        <v>1</v>
      </c>
      <c r="AD396" s="24">
        <v>6.87</v>
      </c>
      <c r="AE396" s="24">
        <v>3.77</v>
      </c>
      <c r="AF396" s="21" t="s">
        <v>302</v>
      </c>
      <c r="AG396" s="21" t="s">
        <v>301</v>
      </c>
    </row>
    <row r="397" spans="1:33">
      <c r="A397" s="21" t="s">
        <v>84</v>
      </c>
      <c r="B397" s="21" t="s">
        <v>376</v>
      </c>
      <c r="C397" s="25">
        <v>46106.645833333336</v>
      </c>
      <c r="D397" s="21" t="s">
        <v>2</v>
      </c>
      <c r="E397" s="24">
        <v>6.29</v>
      </c>
      <c r="F397" s="24">
        <v>7.68</v>
      </c>
      <c r="G397" s="24">
        <f>E397-F397</f>
        <v>-1.3899999999999997</v>
      </c>
      <c r="H397" s="21" t="s">
        <v>289</v>
      </c>
      <c r="I397" s="21">
        <v>1</v>
      </c>
      <c r="J397" s="21">
        <v>6</v>
      </c>
      <c r="K397" s="21">
        <v>3</v>
      </c>
      <c r="L397" s="21">
        <v>2</v>
      </c>
      <c r="M397" s="21">
        <v>6</v>
      </c>
      <c r="N397" s="21">
        <v>7</v>
      </c>
      <c r="O397" s="21">
        <v>6</v>
      </c>
      <c r="P397" s="24">
        <f>J397+L397+N397</f>
        <v>15</v>
      </c>
      <c r="Q397" s="24">
        <f>K397+M397+O397</f>
        <v>15</v>
      </c>
      <c r="R397" s="24">
        <v>0.53797468354430378</v>
      </c>
      <c r="S397" s="21" t="s">
        <v>209</v>
      </c>
      <c r="U397" s="21" t="s">
        <v>287</v>
      </c>
      <c r="V397" s="21" t="s">
        <v>286</v>
      </c>
      <c r="W397" s="21">
        <v>6</v>
      </c>
      <c r="X397" s="21" t="s">
        <v>285</v>
      </c>
      <c r="Y397" s="21" t="s">
        <v>284</v>
      </c>
      <c r="Z397" s="21" t="s">
        <v>283</v>
      </c>
      <c r="AA397" s="21" t="s">
        <v>84</v>
      </c>
      <c r="AB397" s="21">
        <v>1</v>
      </c>
      <c r="AD397" s="24">
        <v>6.87</v>
      </c>
      <c r="AE397" s="24">
        <v>7.09</v>
      </c>
      <c r="AF397" s="21" t="s">
        <v>302</v>
      </c>
      <c r="AG397" s="21" t="s">
        <v>301</v>
      </c>
    </row>
    <row r="398" spans="1:33">
      <c r="A398" s="21" t="s">
        <v>84</v>
      </c>
      <c r="B398" s="21" t="s">
        <v>376</v>
      </c>
      <c r="C398" s="25">
        <v>46108.645833333336</v>
      </c>
      <c r="D398" s="21" t="s">
        <v>57</v>
      </c>
      <c r="E398" s="24">
        <v>6.29</v>
      </c>
      <c r="F398" s="24">
        <v>4.6100000000000003</v>
      </c>
      <c r="G398" s="24">
        <f>E398-F398</f>
        <v>1.6799999999999997</v>
      </c>
      <c r="H398" s="21" t="s">
        <v>289</v>
      </c>
      <c r="I398" s="21">
        <v>1</v>
      </c>
      <c r="J398" s="21">
        <v>6</v>
      </c>
      <c r="K398" s="21">
        <v>2</v>
      </c>
      <c r="L398" s="21">
        <v>7</v>
      </c>
      <c r="M398" s="21">
        <v>6</v>
      </c>
      <c r="P398" s="24">
        <f>J398+L398+N398</f>
        <v>13</v>
      </c>
      <c r="Q398" s="24">
        <f>K398+M398+O398</f>
        <v>8</v>
      </c>
      <c r="R398" s="24">
        <v>0.55704697986577179</v>
      </c>
      <c r="S398" s="21" t="s">
        <v>192</v>
      </c>
      <c r="U398" s="21" t="s">
        <v>287</v>
      </c>
      <c r="V398" s="21" t="s">
        <v>286</v>
      </c>
      <c r="W398" s="21">
        <v>7</v>
      </c>
      <c r="X398" s="21" t="s">
        <v>285</v>
      </c>
      <c r="Y398" s="21" t="s">
        <v>284</v>
      </c>
      <c r="Z398" s="21" t="s">
        <v>283</v>
      </c>
      <c r="AA398" s="21" t="s">
        <v>84</v>
      </c>
      <c r="AB398" s="21">
        <v>1</v>
      </c>
      <c r="AD398" s="24">
        <v>6.87</v>
      </c>
      <c r="AE398" s="24">
        <v>5.91</v>
      </c>
      <c r="AF398" s="21" t="s">
        <v>302</v>
      </c>
      <c r="AG398" s="21" t="s">
        <v>301</v>
      </c>
    </row>
    <row r="399" spans="1:33">
      <c r="A399" s="21" t="s">
        <v>84</v>
      </c>
      <c r="B399" s="21" t="s">
        <v>376</v>
      </c>
      <c r="C399" s="25">
        <v>46119.645833333336</v>
      </c>
      <c r="D399" s="21" t="s">
        <v>635</v>
      </c>
      <c r="E399" s="24">
        <v>6.45</v>
      </c>
      <c r="F399" s="24">
        <v>4.54</v>
      </c>
      <c r="G399" s="24">
        <f>E399-F399</f>
        <v>1.9100000000000001</v>
      </c>
      <c r="H399" s="21" t="s">
        <v>289</v>
      </c>
      <c r="I399" s="21">
        <v>1</v>
      </c>
      <c r="J399" s="21">
        <v>6</v>
      </c>
      <c r="K399" s="21">
        <v>2</v>
      </c>
      <c r="L399" s="21">
        <v>6</v>
      </c>
      <c r="M399" s="21">
        <v>0</v>
      </c>
      <c r="P399" s="24">
        <f>J399+L399+N399</f>
        <v>12</v>
      </c>
      <c r="Q399" s="24">
        <f>K399+M399+O399</f>
        <v>2</v>
      </c>
      <c r="R399" s="24">
        <v>0.8571428571428571</v>
      </c>
      <c r="S399" s="21" t="s">
        <v>378</v>
      </c>
      <c r="U399" s="21" t="s">
        <v>287</v>
      </c>
      <c r="V399" s="21" t="s">
        <v>286</v>
      </c>
      <c r="W399" s="21">
        <v>8</v>
      </c>
      <c r="X399" s="21" t="s">
        <v>285</v>
      </c>
      <c r="Y399" s="21" t="s">
        <v>284</v>
      </c>
      <c r="Z399" s="21" t="s">
        <v>283</v>
      </c>
      <c r="AA399" s="21" t="s">
        <v>84</v>
      </c>
      <c r="AB399" s="21">
        <v>1</v>
      </c>
      <c r="AD399" s="24">
        <v>6.87</v>
      </c>
      <c r="AE399" s="24">
        <v>4.54</v>
      </c>
      <c r="AF399" s="21" t="s">
        <v>302</v>
      </c>
      <c r="AG399" s="21" t="s">
        <v>301</v>
      </c>
    </row>
    <row r="400" spans="1:33">
      <c r="A400" s="21" t="s">
        <v>84</v>
      </c>
      <c r="B400" s="21" t="s">
        <v>376</v>
      </c>
      <c r="C400" s="25">
        <v>46122.645833333336</v>
      </c>
      <c r="D400" s="21" t="s">
        <v>114</v>
      </c>
      <c r="E400" s="24">
        <v>6.45</v>
      </c>
      <c r="F400" s="24">
        <v>7.74</v>
      </c>
      <c r="G400" s="24">
        <f>E400-F400</f>
        <v>-1.29</v>
      </c>
      <c r="H400" s="21" t="s">
        <v>294</v>
      </c>
      <c r="I400" s="21">
        <v>0</v>
      </c>
      <c r="J400" s="21">
        <v>3</v>
      </c>
      <c r="K400" s="21">
        <v>6</v>
      </c>
      <c r="L400" s="21">
        <v>3</v>
      </c>
      <c r="M400" s="21">
        <v>6</v>
      </c>
      <c r="P400" s="24">
        <f>J400+L400+N400</f>
        <v>6</v>
      </c>
      <c r="Q400" s="24">
        <f>K400+M400+O400</f>
        <v>12</v>
      </c>
      <c r="R400" s="24">
        <v>0.33333333333333331</v>
      </c>
      <c r="S400" s="21" t="s">
        <v>132</v>
      </c>
      <c r="U400" s="21" t="s">
        <v>287</v>
      </c>
      <c r="V400" s="21" t="s">
        <v>286</v>
      </c>
      <c r="W400" s="21">
        <v>9</v>
      </c>
      <c r="X400" s="21" t="s">
        <v>285</v>
      </c>
      <c r="Y400" s="21" t="s">
        <v>284</v>
      </c>
      <c r="Z400" s="21" t="s">
        <v>283</v>
      </c>
      <c r="AA400" s="21" t="s">
        <v>84</v>
      </c>
      <c r="AB400" s="21">
        <v>1</v>
      </c>
      <c r="AD400" s="24">
        <v>6.87</v>
      </c>
      <c r="AE400" s="24">
        <v>8.18</v>
      </c>
      <c r="AF400" s="21" t="s">
        <v>302</v>
      </c>
      <c r="AG400" s="21" t="s">
        <v>301</v>
      </c>
    </row>
    <row r="401" spans="1:33">
      <c r="A401" s="21" t="s">
        <v>84</v>
      </c>
      <c r="B401" s="21" t="s">
        <v>376</v>
      </c>
      <c r="C401" s="25">
        <v>46131.776388888888</v>
      </c>
      <c r="D401" s="21" t="s">
        <v>525</v>
      </c>
      <c r="E401" s="24">
        <v>6.46</v>
      </c>
      <c r="F401" s="24">
        <v>3.42</v>
      </c>
      <c r="G401" s="24">
        <f>E401-F401</f>
        <v>3.04</v>
      </c>
      <c r="H401" s="21" t="s">
        <v>289</v>
      </c>
      <c r="I401" s="21">
        <v>1</v>
      </c>
      <c r="J401" s="21">
        <v>6</v>
      </c>
      <c r="K401" s="21">
        <v>0</v>
      </c>
      <c r="L401" s="21">
        <v>6</v>
      </c>
      <c r="M401" s="21">
        <v>1</v>
      </c>
      <c r="P401" s="24">
        <f>J401+L401+N401</f>
        <v>12</v>
      </c>
      <c r="Q401" s="24">
        <f>K401+M401+O401</f>
        <v>1</v>
      </c>
      <c r="R401" s="24">
        <v>0.92307692307692313</v>
      </c>
      <c r="S401" s="21" t="s">
        <v>85</v>
      </c>
      <c r="U401" s="21" t="s">
        <v>292</v>
      </c>
      <c r="V401" s="21" t="s">
        <v>286</v>
      </c>
      <c r="W401" s="21">
        <v>10</v>
      </c>
      <c r="X401" s="21" t="s">
        <v>285</v>
      </c>
      <c r="Y401" s="21" t="s">
        <v>284</v>
      </c>
      <c r="Z401" s="21" t="s">
        <v>283</v>
      </c>
      <c r="AA401" s="21" t="s">
        <v>84</v>
      </c>
      <c r="AB401" s="21">
        <v>1</v>
      </c>
      <c r="AD401" s="24">
        <v>6.87</v>
      </c>
      <c r="AE401" s="24">
        <v>3.77</v>
      </c>
      <c r="AF401" s="21" t="s">
        <v>302</v>
      </c>
      <c r="AG401" s="21" t="s">
        <v>301</v>
      </c>
    </row>
    <row r="402" spans="1:33">
      <c r="A402" s="21" t="s">
        <v>84</v>
      </c>
      <c r="B402" s="21" t="s">
        <v>376</v>
      </c>
      <c r="C402" s="25">
        <v>46131.779861111114</v>
      </c>
      <c r="D402" s="21" t="s">
        <v>10</v>
      </c>
      <c r="E402" s="24">
        <v>6.46</v>
      </c>
      <c r="F402" s="24">
        <v>6.92</v>
      </c>
      <c r="G402" s="24">
        <f>E402-F402</f>
        <v>-0.45999999999999996</v>
      </c>
      <c r="H402" s="21" t="s">
        <v>294</v>
      </c>
      <c r="I402" s="21">
        <v>0</v>
      </c>
      <c r="J402" s="21">
        <v>4</v>
      </c>
      <c r="K402" s="21">
        <v>6</v>
      </c>
      <c r="L402" s="21">
        <v>3</v>
      </c>
      <c r="M402" s="21">
        <v>6</v>
      </c>
      <c r="P402" s="24">
        <f>J402+L402+N402</f>
        <v>7</v>
      </c>
      <c r="Q402" s="24">
        <f>K402+M402+O402</f>
        <v>12</v>
      </c>
      <c r="R402" s="24">
        <v>0.36842105263157893</v>
      </c>
      <c r="S402" s="21" t="s">
        <v>85</v>
      </c>
      <c r="U402" s="21" t="s">
        <v>292</v>
      </c>
      <c r="V402" s="21" t="s">
        <v>286</v>
      </c>
      <c r="W402" s="21">
        <v>11</v>
      </c>
      <c r="X402" s="21" t="s">
        <v>285</v>
      </c>
      <c r="Y402" s="21" t="s">
        <v>284</v>
      </c>
      <c r="Z402" s="21" t="s">
        <v>283</v>
      </c>
      <c r="AA402" s="21" t="s">
        <v>84</v>
      </c>
      <c r="AB402" s="21">
        <v>1</v>
      </c>
      <c r="AD402" s="24">
        <v>6.87</v>
      </c>
      <c r="AE402" s="24">
        <v>6.85</v>
      </c>
      <c r="AF402" s="21" t="s">
        <v>302</v>
      </c>
      <c r="AG402" s="21" t="s">
        <v>301</v>
      </c>
    </row>
    <row r="403" spans="1:33">
      <c r="A403" s="21" t="s">
        <v>84</v>
      </c>
      <c r="B403" s="21" t="s">
        <v>376</v>
      </c>
      <c r="C403" s="25">
        <v>46165</v>
      </c>
      <c r="D403" s="21" t="s">
        <v>714</v>
      </c>
      <c r="E403" s="24">
        <v>6.65</v>
      </c>
      <c r="F403" s="24">
        <v>8.86</v>
      </c>
      <c r="G403" s="24">
        <f>E403-F403</f>
        <v>-2.2099999999999991</v>
      </c>
      <c r="H403" s="21" t="s">
        <v>294</v>
      </c>
      <c r="I403" s="21">
        <v>0</v>
      </c>
      <c r="J403" s="21">
        <v>0</v>
      </c>
      <c r="K403" s="21">
        <v>6</v>
      </c>
      <c r="L403" s="21">
        <v>2</v>
      </c>
      <c r="M403" s="21">
        <v>6</v>
      </c>
      <c r="P403" s="24">
        <f>J403+L403+N403</f>
        <v>2</v>
      </c>
      <c r="Q403" s="24">
        <f>K403+M403+O403</f>
        <v>12</v>
      </c>
      <c r="R403" s="24">
        <f>P403/(P403+Q403)</f>
        <v>0.14285714285714285</v>
      </c>
      <c r="S403" s="21" t="s">
        <v>85</v>
      </c>
      <c r="T403" s="21" t="s">
        <v>713</v>
      </c>
      <c r="U403" s="21" t="s">
        <v>292</v>
      </c>
      <c r="V403" s="21" t="s">
        <v>286</v>
      </c>
      <c r="W403" s="21">
        <v>12</v>
      </c>
      <c r="X403" s="21" t="s">
        <v>285</v>
      </c>
      <c r="Y403" s="21" t="s">
        <v>284</v>
      </c>
      <c r="Z403" s="21" t="s">
        <v>283</v>
      </c>
      <c r="AA403" s="21" t="s">
        <v>84</v>
      </c>
      <c r="AB403" s="21">
        <v>1</v>
      </c>
      <c r="AD403" s="24">
        <v>6.87</v>
      </c>
      <c r="AE403" s="24">
        <v>8.86</v>
      </c>
      <c r="AF403" s="21" t="s">
        <v>302</v>
      </c>
      <c r="AG403" s="21" t="s">
        <v>301</v>
      </c>
    </row>
    <row r="404" spans="1:33">
      <c r="A404" s="21" t="s">
        <v>84</v>
      </c>
      <c r="B404" s="21" t="s">
        <v>376</v>
      </c>
      <c r="C404" s="25">
        <v>46172</v>
      </c>
      <c r="D404" s="21" t="s">
        <v>366</v>
      </c>
      <c r="E404" s="24">
        <v>6.7</v>
      </c>
      <c r="F404" s="24">
        <v>5.73</v>
      </c>
      <c r="G404" s="24">
        <f>E404-F404</f>
        <v>0.96999999999999975</v>
      </c>
      <c r="H404" s="21" t="s">
        <v>294</v>
      </c>
      <c r="I404" s="21">
        <v>0</v>
      </c>
      <c r="J404" s="21">
        <v>3</v>
      </c>
      <c r="K404" s="21">
        <v>6</v>
      </c>
      <c r="L404" s="21">
        <v>4</v>
      </c>
      <c r="M404" s="21">
        <v>6</v>
      </c>
      <c r="P404" s="24">
        <f>J404+L404+N404</f>
        <v>7</v>
      </c>
      <c r="Q404" s="24">
        <f>K404+M404+O404</f>
        <v>12</v>
      </c>
      <c r="R404" s="24">
        <f>P404/(P404+Q404)</f>
        <v>0.36842105263157893</v>
      </c>
      <c r="S404" s="21" t="s">
        <v>712</v>
      </c>
      <c r="T404" s="21" t="s">
        <v>313</v>
      </c>
      <c r="U404" s="21" t="s">
        <v>292</v>
      </c>
      <c r="V404" s="21" t="s">
        <v>286</v>
      </c>
      <c r="W404" s="21">
        <v>13</v>
      </c>
      <c r="X404" s="21" t="s">
        <v>285</v>
      </c>
      <c r="Y404" s="21" t="s">
        <v>284</v>
      </c>
      <c r="Z404" s="21" t="s">
        <v>283</v>
      </c>
      <c r="AA404" s="21" t="s">
        <v>84</v>
      </c>
      <c r="AB404" s="21">
        <v>1</v>
      </c>
      <c r="AD404" s="24">
        <v>6.87</v>
      </c>
      <c r="AE404" s="24">
        <v>5.73</v>
      </c>
      <c r="AF404" s="21" t="s">
        <v>302</v>
      </c>
      <c r="AG404" s="21" t="s">
        <v>301</v>
      </c>
    </row>
    <row r="405" spans="1:33">
      <c r="A405" s="21" t="s">
        <v>84</v>
      </c>
      <c r="B405" s="21" t="s">
        <v>376</v>
      </c>
      <c r="C405" s="25">
        <v>46172</v>
      </c>
      <c r="D405" s="21" t="s">
        <v>363</v>
      </c>
      <c r="E405" s="24">
        <v>6.7</v>
      </c>
      <c r="F405" s="24">
        <v>6.54</v>
      </c>
      <c r="G405" s="24">
        <f>E405-F405</f>
        <v>0.16000000000000014</v>
      </c>
      <c r="H405" s="21" t="s">
        <v>289</v>
      </c>
      <c r="I405" s="21">
        <v>1</v>
      </c>
      <c r="J405" s="21">
        <v>7</v>
      </c>
      <c r="K405" s="21">
        <v>5</v>
      </c>
      <c r="L405" s="21">
        <v>6</v>
      </c>
      <c r="M405" s="21">
        <v>1</v>
      </c>
      <c r="P405" s="24">
        <f>J405+L405+N405</f>
        <v>13</v>
      </c>
      <c r="Q405" s="24">
        <f>K405+M405+O405</f>
        <v>6</v>
      </c>
      <c r="R405" s="24">
        <f>P405/(P405+Q405)</f>
        <v>0.68421052631578949</v>
      </c>
      <c r="S405" s="21" t="s">
        <v>712</v>
      </c>
      <c r="T405" s="21" t="s">
        <v>365</v>
      </c>
      <c r="U405" s="21" t="s">
        <v>292</v>
      </c>
      <c r="V405" s="21" t="s">
        <v>286</v>
      </c>
      <c r="W405" s="21">
        <v>13</v>
      </c>
      <c r="X405" s="21" t="s">
        <v>285</v>
      </c>
      <c r="Y405" s="21" t="s">
        <v>284</v>
      </c>
      <c r="Z405" s="21" t="s">
        <v>283</v>
      </c>
      <c r="AA405" s="21" t="s">
        <v>84</v>
      </c>
      <c r="AB405" s="21">
        <v>1</v>
      </c>
      <c r="AD405" s="24">
        <v>6.87</v>
      </c>
      <c r="AE405" s="24">
        <v>6.54</v>
      </c>
      <c r="AF405" s="21" t="s">
        <v>302</v>
      </c>
      <c r="AG405" s="21" t="s">
        <v>301</v>
      </c>
    </row>
    <row r="406" spans="1:33">
      <c r="A406" s="21" t="s">
        <v>84</v>
      </c>
      <c r="B406" s="21" t="s">
        <v>376</v>
      </c>
      <c r="C406" s="25">
        <v>46178</v>
      </c>
      <c r="D406" s="21" t="s">
        <v>711</v>
      </c>
      <c r="E406" s="24">
        <v>6.71</v>
      </c>
      <c r="F406" s="24">
        <v>9.7899999999999991</v>
      </c>
      <c r="G406" s="24">
        <f>E406-F406</f>
        <v>-3.0799999999999992</v>
      </c>
      <c r="H406" s="21" t="s">
        <v>294</v>
      </c>
      <c r="I406" s="21">
        <v>0</v>
      </c>
      <c r="J406" s="21">
        <v>0</v>
      </c>
      <c r="K406" s="21">
        <v>6</v>
      </c>
      <c r="L406" s="21">
        <v>1</v>
      </c>
      <c r="M406" s="21">
        <v>6</v>
      </c>
      <c r="P406" s="24">
        <f>J406+L406+N406</f>
        <v>1</v>
      </c>
      <c r="Q406" s="24">
        <f>K406+M406+O406</f>
        <v>12</v>
      </c>
      <c r="R406" s="24">
        <v>7.6923076923076927E-2</v>
      </c>
      <c r="S406" s="21" t="s">
        <v>574</v>
      </c>
      <c r="T406" s="21" t="s">
        <v>372</v>
      </c>
      <c r="U406" s="21" t="s">
        <v>292</v>
      </c>
      <c r="V406" s="21" t="s">
        <v>286</v>
      </c>
      <c r="W406" s="21">
        <v>15</v>
      </c>
      <c r="X406" s="21" t="s">
        <v>285</v>
      </c>
      <c r="Y406" s="21" t="s">
        <v>284</v>
      </c>
      <c r="Z406" s="21" t="s">
        <v>283</v>
      </c>
      <c r="AA406" s="21" t="s">
        <v>84</v>
      </c>
      <c r="AB406" s="21">
        <v>1</v>
      </c>
      <c r="AD406" s="24">
        <v>6.87</v>
      </c>
      <c r="AE406" s="24">
        <v>9.7899999999999991</v>
      </c>
      <c r="AF406" s="21" t="s">
        <v>302</v>
      </c>
      <c r="AG406" s="21" t="s">
        <v>301</v>
      </c>
    </row>
    <row r="407" spans="1:33">
      <c r="A407" s="21" t="s">
        <v>84</v>
      </c>
      <c r="B407" s="21" t="s">
        <v>376</v>
      </c>
      <c r="C407" s="25">
        <v>46178</v>
      </c>
      <c r="D407" s="21" t="s">
        <v>455</v>
      </c>
      <c r="E407" s="24">
        <v>6.71</v>
      </c>
      <c r="F407" s="24">
        <v>9.91</v>
      </c>
      <c r="G407" s="24">
        <f>E407-F407</f>
        <v>-3.2</v>
      </c>
      <c r="H407" s="21" t="s">
        <v>294</v>
      </c>
      <c r="I407" s="21">
        <v>0</v>
      </c>
      <c r="J407" s="21">
        <v>1</v>
      </c>
      <c r="K407" s="21">
        <v>6</v>
      </c>
      <c r="L407" s="21">
        <v>0</v>
      </c>
      <c r="M407" s="21">
        <v>6</v>
      </c>
      <c r="P407" s="24">
        <f>J407+L407+N407</f>
        <v>1</v>
      </c>
      <c r="Q407" s="24">
        <f>K407+M407+O407</f>
        <v>12</v>
      </c>
      <c r="R407" s="24">
        <v>7.6923076923076927E-2</v>
      </c>
      <c r="S407" s="21" t="s">
        <v>574</v>
      </c>
      <c r="T407" s="21" t="s">
        <v>298</v>
      </c>
      <c r="U407" s="21" t="s">
        <v>292</v>
      </c>
      <c r="V407" s="21" t="s">
        <v>286</v>
      </c>
      <c r="W407" s="21">
        <v>15</v>
      </c>
      <c r="X407" s="21" t="s">
        <v>285</v>
      </c>
      <c r="Y407" s="21" t="s">
        <v>284</v>
      </c>
      <c r="Z407" s="21" t="s">
        <v>283</v>
      </c>
      <c r="AA407" s="21" t="s">
        <v>84</v>
      </c>
      <c r="AB407" s="21">
        <v>1</v>
      </c>
      <c r="AD407" s="24">
        <v>6.87</v>
      </c>
      <c r="AE407" s="24">
        <v>9.91</v>
      </c>
      <c r="AF407" s="21" t="s">
        <v>304</v>
      </c>
      <c r="AG407" s="21" t="s">
        <v>341</v>
      </c>
    </row>
    <row r="408" spans="1:33">
      <c r="A408" s="21" t="s">
        <v>84</v>
      </c>
      <c r="B408" s="21" t="s">
        <v>376</v>
      </c>
      <c r="C408" s="25">
        <v>46186</v>
      </c>
      <c r="D408" s="21" t="s">
        <v>710</v>
      </c>
      <c r="E408" s="24">
        <v>6.71</v>
      </c>
      <c r="F408" s="24">
        <v>6.07</v>
      </c>
      <c r="G408" s="24">
        <f>E408-F408</f>
        <v>0.63999999999999968</v>
      </c>
      <c r="H408" s="21" t="s">
        <v>289</v>
      </c>
      <c r="I408" s="21">
        <v>1</v>
      </c>
      <c r="J408" s="21">
        <v>7</v>
      </c>
      <c r="K408" s="21">
        <v>5</v>
      </c>
      <c r="L408" s="21">
        <v>6</v>
      </c>
      <c r="M408" s="21">
        <v>0</v>
      </c>
      <c r="P408" s="24">
        <f>J408+L408+N408</f>
        <v>13</v>
      </c>
      <c r="Q408" s="24">
        <f>K408+M408+O408</f>
        <v>5</v>
      </c>
      <c r="R408" s="24">
        <v>0.72222222222222221</v>
      </c>
      <c r="S408" s="21" t="s">
        <v>709</v>
      </c>
      <c r="T408" s="21" t="s">
        <v>313</v>
      </c>
      <c r="U408" s="21" t="s">
        <v>292</v>
      </c>
      <c r="V408" s="21" t="s">
        <v>286</v>
      </c>
      <c r="W408" s="21">
        <v>17</v>
      </c>
      <c r="X408" s="21" t="s">
        <v>285</v>
      </c>
      <c r="Y408" s="21" t="s">
        <v>284</v>
      </c>
      <c r="Z408" s="21" t="s">
        <v>283</v>
      </c>
      <c r="AA408" s="21" t="s">
        <v>84</v>
      </c>
      <c r="AB408" s="21">
        <v>1</v>
      </c>
      <c r="AD408" s="24">
        <v>6.87</v>
      </c>
      <c r="AE408" s="24">
        <v>6.07</v>
      </c>
      <c r="AF408" s="21" t="s">
        <v>304</v>
      </c>
      <c r="AG408" s="21" t="s">
        <v>341</v>
      </c>
    </row>
    <row r="409" spans="1:33">
      <c r="A409" s="21" t="s">
        <v>84</v>
      </c>
      <c r="B409" s="21" t="s">
        <v>376</v>
      </c>
      <c r="C409" s="25">
        <v>46186</v>
      </c>
      <c r="D409" s="21" t="s">
        <v>419</v>
      </c>
      <c r="E409" s="24">
        <v>6.71</v>
      </c>
      <c r="F409" s="24">
        <v>7.66</v>
      </c>
      <c r="G409" s="24">
        <f>E409-F409</f>
        <v>-0.95000000000000018</v>
      </c>
      <c r="H409" s="21" t="s">
        <v>294</v>
      </c>
      <c r="I409" s="21">
        <v>0</v>
      </c>
      <c r="J409" s="21">
        <v>3</v>
      </c>
      <c r="K409" s="21">
        <v>6</v>
      </c>
      <c r="L409" s="21">
        <v>2</v>
      </c>
      <c r="M409" s="21">
        <v>6</v>
      </c>
      <c r="P409" s="24">
        <f>J409+L409+N409</f>
        <v>5</v>
      </c>
      <c r="Q409" s="24">
        <f>K409+M409+O409</f>
        <v>12</v>
      </c>
      <c r="R409" s="24">
        <v>0.29411764705882354</v>
      </c>
      <c r="S409" s="21" t="s">
        <v>709</v>
      </c>
      <c r="T409" s="21" t="s">
        <v>316</v>
      </c>
      <c r="U409" s="21" t="s">
        <v>292</v>
      </c>
      <c r="V409" s="21" t="s">
        <v>286</v>
      </c>
      <c r="W409" s="21">
        <v>17</v>
      </c>
      <c r="X409" s="21" t="s">
        <v>285</v>
      </c>
      <c r="Y409" s="21" t="s">
        <v>284</v>
      </c>
      <c r="Z409" s="21" t="s">
        <v>283</v>
      </c>
      <c r="AA409" s="21" t="s">
        <v>84</v>
      </c>
      <c r="AB409" s="21">
        <v>1</v>
      </c>
      <c r="AD409" s="24">
        <v>6.87</v>
      </c>
      <c r="AE409" s="24">
        <v>7.66</v>
      </c>
      <c r="AF409" s="21" t="s">
        <v>304</v>
      </c>
      <c r="AG409" s="21" t="s">
        <v>341</v>
      </c>
    </row>
    <row r="410" spans="1:33">
      <c r="A410" s="21" t="s">
        <v>84</v>
      </c>
      <c r="B410" s="21" t="s">
        <v>376</v>
      </c>
      <c r="C410" s="25">
        <v>46193</v>
      </c>
      <c r="D410" s="21" t="s">
        <v>708</v>
      </c>
      <c r="E410" s="24">
        <v>6.71</v>
      </c>
      <c r="F410" s="24">
        <v>5.99</v>
      </c>
      <c r="G410" s="24">
        <f>E410-F410</f>
        <v>0.71999999999999975</v>
      </c>
      <c r="H410" s="21" t="s">
        <v>289</v>
      </c>
      <c r="I410" s="21">
        <v>1</v>
      </c>
      <c r="J410" s="21">
        <v>4</v>
      </c>
      <c r="K410" s="21">
        <v>1</v>
      </c>
      <c r="L410" s="21">
        <v>4</v>
      </c>
      <c r="M410" s="21">
        <v>1</v>
      </c>
      <c r="P410" s="24">
        <f>J410+L410+N410</f>
        <v>8</v>
      </c>
      <c r="Q410" s="24">
        <f>K410+M410+O410</f>
        <v>2</v>
      </c>
      <c r="R410" s="24">
        <v>0.8</v>
      </c>
      <c r="U410" s="21" t="s">
        <v>668</v>
      </c>
      <c r="V410" s="21" t="s">
        <v>286</v>
      </c>
      <c r="W410" s="21">
        <v>19</v>
      </c>
      <c r="X410" s="21" t="s">
        <v>285</v>
      </c>
      <c r="Y410" s="21" t="s">
        <v>284</v>
      </c>
      <c r="Z410" s="21" t="s">
        <v>283</v>
      </c>
      <c r="AA410" s="21" t="s">
        <v>84</v>
      </c>
      <c r="AB410" s="21">
        <v>1</v>
      </c>
      <c r="AD410" s="24">
        <v>6.87</v>
      </c>
      <c r="AE410" s="24">
        <v>5.99</v>
      </c>
      <c r="AF410" s="21" t="s">
        <v>304</v>
      </c>
      <c r="AG410" s="21" t="s">
        <v>341</v>
      </c>
    </row>
    <row r="411" spans="1:33">
      <c r="A411" s="21" t="s">
        <v>84</v>
      </c>
      <c r="B411" s="21" t="s">
        <v>376</v>
      </c>
      <c r="C411" s="25">
        <v>46193</v>
      </c>
      <c r="D411" s="21" t="s">
        <v>707</v>
      </c>
      <c r="E411" s="24">
        <v>6.71</v>
      </c>
      <c r="F411" s="24">
        <v>7.24</v>
      </c>
      <c r="G411" s="24">
        <f>E411-F411</f>
        <v>-0.53000000000000025</v>
      </c>
      <c r="H411" s="21" t="s">
        <v>294</v>
      </c>
      <c r="I411" s="21">
        <v>0</v>
      </c>
      <c r="J411" s="21">
        <v>1</v>
      </c>
      <c r="K411" s="21">
        <v>4</v>
      </c>
      <c r="L411" s="21">
        <v>2</v>
      </c>
      <c r="M411" s="21">
        <v>4</v>
      </c>
      <c r="P411" s="24">
        <f>J411+L411+N411</f>
        <v>3</v>
      </c>
      <c r="Q411" s="24">
        <f>K411+M411+O411</f>
        <v>8</v>
      </c>
      <c r="R411" s="24">
        <v>0.27272727272727271</v>
      </c>
      <c r="T411" s="21" t="s">
        <v>313</v>
      </c>
      <c r="U411" s="21" t="s">
        <v>668</v>
      </c>
      <c r="V411" s="21" t="s">
        <v>286</v>
      </c>
      <c r="W411" s="21">
        <v>19</v>
      </c>
      <c r="X411" s="21" t="s">
        <v>285</v>
      </c>
      <c r="Y411" s="21" t="s">
        <v>284</v>
      </c>
      <c r="Z411" s="21" t="s">
        <v>283</v>
      </c>
      <c r="AA411" s="21" t="s">
        <v>84</v>
      </c>
      <c r="AB411" s="21">
        <v>1</v>
      </c>
      <c r="AD411" s="24">
        <v>6.87</v>
      </c>
      <c r="AE411" s="24">
        <v>7.24</v>
      </c>
      <c r="AF411" s="21" t="s">
        <v>304</v>
      </c>
      <c r="AG411" s="21" t="s">
        <v>341</v>
      </c>
    </row>
    <row r="412" spans="1:33">
      <c r="A412" s="21" t="s">
        <v>84</v>
      </c>
      <c r="B412" s="21" t="s">
        <v>376</v>
      </c>
      <c r="C412" s="25">
        <v>46193</v>
      </c>
      <c r="D412" s="21" t="s">
        <v>706</v>
      </c>
      <c r="E412" s="24">
        <v>6.71</v>
      </c>
      <c r="F412" s="24">
        <v>6.23</v>
      </c>
      <c r="G412" s="24">
        <f>E412-F412</f>
        <v>0.47999999999999954</v>
      </c>
      <c r="H412" s="21" t="s">
        <v>289</v>
      </c>
      <c r="I412" s="21">
        <v>1</v>
      </c>
      <c r="J412" s="21">
        <v>4</v>
      </c>
      <c r="K412" s="21">
        <v>1</v>
      </c>
      <c r="L412" s="21">
        <v>4</v>
      </c>
      <c r="M412" s="21">
        <v>1</v>
      </c>
      <c r="P412" s="24">
        <f>J412+L412+N412</f>
        <v>8</v>
      </c>
      <c r="Q412" s="24">
        <f>K412+M412+O412</f>
        <v>2</v>
      </c>
      <c r="R412" s="24">
        <v>0.8</v>
      </c>
      <c r="U412" s="21" t="s">
        <v>668</v>
      </c>
      <c r="V412" s="21" t="s">
        <v>286</v>
      </c>
      <c r="W412" s="21">
        <v>19</v>
      </c>
      <c r="X412" s="21" t="s">
        <v>285</v>
      </c>
      <c r="Y412" s="21" t="s">
        <v>284</v>
      </c>
      <c r="Z412" s="21" t="s">
        <v>283</v>
      </c>
      <c r="AA412" s="21" t="s">
        <v>84</v>
      </c>
      <c r="AB412" s="21">
        <v>1</v>
      </c>
      <c r="AD412" s="24">
        <v>6.87</v>
      </c>
      <c r="AE412" s="24">
        <v>6.23</v>
      </c>
      <c r="AF412" s="21" t="s">
        <v>304</v>
      </c>
      <c r="AG412" s="21" t="s">
        <v>303</v>
      </c>
    </row>
    <row r="413" spans="1:33">
      <c r="A413" s="21" t="s">
        <v>58</v>
      </c>
      <c r="B413" s="21" t="s">
        <v>613</v>
      </c>
      <c r="C413" s="25">
        <v>46111.458333333336</v>
      </c>
      <c r="D413" s="21" t="s">
        <v>705</v>
      </c>
      <c r="E413" s="24">
        <v>4.51</v>
      </c>
      <c r="F413" s="24">
        <v>4.63</v>
      </c>
      <c r="G413" s="24">
        <f>E413-F413</f>
        <v>-0.12000000000000011</v>
      </c>
      <c r="H413" s="21" t="s">
        <v>289</v>
      </c>
      <c r="I413" s="21">
        <v>1</v>
      </c>
      <c r="J413" s="21">
        <v>6</v>
      </c>
      <c r="K413" s="21">
        <v>1</v>
      </c>
      <c r="L413" s="21">
        <v>5</v>
      </c>
      <c r="M413" s="21">
        <v>7</v>
      </c>
      <c r="N413" s="21">
        <v>7</v>
      </c>
      <c r="O413" s="21">
        <v>5</v>
      </c>
      <c r="P413" s="24">
        <f>J413+L413+N413</f>
        <v>18</v>
      </c>
      <c r="Q413" s="24">
        <f>K413+M413+O413</f>
        <v>13</v>
      </c>
      <c r="R413" s="24">
        <v>0.58064516129032262</v>
      </c>
      <c r="S413" s="21" t="s">
        <v>185</v>
      </c>
      <c r="U413" s="21" t="s">
        <v>287</v>
      </c>
      <c r="V413" s="21" t="s">
        <v>286</v>
      </c>
      <c r="W413" s="21">
        <v>0</v>
      </c>
      <c r="X413" s="21" t="s">
        <v>312</v>
      </c>
      <c r="Y413" s="21" t="s">
        <v>326</v>
      </c>
      <c r="Z413" s="21" t="s">
        <v>325</v>
      </c>
      <c r="AA413" s="21" t="s">
        <v>58</v>
      </c>
      <c r="AB413" s="21">
        <v>1</v>
      </c>
      <c r="AD413" s="24">
        <v>4.9000000000000004</v>
      </c>
      <c r="AE413" s="24">
        <v>4.63</v>
      </c>
      <c r="AF413" s="21" t="s">
        <v>302</v>
      </c>
      <c r="AG413" s="21" t="s">
        <v>301</v>
      </c>
    </row>
    <row r="414" spans="1:33">
      <c r="A414" s="21" t="s">
        <v>58</v>
      </c>
      <c r="B414" s="21" t="s">
        <v>613</v>
      </c>
      <c r="C414" s="25">
        <v>46119.645833333336</v>
      </c>
      <c r="D414" s="21" t="s">
        <v>23</v>
      </c>
      <c r="E414" s="24">
        <v>4.51</v>
      </c>
      <c r="F414" s="24">
        <v>6.79</v>
      </c>
      <c r="G414" s="24">
        <f>E414-F414</f>
        <v>-2.2800000000000002</v>
      </c>
      <c r="H414" s="21" t="s">
        <v>294</v>
      </c>
      <c r="I414" s="21">
        <v>0</v>
      </c>
      <c r="J414" s="21">
        <v>0</v>
      </c>
      <c r="K414" s="21">
        <v>6</v>
      </c>
      <c r="L414" s="21">
        <v>2</v>
      </c>
      <c r="M414" s="21">
        <v>6</v>
      </c>
      <c r="P414" s="24">
        <f>J414+L414+N414</f>
        <v>2</v>
      </c>
      <c r="Q414" s="24">
        <f>K414+M414+O414</f>
        <v>12</v>
      </c>
      <c r="R414" s="24">
        <v>0.14285714285714285</v>
      </c>
      <c r="S414" s="21" t="s">
        <v>158</v>
      </c>
      <c r="U414" s="21" t="s">
        <v>287</v>
      </c>
      <c r="V414" s="21" t="s">
        <v>286</v>
      </c>
      <c r="W414" s="21">
        <v>1</v>
      </c>
      <c r="X414" s="21" t="s">
        <v>323</v>
      </c>
      <c r="Y414" s="21" t="s">
        <v>326</v>
      </c>
      <c r="Z414" s="21" t="s">
        <v>325</v>
      </c>
      <c r="AA414" s="21" t="s">
        <v>58</v>
      </c>
      <c r="AB414" s="21">
        <v>1</v>
      </c>
      <c r="AD414" s="24">
        <v>4.9000000000000004</v>
      </c>
      <c r="AE414" s="24">
        <v>7.15</v>
      </c>
      <c r="AF414" s="21" t="s">
        <v>304</v>
      </c>
      <c r="AG414" s="21" t="s">
        <v>341</v>
      </c>
    </row>
    <row r="415" spans="1:33">
      <c r="A415" s="21" t="s">
        <v>58</v>
      </c>
      <c r="B415" s="21" t="s">
        <v>613</v>
      </c>
      <c r="C415" s="25">
        <v>46120.645833333336</v>
      </c>
      <c r="D415" s="21" t="s">
        <v>234</v>
      </c>
      <c r="E415" s="24">
        <v>4.51</v>
      </c>
      <c r="F415" s="24">
        <v>4.1500000000000004</v>
      </c>
      <c r="G415" s="24">
        <f>E415-F415</f>
        <v>0.35999999999999943</v>
      </c>
      <c r="H415" s="21" t="s">
        <v>289</v>
      </c>
      <c r="I415" s="21">
        <v>1</v>
      </c>
      <c r="J415" s="21">
        <v>4</v>
      </c>
      <c r="K415" s="21">
        <v>6</v>
      </c>
      <c r="L415" s="21">
        <v>6</v>
      </c>
      <c r="M415" s="21">
        <v>4</v>
      </c>
      <c r="N415" s="21">
        <v>7</v>
      </c>
      <c r="O415" s="21">
        <v>6</v>
      </c>
      <c r="P415" s="24">
        <f>J415+L415+N415</f>
        <v>17</v>
      </c>
      <c r="Q415" s="24">
        <f>K415+M415+O415</f>
        <v>16</v>
      </c>
      <c r="R415" s="24">
        <v>0.53703703703703709</v>
      </c>
      <c r="S415" s="21" t="s">
        <v>330</v>
      </c>
      <c r="U415" s="21" t="s">
        <v>287</v>
      </c>
      <c r="V415" s="21" t="s">
        <v>286</v>
      </c>
      <c r="W415" s="21">
        <v>2</v>
      </c>
      <c r="X415" s="21" t="s">
        <v>310</v>
      </c>
      <c r="Y415" s="21" t="s">
        <v>326</v>
      </c>
      <c r="Z415" s="21" t="s">
        <v>325</v>
      </c>
      <c r="AA415" s="21" t="s">
        <v>58</v>
      </c>
      <c r="AB415" s="21">
        <v>1</v>
      </c>
      <c r="AD415" s="24">
        <v>4.9000000000000004</v>
      </c>
      <c r="AE415" s="24">
        <v>4.54</v>
      </c>
      <c r="AF415" s="21" t="s">
        <v>302</v>
      </c>
      <c r="AG415" s="21" t="s">
        <v>301</v>
      </c>
    </row>
    <row r="416" spans="1:33">
      <c r="A416" s="21" t="s">
        <v>58</v>
      </c>
      <c r="B416" s="21" t="s">
        <v>613</v>
      </c>
      <c r="C416" s="25">
        <v>46126.645833333336</v>
      </c>
      <c r="D416" s="21" t="s">
        <v>115</v>
      </c>
      <c r="E416" s="24">
        <v>4.51</v>
      </c>
      <c r="F416" s="24">
        <v>5.33</v>
      </c>
      <c r="G416" s="24">
        <f>E416-F416</f>
        <v>-0.82000000000000028</v>
      </c>
      <c r="H416" s="21" t="s">
        <v>294</v>
      </c>
      <c r="I416" s="21">
        <v>0</v>
      </c>
      <c r="J416" s="21">
        <v>4</v>
      </c>
      <c r="K416" s="21">
        <v>6</v>
      </c>
      <c r="L416" s="21">
        <v>2</v>
      </c>
      <c r="M416" s="21">
        <v>6</v>
      </c>
      <c r="P416" s="24">
        <f>J416+L416+N416</f>
        <v>6</v>
      </c>
      <c r="Q416" s="24">
        <f>K416+M416+O416</f>
        <v>12</v>
      </c>
      <c r="R416" s="24">
        <v>0.33333333333333331</v>
      </c>
      <c r="S416" s="21" t="s">
        <v>108</v>
      </c>
      <c r="U416" s="21" t="s">
        <v>287</v>
      </c>
      <c r="V416" s="21" t="s">
        <v>286</v>
      </c>
      <c r="W416" s="21">
        <v>3</v>
      </c>
      <c r="X416" s="21" t="s">
        <v>285</v>
      </c>
      <c r="Y416" s="21" t="s">
        <v>326</v>
      </c>
      <c r="Z416" s="21" t="s">
        <v>325</v>
      </c>
      <c r="AA416" s="21" t="s">
        <v>58</v>
      </c>
      <c r="AB416" s="21">
        <v>1</v>
      </c>
      <c r="AD416" s="24">
        <v>4.9000000000000004</v>
      </c>
      <c r="AE416" s="24">
        <v>5.52</v>
      </c>
      <c r="AF416" s="21" t="s">
        <v>304</v>
      </c>
      <c r="AG416" s="21" t="s">
        <v>341</v>
      </c>
    </row>
    <row r="417" spans="1:33">
      <c r="A417" s="21" t="s">
        <v>58</v>
      </c>
      <c r="B417" s="21" t="s">
        <v>613</v>
      </c>
      <c r="C417" s="25">
        <v>46127.645833333336</v>
      </c>
      <c r="D417" s="21" t="s">
        <v>703</v>
      </c>
      <c r="E417" s="24">
        <v>4.51</v>
      </c>
      <c r="F417" s="24">
        <v>6.69</v>
      </c>
      <c r="G417" s="24">
        <f>E417-F417</f>
        <v>-2.1800000000000006</v>
      </c>
      <c r="H417" s="21" t="s">
        <v>294</v>
      </c>
      <c r="I417" s="21">
        <v>0</v>
      </c>
      <c r="J417" s="21">
        <v>2</v>
      </c>
      <c r="K417" s="21">
        <v>6</v>
      </c>
      <c r="L417" s="21">
        <v>1</v>
      </c>
      <c r="M417" s="21">
        <v>6</v>
      </c>
      <c r="P417" s="24">
        <f>J417+L417+N417</f>
        <v>3</v>
      </c>
      <c r="Q417" s="24">
        <f>K417+M417+O417</f>
        <v>12</v>
      </c>
      <c r="R417" s="24">
        <v>0.2</v>
      </c>
      <c r="S417" s="21" t="s">
        <v>586</v>
      </c>
      <c r="U417" s="21" t="s">
        <v>287</v>
      </c>
      <c r="V417" s="21" t="s">
        <v>286</v>
      </c>
      <c r="W417" s="21">
        <v>4</v>
      </c>
      <c r="X417" s="21" t="s">
        <v>285</v>
      </c>
      <c r="Y417" s="21" t="s">
        <v>326</v>
      </c>
      <c r="Z417" s="21" t="s">
        <v>325</v>
      </c>
      <c r="AA417" s="21" t="s">
        <v>58</v>
      </c>
      <c r="AB417" s="21">
        <v>1</v>
      </c>
      <c r="AD417" s="24">
        <v>4.9000000000000004</v>
      </c>
      <c r="AE417" s="24">
        <v>7.2</v>
      </c>
      <c r="AF417" s="21" t="s">
        <v>302</v>
      </c>
      <c r="AG417" s="21" t="s">
        <v>301</v>
      </c>
    </row>
    <row r="418" spans="1:33">
      <c r="A418" s="21" t="s">
        <v>58</v>
      </c>
      <c r="B418" s="21" t="s">
        <v>613</v>
      </c>
      <c r="C418" s="25">
        <v>46131.775694444441</v>
      </c>
      <c r="D418" s="21" t="s">
        <v>2</v>
      </c>
      <c r="E418" s="24">
        <v>4.51</v>
      </c>
      <c r="F418" s="24">
        <v>7.56</v>
      </c>
      <c r="G418" s="24">
        <f>E418-F418</f>
        <v>-3.05</v>
      </c>
      <c r="H418" s="21" t="s">
        <v>294</v>
      </c>
      <c r="I418" s="21">
        <v>0</v>
      </c>
      <c r="J418" s="21">
        <v>0</v>
      </c>
      <c r="K418" s="21">
        <v>6</v>
      </c>
      <c r="L418" s="21">
        <v>1</v>
      </c>
      <c r="M418" s="21">
        <v>6</v>
      </c>
      <c r="P418" s="24">
        <f>J418+L418+N418</f>
        <v>1</v>
      </c>
      <c r="Q418" s="24">
        <f>K418+M418+O418</f>
        <v>12</v>
      </c>
      <c r="R418" s="24">
        <v>7.6923076923076927E-2</v>
      </c>
      <c r="S418" s="21" t="s">
        <v>59</v>
      </c>
      <c r="U418" s="21" t="s">
        <v>287</v>
      </c>
      <c r="V418" s="21" t="s">
        <v>286</v>
      </c>
      <c r="W418" s="21">
        <v>5</v>
      </c>
      <c r="X418" s="21" t="s">
        <v>285</v>
      </c>
      <c r="Y418" s="21" t="s">
        <v>326</v>
      </c>
      <c r="Z418" s="21" t="s">
        <v>325</v>
      </c>
      <c r="AA418" s="21" t="s">
        <v>58</v>
      </c>
      <c r="AB418" s="21">
        <v>1</v>
      </c>
      <c r="AD418" s="24">
        <v>4.9000000000000004</v>
      </c>
      <c r="AE418" s="24">
        <v>7.1</v>
      </c>
      <c r="AF418" s="21" t="s">
        <v>302</v>
      </c>
      <c r="AG418" s="21" t="s">
        <v>301</v>
      </c>
    </row>
    <row r="419" spans="1:33">
      <c r="A419" s="21" t="s">
        <v>58</v>
      </c>
      <c r="B419" s="21" t="s">
        <v>613</v>
      </c>
      <c r="C419" s="25">
        <v>46134.645833333336</v>
      </c>
      <c r="D419" s="21" t="s">
        <v>57</v>
      </c>
      <c r="E419" s="24">
        <v>4.59</v>
      </c>
      <c r="F419" s="24">
        <v>5.14</v>
      </c>
      <c r="G419" s="24">
        <f>E419-F419</f>
        <v>-0.54999999999999982</v>
      </c>
      <c r="H419" s="21" t="s">
        <v>294</v>
      </c>
      <c r="I419" s="21">
        <v>0</v>
      </c>
      <c r="J419" s="21">
        <v>0</v>
      </c>
      <c r="K419" s="21">
        <v>6</v>
      </c>
      <c r="L419" s="21">
        <v>6</v>
      </c>
      <c r="M419" s="21">
        <v>7</v>
      </c>
      <c r="P419" s="24">
        <f>J419+L419+N419</f>
        <v>6</v>
      </c>
      <c r="Q419" s="24">
        <f>K419+M419+O419</f>
        <v>13</v>
      </c>
      <c r="R419" s="24">
        <v>0.43537414965986393</v>
      </c>
      <c r="S419" s="21" t="s">
        <v>59</v>
      </c>
      <c r="U419" s="21" t="s">
        <v>287</v>
      </c>
      <c r="V419" s="21" t="s">
        <v>286</v>
      </c>
      <c r="W419" s="21">
        <v>6</v>
      </c>
      <c r="X419" s="21" t="s">
        <v>285</v>
      </c>
      <c r="Y419" s="21" t="s">
        <v>326</v>
      </c>
      <c r="Z419" s="21" t="s">
        <v>325</v>
      </c>
      <c r="AA419" s="21" t="s">
        <v>58</v>
      </c>
      <c r="AB419" s="21">
        <v>1</v>
      </c>
      <c r="AD419" s="24">
        <v>4.9000000000000004</v>
      </c>
      <c r="AE419" s="24">
        <v>5.96</v>
      </c>
      <c r="AF419" s="21" t="s">
        <v>304</v>
      </c>
      <c r="AG419" s="21" t="s">
        <v>341</v>
      </c>
    </row>
    <row r="420" spans="1:33">
      <c r="A420" s="21" t="s">
        <v>385</v>
      </c>
      <c r="B420" s="21" t="s">
        <v>343</v>
      </c>
      <c r="C420" s="25">
        <v>46094.625</v>
      </c>
      <c r="D420" s="21" t="s">
        <v>635</v>
      </c>
      <c r="E420" s="24">
        <v>2.4900000000000002</v>
      </c>
      <c r="F420" s="24">
        <v>4.6100000000000003</v>
      </c>
      <c r="G420" s="24">
        <f>E420-F420</f>
        <v>-2.12</v>
      </c>
      <c r="H420" s="21" t="s">
        <v>294</v>
      </c>
      <c r="I420" s="21">
        <v>0</v>
      </c>
      <c r="J420" s="21">
        <v>4</v>
      </c>
      <c r="K420" s="21">
        <v>6</v>
      </c>
      <c r="L420" s="21">
        <v>2</v>
      </c>
      <c r="M420" s="21">
        <v>6</v>
      </c>
      <c r="P420" s="24">
        <f>J420+L420+N420</f>
        <v>6</v>
      </c>
      <c r="Q420" s="24">
        <f>K420+M420+O420</f>
        <v>12</v>
      </c>
      <c r="R420" s="24">
        <v>0.33333333333333331</v>
      </c>
      <c r="S420" s="21" t="s">
        <v>348</v>
      </c>
      <c r="U420" s="21" t="s">
        <v>287</v>
      </c>
      <c r="V420" s="21" t="s">
        <v>286</v>
      </c>
      <c r="W420" s="21">
        <v>0</v>
      </c>
      <c r="X420" s="21" t="s">
        <v>312</v>
      </c>
      <c r="Y420" s="21" t="s">
        <v>326</v>
      </c>
      <c r="Z420" s="21" t="s">
        <v>325</v>
      </c>
      <c r="AA420" s="21" t="s">
        <v>385</v>
      </c>
      <c r="AB420" s="21">
        <v>1</v>
      </c>
      <c r="AD420" s="24">
        <v>3.7</v>
      </c>
      <c r="AE420" s="24">
        <v>4.6100000000000003</v>
      </c>
      <c r="AF420" s="21" t="s">
        <v>304</v>
      </c>
      <c r="AG420" s="21" t="s">
        <v>341</v>
      </c>
    </row>
    <row r="421" spans="1:33">
      <c r="A421" s="21" t="s">
        <v>385</v>
      </c>
      <c r="B421" s="21" t="s">
        <v>343</v>
      </c>
      <c r="C421" s="25">
        <v>46099.645833333336</v>
      </c>
      <c r="D421" s="21" t="s">
        <v>23</v>
      </c>
      <c r="E421" s="24">
        <v>2.4900000000000002</v>
      </c>
      <c r="F421" s="24">
        <v>6.81</v>
      </c>
      <c r="G421" s="24">
        <f>E421-F421</f>
        <v>-4.3199999999999994</v>
      </c>
      <c r="H421" s="21" t="s">
        <v>294</v>
      </c>
      <c r="I421" s="21">
        <v>0</v>
      </c>
      <c r="J421" s="21">
        <v>0</v>
      </c>
      <c r="K421" s="21">
        <v>6</v>
      </c>
      <c r="L421" s="21">
        <v>0</v>
      </c>
      <c r="M421" s="21">
        <v>6</v>
      </c>
      <c r="P421" s="24">
        <f>J421+L421+N421</f>
        <v>0</v>
      </c>
      <c r="Q421" s="24">
        <f>K421+M421+O421</f>
        <v>12</v>
      </c>
      <c r="R421" s="24">
        <v>0</v>
      </c>
      <c r="S421" s="21" t="s">
        <v>347</v>
      </c>
      <c r="U421" s="21" t="s">
        <v>287</v>
      </c>
      <c r="V421" s="21" t="s">
        <v>286</v>
      </c>
      <c r="W421" s="21">
        <v>1</v>
      </c>
      <c r="X421" s="21" t="s">
        <v>323</v>
      </c>
      <c r="Y421" s="21" t="s">
        <v>326</v>
      </c>
      <c r="Z421" s="21" t="s">
        <v>325</v>
      </c>
      <c r="AA421" s="21" t="s">
        <v>385</v>
      </c>
      <c r="AB421" s="21">
        <v>1</v>
      </c>
      <c r="AD421" s="24">
        <v>3.7</v>
      </c>
      <c r="AE421" s="24">
        <v>7.15</v>
      </c>
      <c r="AF421" s="21" t="s">
        <v>322</v>
      </c>
      <c r="AG421" s="21" t="s">
        <v>301</v>
      </c>
    </row>
    <row r="422" spans="1:33">
      <c r="A422" s="21" t="s">
        <v>385</v>
      </c>
      <c r="B422" s="21" t="s">
        <v>343</v>
      </c>
      <c r="C422" s="25">
        <v>46101.645833333336</v>
      </c>
      <c r="D422" s="21" t="s">
        <v>587</v>
      </c>
      <c r="E422" s="24">
        <v>2.4900000000000002</v>
      </c>
      <c r="F422" s="24">
        <v>2.87</v>
      </c>
      <c r="G422" s="24">
        <f>E422-F422</f>
        <v>-0.37999999999999989</v>
      </c>
      <c r="H422" s="21" t="s">
        <v>289</v>
      </c>
      <c r="I422" s="21">
        <v>1</v>
      </c>
      <c r="J422" s="21">
        <v>6</v>
      </c>
      <c r="K422" s="21">
        <v>2</v>
      </c>
      <c r="L422" s="21">
        <v>1</v>
      </c>
      <c r="M422" s="21">
        <v>6</v>
      </c>
      <c r="N422" s="21">
        <v>6</v>
      </c>
      <c r="O422" s="21">
        <v>0</v>
      </c>
      <c r="P422" s="24">
        <f>J422+L422+N422</f>
        <v>13</v>
      </c>
      <c r="Q422" s="24">
        <f>K422+M422+O422</f>
        <v>8</v>
      </c>
      <c r="R422" s="24">
        <v>0.61904761904761907</v>
      </c>
      <c r="S422" s="21" t="s">
        <v>346</v>
      </c>
      <c r="U422" s="21" t="s">
        <v>287</v>
      </c>
      <c r="V422" s="21" t="s">
        <v>286</v>
      </c>
      <c r="W422" s="21">
        <v>2</v>
      </c>
      <c r="X422" s="21" t="s">
        <v>310</v>
      </c>
      <c r="Y422" s="21" t="s">
        <v>326</v>
      </c>
      <c r="Z422" s="21" t="s">
        <v>325</v>
      </c>
      <c r="AA422" s="21" t="s">
        <v>385</v>
      </c>
      <c r="AB422" s="21">
        <v>1</v>
      </c>
      <c r="AD422" s="24">
        <v>3.7</v>
      </c>
      <c r="AE422" s="24">
        <v>2.87</v>
      </c>
      <c r="AF422" s="21" t="s">
        <v>322</v>
      </c>
      <c r="AG422" s="21" t="s">
        <v>301</v>
      </c>
    </row>
    <row r="423" spans="1:33">
      <c r="A423" s="21" t="s">
        <v>385</v>
      </c>
      <c r="B423" s="21" t="s">
        <v>343</v>
      </c>
      <c r="C423" s="25">
        <v>46105.645833333336</v>
      </c>
      <c r="D423" s="21" t="s">
        <v>170</v>
      </c>
      <c r="E423" s="24">
        <v>2.4900000000000002</v>
      </c>
      <c r="F423" s="24">
        <v>5.29</v>
      </c>
      <c r="G423" s="24">
        <f>E423-F423</f>
        <v>-2.8</v>
      </c>
      <c r="H423" s="21" t="s">
        <v>294</v>
      </c>
      <c r="I423" s="21">
        <v>0</v>
      </c>
      <c r="J423" s="21">
        <v>0</v>
      </c>
      <c r="K423" s="21">
        <v>6</v>
      </c>
      <c r="L423" s="21">
        <v>0</v>
      </c>
      <c r="M423" s="21">
        <v>6</v>
      </c>
      <c r="P423" s="24">
        <f>J423+L423+N423</f>
        <v>0</v>
      </c>
      <c r="Q423" s="24">
        <f>K423+M423+O423</f>
        <v>12</v>
      </c>
      <c r="R423" s="24">
        <v>0</v>
      </c>
      <c r="S423" s="21" t="s">
        <v>220</v>
      </c>
      <c r="U423" s="21" t="s">
        <v>287</v>
      </c>
      <c r="V423" s="21" t="s">
        <v>286</v>
      </c>
      <c r="W423" s="21">
        <v>3</v>
      </c>
      <c r="X423" s="21" t="s">
        <v>285</v>
      </c>
      <c r="Y423" s="21" t="s">
        <v>326</v>
      </c>
      <c r="Z423" s="21" t="s">
        <v>325</v>
      </c>
      <c r="AA423" s="21" t="s">
        <v>385</v>
      </c>
      <c r="AB423" s="21">
        <v>1</v>
      </c>
      <c r="AD423" s="24">
        <v>3.7</v>
      </c>
      <c r="AE423" s="24">
        <v>6.27</v>
      </c>
      <c r="AF423" s="21" t="s">
        <v>322</v>
      </c>
      <c r="AG423" s="21" t="s">
        <v>301</v>
      </c>
    </row>
    <row r="424" spans="1:33">
      <c r="A424" s="21" t="s">
        <v>385</v>
      </c>
      <c r="B424" s="21" t="s">
        <v>343</v>
      </c>
      <c r="C424" s="25">
        <v>46106.645833333336</v>
      </c>
      <c r="D424" s="21" t="s">
        <v>704</v>
      </c>
      <c r="E424" s="24">
        <v>2.4900000000000002</v>
      </c>
      <c r="F424" s="24">
        <v>2.87</v>
      </c>
      <c r="G424" s="24">
        <f>E424-F424</f>
        <v>-0.37999999999999989</v>
      </c>
      <c r="H424" s="21" t="s">
        <v>289</v>
      </c>
      <c r="I424" s="21">
        <v>1</v>
      </c>
      <c r="J424" s="21">
        <v>6</v>
      </c>
      <c r="K424" s="21">
        <v>3</v>
      </c>
      <c r="L424" s="21">
        <v>6</v>
      </c>
      <c r="M424" s="21">
        <v>3</v>
      </c>
      <c r="P424" s="24">
        <f>J424+L424+N424</f>
        <v>12</v>
      </c>
      <c r="Q424" s="24">
        <f>K424+M424+O424</f>
        <v>6</v>
      </c>
      <c r="R424" s="24">
        <v>0.66666666666666663</v>
      </c>
      <c r="S424" s="21" t="s">
        <v>344</v>
      </c>
      <c r="U424" s="21" t="s">
        <v>287</v>
      </c>
      <c r="V424" s="21" t="s">
        <v>286</v>
      </c>
      <c r="W424" s="21">
        <v>4</v>
      </c>
      <c r="X424" s="21" t="s">
        <v>285</v>
      </c>
      <c r="Y424" s="21" t="s">
        <v>326</v>
      </c>
      <c r="Z424" s="21" t="s">
        <v>325</v>
      </c>
      <c r="AA424" s="21" t="s">
        <v>385</v>
      </c>
      <c r="AB424" s="21">
        <v>1</v>
      </c>
      <c r="AD424" s="24">
        <v>3.7</v>
      </c>
      <c r="AE424" s="24">
        <v>2.87</v>
      </c>
      <c r="AF424" s="21" t="s">
        <v>535</v>
      </c>
      <c r="AG424" s="21" t="s">
        <v>301</v>
      </c>
    </row>
    <row r="425" spans="1:33">
      <c r="A425" s="21" t="s">
        <v>385</v>
      </c>
      <c r="B425" s="21" t="s">
        <v>343</v>
      </c>
      <c r="C425" s="25">
        <v>46111.645833333336</v>
      </c>
      <c r="D425" s="21" t="s">
        <v>638</v>
      </c>
      <c r="E425" s="24">
        <v>2.4900000000000002</v>
      </c>
      <c r="F425" s="24">
        <v>4.82</v>
      </c>
      <c r="G425" s="24">
        <f>E425-F425</f>
        <v>-2.33</v>
      </c>
      <c r="H425" s="21" t="s">
        <v>294</v>
      </c>
      <c r="I425" s="21">
        <v>0</v>
      </c>
      <c r="J425" s="21">
        <v>0</v>
      </c>
      <c r="K425" s="21">
        <v>6</v>
      </c>
      <c r="L425" s="21">
        <v>3</v>
      </c>
      <c r="M425" s="21">
        <v>6</v>
      </c>
      <c r="P425" s="24">
        <f>J425+L425+N425</f>
        <v>3</v>
      </c>
      <c r="Q425" s="24">
        <f>K425+M425+O425</f>
        <v>12</v>
      </c>
      <c r="R425" s="24">
        <v>0.2</v>
      </c>
      <c r="S425" s="21" t="s">
        <v>186</v>
      </c>
      <c r="U425" s="21" t="s">
        <v>287</v>
      </c>
      <c r="V425" s="21" t="s">
        <v>286</v>
      </c>
      <c r="W425" s="21">
        <v>5</v>
      </c>
      <c r="X425" s="21" t="s">
        <v>285</v>
      </c>
      <c r="Y425" s="21" t="s">
        <v>326</v>
      </c>
      <c r="Z425" s="21" t="s">
        <v>325</v>
      </c>
      <c r="AA425" s="21" t="s">
        <v>385</v>
      </c>
      <c r="AB425" s="21">
        <v>1</v>
      </c>
      <c r="AD425" s="24">
        <v>3.7</v>
      </c>
      <c r="AE425" s="24">
        <v>4.82</v>
      </c>
      <c r="AF425" s="21" t="s">
        <v>304</v>
      </c>
      <c r="AG425" s="21" t="s">
        <v>303</v>
      </c>
    </row>
    <row r="426" spans="1:33">
      <c r="A426" s="21" t="s">
        <v>385</v>
      </c>
      <c r="B426" s="21" t="s">
        <v>343</v>
      </c>
      <c r="C426" s="25">
        <v>46118.625</v>
      </c>
      <c r="D426" s="21" t="s">
        <v>703</v>
      </c>
      <c r="E426" s="24">
        <v>2.4900000000000002</v>
      </c>
      <c r="F426" s="24">
        <v>6.69</v>
      </c>
      <c r="G426" s="24">
        <f>E426-F426</f>
        <v>-4.2</v>
      </c>
      <c r="H426" s="21" t="s">
        <v>294</v>
      </c>
      <c r="I426" s="21">
        <v>0</v>
      </c>
      <c r="J426" s="21">
        <v>0</v>
      </c>
      <c r="K426" s="21">
        <v>6</v>
      </c>
      <c r="L426" s="21">
        <v>1</v>
      </c>
      <c r="M426" s="21">
        <v>6</v>
      </c>
      <c r="P426" s="24">
        <f>J426+L426+N426</f>
        <v>1</v>
      </c>
      <c r="Q426" s="24">
        <f>K426+M426+O426</f>
        <v>12</v>
      </c>
      <c r="R426" s="24">
        <f>P426/(P426+Q426)</f>
        <v>7.6923076923076927E-2</v>
      </c>
      <c r="S426" s="21" t="s">
        <v>166</v>
      </c>
      <c r="U426" s="21" t="s">
        <v>287</v>
      </c>
      <c r="V426" s="21" t="s">
        <v>286</v>
      </c>
      <c r="W426" s="21">
        <v>6</v>
      </c>
      <c r="X426" s="21" t="s">
        <v>285</v>
      </c>
      <c r="Y426" s="21" t="s">
        <v>326</v>
      </c>
      <c r="Z426" s="21" t="s">
        <v>325</v>
      </c>
      <c r="AA426" s="21" t="s">
        <v>385</v>
      </c>
      <c r="AB426" s="21">
        <v>1</v>
      </c>
      <c r="AD426" s="24">
        <v>3.7</v>
      </c>
      <c r="AE426" s="24">
        <v>7.2</v>
      </c>
      <c r="AF426" s="21" t="s">
        <v>535</v>
      </c>
      <c r="AG426" s="21" t="s">
        <v>301</v>
      </c>
    </row>
    <row r="427" spans="1:33">
      <c r="A427" s="21" t="s">
        <v>385</v>
      </c>
      <c r="B427" s="21" t="s">
        <v>343</v>
      </c>
      <c r="C427" s="25">
        <v>46120.645833333336</v>
      </c>
      <c r="D427" s="21" t="s">
        <v>34</v>
      </c>
      <c r="E427" s="24">
        <v>2.4900000000000002</v>
      </c>
      <c r="F427" s="24">
        <v>5.08</v>
      </c>
      <c r="G427" s="24">
        <f>E427-F427</f>
        <v>-2.59</v>
      </c>
      <c r="H427" s="21" t="s">
        <v>294</v>
      </c>
      <c r="I427" s="21">
        <v>0</v>
      </c>
      <c r="J427" s="21">
        <v>3</v>
      </c>
      <c r="K427" s="21">
        <v>6</v>
      </c>
      <c r="L427" s="21">
        <v>1</v>
      </c>
      <c r="M427" s="21">
        <v>6</v>
      </c>
      <c r="P427" s="24">
        <f>J427+L427+N427</f>
        <v>4</v>
      </c>
      <c r="Q427" s="24">
        <f>K427+M427+O427</f>
        <v>12</v>
      </c>
      <c r="R427" s="24">
        <f>P427/(P427+Q427)</f>
        <v>0.25</v>
      </c>
      <c r="S427" s="21" t="s">
        <v>156</v>
      </c>
      <c r="U427" s="21" t="s">
        <v>287</v>
      </c>
      <c r="V427" s="21" t="s">
        <v>286</v>
      </c>
      <c r="W427" s="21">
        <v>7</v>
      </c>
      <c r="X427" s="21" t="s">
        <v>285</v>
      </c>
      <c r="Y427" s="21" t="s">
        <v>326</v>
      </c>
      <c r="Z427" s="21" t="s">
        <v>325</v>
      </c>
      <c r="AA427" s="21" t="s">
        <v>385</v>
      </c>
      <c r="AB427" s="21">
        <v>1</v>
      </c>
      <c r="AD427" s="24">
        <v>3.7</v>
      </c>
      <c r="AE427" s="24">
        <v>5.28</v>
      </c>
      <c r="AF427" s="21" t="s">
        <v>322</v>
      </c>
      <c r="AG427" s="21" t="s">
        <v>301</v>
      </c>
    </row>
    <row r="428" spans="1:33">
      <c r="A428" s="21" t="s">
        <v>72</v>
      </c>
      <c r="B428" s="21" t="s">
        <v>660</v>
      </c>
      <c r="C428" s="25">
        <v>46092.645833333336</v>
      </c>
      <c r="D428" s="21" t="s">
        <v>702</v>
      </c>
      <c r="E428" s="24">
        <v>3.86</v>
      </c>
      <c r="F428" s="24">
        <v>3.24</v>
      </c>
      <c r="G428" s="24">
        <f>E428-F428</f>
        <v>0.61999999999999966</v>
      </c>
      <c r="H428" s="21" t="s">
        <v>289</v>
      </c>
      <c r="I428" s="21">
        <v>1</v>
      </c>
      <c r="J428" s="21">
        <v>6</v>
      </c>
      <c r="K428" s="21">
        <v>4</v>
      </c>
      <c r="L428" s="21">
        <v>6</v>
      </c>
      <c r="M428" s="21">
        <v>2</v>
      </c>
      <c r="P428" s="24">
        <f>J428+L428+N428</f>
        <v>12</v>
      </c>
      <c r="Q428" s="24">
        <f>K428+M428+O428</f>
        <v>6</v>
      </c>
      <c r="R428" s="24">
        <f>P428/(P428+Q428)</f>
        <v>0.66666666666666663</v>
      </c>
      <c r="S428" s="21" t="s">
        <v>508</v>
      </c>
      <c r="U428" s="21" t="s">
        <v>287</v>
      </c>
      <c r="V428" s="21" t="s">
        <v>286</v>
      </c>
      <c r="W428" s="21">
        <v>0</v>
      </c>
      <c r="X428" s="21" t="s">
        <v>312</v>
      </c>
      <c r="Y428" s="21" t="s">
        <v>326</v>
      </c>
      <c r="Z428" s="21" t="s">
        <v>325</v>
      </c>
      <c r="AA428" s="21" t="s">
        <v>72</v>
      </c>
      <c r="AB428" s="21">
        <v>1</v>
      </c>
      <c r="AD428" s="24">
        <v>3.86</v>
      </c>
      <c r="AE428" s="24">
        <v>3.24</v>
      </c>
      <c r="AF428" s="21" t="s">
        <v>322</v>
      </c>
      <c r="AG428" s="21" t="s">
        <v>301</v>
      </c>
    </row>
    <row r="429" spans="1:33">
      <c r="A429" s="21" t="s">
        <v>72</v>
      </c>
      <c r="B429" s="21" t="s">
        <v>660</v>
      </c>
      <c r="C429" s="25">
        <v>46094.645833333336</v>
      </c>
      <c r="D429" s="21" t="s">
        <v>701</v>
      </c>
      <c r="E429" s="24">
        <v>3.86</v>
      </c>
      <c r="F429" s="24">
        <v>4.9000000000000004</v>
      </c>
      <c r="G429" s="24">
        <f>E429-F429</f>
        <v>-1.0400000000000005</v>
      </c>
      <c r="H429" s="21" t="s">
        <v>294</v>
      </c>
      <c r="I429" s="21">
        <v>0</v>
      </c>
      <c r="J429" s="21">
        <v>4</v>
      </c>
      <c r="K429" s="21">
        <v>6</v>
      </c>
      <c r="L429" s="21">
        <v>1</v>
      </c>
      <c r="M429" s="21">
        <v>6</v>
      </c>
      <c r="P429" s="24">
        <f>J429+L429+N429</f>
        <v>5</v>
      </c>
      <c r="Q429" s="24">
        <f>K429+M429+O429</f>
        <v>12</v>
      </c>
      <c r="R429" s="24">
        <f>P429/(P429+Q429)</f>
        <v>0.29411764705882354</v>
      </c>
      <c r="S429" s="21" t="s">
        <v>446</v>
      </c>
      <c r="U429" s="21" t="s">
        <v>287</v>
      </c>
      <c r="V429" s="21" t="s">
        <v>286</v>
      </c>
      <c r="W429" s="21">
        <v>1</v>
      </c>
      <c r="X429" s="21" t="s">
        <v>323</v>
      </c>
      <c r="Y429" s="21" t="s">
        <v>326</v>
      </c>
      <c r="Z429" s="21" t="s">
        <v>325</v>
      </c>
      <c r="AA429" s="21" t="s">
        <v>72</v>
      </c>
      <c r="AB429" s="21">
        <v>1</v>
      </c>
      <c r="AD429" s="24">
        <v>3.86</v>
      </c>
      <c r="AE429" s="24">
        <v>4.9000000000000004</v>
      </c>
      <c r="AF429" s="21" t="s">
        <v>322</v>
      </c>
      <c r="AG429" s="21" t="s">
        <v>301</v>
      </c>
    </row>
    <row r="430" spans="1:33">
      <c r="A430" s="21" t="s">
        <v>72</v>
      </c>
      <c r="B430" s="21" t="s">
        <v>660</v>
      </c>
      <c r="C430" s="25">
        <v>46105</v>
      </c>
      <c r="D430" s="21" t="s">
        <v>516</v>
      </c>
      <c r="E430" s="24">
        <v>3.86</v>
      </c>
      <c r="F430" s="24">
        <v>5.0999999999999996</v>
      </c>
      <c r="G430" s="24">
        <f>E430-F430</f>
        <v>-1.2399999999999998</v>
      </c>
      <c r="H430" s="21" t="s">
        <v>294</v>
      </c>
      <c r="I430" s="21">
        <v>0</v>
      </c>
      <c r="J430" s="21">
        <v>2</v>
      </c>
      <c r="K430" s="21">
        <v>6</v>
      </c>
      <c r="L430" s="21">
        <v>0</v>
      </c>
      <c r="M430" s="21">
        <v>6</v>
      </c>
      <c r="P430" s="24">
        <f>J430+L430+N430</f>
        <v>2</v>
      </c>
      <c r="Q430" s="24">
        <f>K430+M430+O430</f>
        <v>12</v>
      </c>
      <c r="R430" s="24">
        <f>P430/(P430+Q430)</f>
        <v>0.14285714285714285</v>
      </c>
      <c r="S430" s="21" t="s">
        <v>662</v>
      </c>
      <c r="U430" s="21" t="s">
        <v>287</v>
      </c>
      <c r="V430" s="21" t="s">
        <v>286</v>
      </c>
      <c r="W430" s="21">
        <v>2</v>
      </c>
      <c r="X430" s="21" t="s">
        <v>310</v>
      </c>
      <c r="Y430" s="21" t="s">
        <v>326</v>
      </c>
      <c r="Z430" s="21" t="s">
        <v>325</v>
      </c>
      <c r="AA430" s="21" t="s">
        <v>72</v>
      </c>
      <c r="AB430" s="21">
        <v>1</v>
      </c>
      <c r="AD430" s="24">
        <v>3.86</v>
      </c>
      <c r="AE430" s="24">
        <v>5.0999999999999996</v>
      </c>
      <c r="AF430" s="21" t="s">
        <v>322</v>
      </c>
      <c r="AG430" s="21" t="s">
        <v>301</v>
      </c>
    </row>
    <row r="431" spans="1:33">
      <c r="A431" s="21" t="s">
        <v>72</v>
      </c>
      <c r="B431" s="21" t="s">
        <v>660</v>
      </c>
      <c r="C431" s="25">
        <v>46127.645833333336</v>
      </c>
      <c r="D431" s="21" t="s">
        <v>181</v>
      </c>
      <c r="E431" s="24">
        <v>3.86</v>
      </c>
      <c r="F431" s="24">
        <v>5.99</v>
      </c>
      <c r="G431" s="24">
        <f>E431-F431</f>
        <v>-2.1300000000000003</v>
      </c>
      <c r="H431" s="21" t="s">
        <v>294</v>
      </c>
      <c r="I431" s="21">
        <v>0</v>
      </c>
      <c r="J431" s="21">
        <v>0</v>
      </c>
      <c r="K431" s="21">
        <v>6</v>
      </c>
      <c r="L431" s="21">
        <v>0</v>
      </c>
      <c r="M431" s="21">
        <v>6</v>
      </c>
      <c r="P431" s="24">
        <f>J431+L431+N431</f>
        <v>0</v>
      </c>
      <c r="Q431" s="24">
        <f>K431+M431+O431</f>
        <v>12</v>
      </c>
      <c r="R431" s="24">
        <v>0</v>
      </c>
      <c r="S431" s="21" t="s">
        <v>416</v>
      </c>
      <c r="U431" s="21" t="s">
        <v>287</v>
      </c>
      <c r="V431" s="21" t="s">
        <v>286</v>
      </c>
      <c r="W431" s="21">
        <v>3</v>
      </c>
      <c r="X431" s="21" t="s">
        <v>285</v>
      </c>
      <c r="Y431" s="21" t="s">
        <v>326</v>
      </c>
      <c r="Z431" s="21" t="s">
        <v>325</v>
      </c>
      <c r="AA431" s="21" t="s">
        <v>72</v>
      </c>
      <c r="AB431" s="21">
        <v>1</v>
      </c>
      <c r="AD431" s="24">
        <v>3.86</v>
      </c>
      <c r="AE431" s="24">
        <v>6.06</v>
      </c>
      <c r="AF431" s="21" t="s">
        <v>322</v>
      </c>
      <c r="AG431" s="21" t="s">
        <v>301</v>
      </c>
    </row>
    <row r="432" spans="1:33">
      <c r="A432" s="21" t="s">
        <v>72</v>
      </c>
      <c r="B432" s="21" t="s">
        <v>660</v>
      </c>
      <c r="C432" s="25">
        <v>46133.645833333336</v>
      </c>
      <c r="D432" s="21" t="s">
        <v>73</v>
      </c>
      <c r="E432" s="24">
        <v>3.98</v>
      </c>
      <c r="F432" s="24">
        <v>3.51</v>
      </c>
      <c r="G432" s="24">
        <f>E432-F432</f>
        <v>0.4700000000000002</v>
      </c>
      <c r="H432" s="21" t="s">
        <v>294</v>
      </c>
      <c r="I432" s="21">
        <v>0</v>
      </c>
      <c r="J432" s="21">
        <v>5</v>
      </c>
      <c r="K432" s="21">
        <v>7</v>
      </c>
      <c r="L432" s="21">
        <v>2</v>
      </c>
      <c r="M432" s="21">
        <v>6</v>
      </c>
      <c r="P432" s="24">
        <f>J432+L432+N432</f>
        <v>7</v>
      </c>
      <c r="Q432" s="24">
        <f>K432+M432+O432</f>
        <v>13</v>
      </c>
      <c r="R432" s="24">
        <v>0.35</v>
      </c>
      <c r="S432" s="21" t="s">
        <v>74</v>
      </c>
      <c r="U432" s="21" t="s">
        <v>287</v>
      </c>
      <c r="V432" s="21" t="s">
        <v>286</v>
      </c>
      <c r="W432" s="21">
        <v>4</v>
      </c>
      <c r="X432" s="21" t="s">
        <v>285</v>
      </c>
      <c r="Y432" s="21" t="s">
        <v>326</v>
      </c>
      <c r="Z432" s="21" t="s">
        <v>325</v>
      </c>
      <c r="AA432" s="21" t="s">
        <v>72</v>
      </c>
      <c r="AB432" s="21">
        <v>1</v>
      </c>
      <c r="AD432" s="24">
        <v>3.86</v>
      </c>
      <c r="AE432" s="24">
        <v>4.3499999999999996</v>
      </c>
      <c r="AF432" s="21" t="s">
        <v>322</v>
      </c>
      <c r="AG432" s="21" t="s">
        <v>301</v>
      </c>
    </row>
    <row r="433" spans="1:33">
      <c r="A433" s="21" t="s">
        <v>103</v>
      </c>
      <c r="B433" s="21" t="s">
        <v>607</v>
      </c>
      <c r="C433" s="25">
        <v>46032</v>
      </c>
      <c r="D433" s="21" t="s">
        <v>65</v>
      </c>
      <c r="E433" s="24">
        <v>7.14</v>
      </c>
      <c r="F433" s="24">
        <v>6.11</v>
      </c>
      <c r="G433" s="24">
        <f>E433-F433</f>
        <v>1.0299999999999994</v>
      </c>
      <c r="H433" s="21" t="s">
        <v>289</v>
      </c>
      <c r="I433" s="21">
        <v>1</v>
      </c>
      <c r="J433" s="21">
        <v>8</v>
      </c>
      <c r="K433" s="21">
        <v>6</v>
      </c>
      <c r="P433" s="24">
        <f>J433+L433+N433</f>
        <v>8</v>
      </c>
      <c r="Q433" s="24">
        <f>K433+M433+O433</f>
        <v>6</v>
      </c>
      <c r="R433" s="24">
        <v>0.5714285714285714</v>
      </c>
      <c r="S433" s="21" t="s">
        <v>700</v>
      </c>
      <c r="U433" s="21" t="s">
        <v>412</v>
      </c>
      <c r="V433" s="21" t="s">
        <v>286</v>
      </c>
      <c r="W433" s="21">
        <v>0</v>
      </c>
      <c r="X433" s="21" t="s">
        <v>312</v>
      </c>
      <c r="Y433" s="21" t="s">
        <v>318</v>
      </c>
      <c r="Z433" s="21" t="s">
        <v>317</v>
      </c>
      <c r="AA433" s="21" t="s">
        <v>103</v>
      </c>
      <c r="AB433" s="21">
        <v>1</v>
      </c>
      <c r="AD433" s="24">
        <v>7.14</v>
      </c>
      <c r="AE433" s="24">
        <v>8.31</v>
      </c>
      <c r="AF433" s="21" t="s">
        <v>322</v>
      </c>
      <c r="AG433" s="21" t="s">
        <v>301</v>
      </c>
    </row>
    <row r="434" spans="1:33">
      <c r="A434" s="21" t="s">
        <v>103</v>
      </c>
      <c r="B434" s="21" t="s">
        <v>607</v>
      </c>
      <c r="C434" s="25">
        <v>46056.350694444445</v>
      </c>
      <c r="D434" s="21" t="s">
        <v>514</v>
      </c>
      <c r="E434" s="24">
        <v>7.14</v>
      </c>
      <c r="F434" s="24">
        <v>6.88</v>
      </c>
      <c r="G434" s="24">
        <f>E434-F434</f>
        <v>0.25999999999999979</v>
      </c>
      <c r="H434" s="21" t="s">
        <v>289</v>
      </c>
      <c r="I434" s="21">
        <v>1</v>
      </c>
      <c r="J434" s="21">
        <v>7</v>
      </c>
      <c r="K434" s="21">
        <v>5</v>
      </c>
      <c r="L434" s="21">
        <v>6</v>
      </c>
      <c r="M434" s="21">
        <v>0</v>
      </c>
      <c r="P434" s="24">
        <f>J434+L434+N434</f>
        <v>13</v>
      </c>
      <c r="Q434" s="24">
        <f>K434+M434+O434</f>
        <v>5</v>
      </c>
      <c r="R434" s="24">
        <v>0.72222222222222221</v>
      </c>
      <c r="S434" s="21" t="s">
        <v>700</v>
      </c>
      <c r="U434" s="21" t="s">
        <v>412</v>
      </c>
      <c r="V434" s="21" t="s">
        <v>286</v>
      </c>
      <c r="W434" s="21">
        <v>1</v>
      </c>
      <c r="X434" s="21" t="s">
        <v>323</v>
      </c>
      <c r="Y434" s="21" t="s">
        <v>318</v>
      </c>
      <c r="Z434" s="21" t="s">
        <v>317</v>
      </c>
      <c r="AA434" s="21" t="s">
        <v>103</v>
      </c>
      <c r="AB434" s="21">
        <v>1</v>
      </c>
      <c r="AD434" s="24">
        <v>7.14</v>
      </c>
      <c r="AE434" s="24">
        <v>6.88</v>
      </c>
      <c r="AF434" s="21" t="s">
        <v>322</v>
      </c>
      <c r="AG434" s="21" t="s">
        <v>301</v>
      </c>
    </row>
    <row r="435" spans="1:33">
      <c r="A435" s="21" t="s">
        <v>103</v>
      </c>
      <c r="B435" s="21" t="s">
        <v>607</v>
      </c>
      <c r="C435" s="25">
        <v>46060</v>
      </c>
      <c r="D435" s="21" t="s">
        <v>699</v>
      </c>
      <c r="E435" s="24">
        <v>7.14</v>
      </c>
      <c r="F435" s="24">
        <v>6.69</v>
      </c>
      <c r="G435" s="24">
        <f>E435-F435</f>
        <v>0.44999999999999929</v>
      </c>
      <c r="H435" s="21" t="s">
        <v>289</v>
      </c>
      <c r="I435" s="21">
        <v>1</v>
      </c>
      <c r="J435" s="21">
        <v>8</v>
      </c>
      <c r="K435" s="21">
        <v>2</v>
      </c>
      <c r="P435" s="24">
        <f>J435+L435+N435</f>
        <v>8</v>
      </c>
      <c r="Q435" s="24">
        <f>K435+M435+O435</f>
        <v>2</v>
      </c>
      <c r="R435" s="24">
        <v>0.8</v>
      </c>
      <c r="S435" s="21" t="s">
        <v>631</v>
      </c>
      <c r="T435" s="21" t="s">
        <v>297</v>
      </c>
      <c r="U435" s="21" t="s">
        <v>412</v>
      </c>
      <c r="V435" s="21" t="s">
        <v>286</v>
      </c>
      <c r="W435" s="21">
        <v>2</v>
      </c>
      <c r="X435" s="21" t="s">
        <v>310</v>
      </c>
      <c r="Y435" s="21" t="s">
        <v>318</v>
      </c>
      <c r="Z435" s="21" t="s">
        <v>317</v>
      </c>
      <c r="AA435" s="21" t="s">
        <v>103</v>
      </c>
      <c r="AB435" s="21">
        <v>1</v>
      </c>
      <c r="AD435" s="24">
        <v>7.14</v>
      </c>
      <c r="AE435" s="24">
        <v>6.69</v>
      </c>
      <c r="AF435" s="21" t="s">
        <v>322</v>
      </c>
      <c r="AG435" s="21" t="s">
        <v>301</v>
      </c>
    </row>
    <row r="436" spans="1:33">
      <c r="A436" s="21" t="s">
        <v>103</v>
      </c>
      <c r="B436" s="21" t="s">
        <v>607</v>
      </c>
      <c r="C436" s="25">
        <v>46060</v>
      </c>
      <c r="D436" s="21" t="s">
        <v>698</v>
      </c>
      <c r="E436" s="24">
        <v>7.14</v>
      </c>
      <c r="F436" s="24">
        <v>8.07</v>
      </c>
      <c r="G436" s="24">
        <f>E436-F436</f>
        <v>-0.9300000000000006</v>
      </c>
      <c r="H436" s="21" t="s">
        <v>294</v>
      </c>
      <c r="I436" s="21">
        <v>0</v>
      </c>
      <c r="J436" s="21">
        <v>6</v>
      </c>
      <c r="K436" s="21">
        <v>8</v>
      </c>
      <c r="P436" s="24">
        <f>J436+L436+N436</f>
        <v>6</v>
      </c>
      <c r="Q436" s="24">
        <f>K436+M436+O436</f>
        <v>8</v>
      </c>
      <c r="R436" s="24">
        <v>0.42857142857142855</v>
      </c>
      <c r="S436" s="21" t="s">
        <v>631</v>
      </c>
      <c r="T436" s="21" t="s">
        <v>296</v>
      </c>
      <c r="U436" s="21" t="s">
        <v>412</v>
      </c>
      <c r="V436" s="21" t="s">
        <v>286</v>
      </c>
      <c r="W436" s="21">
        <v>2</v>
      </c>
      <c r="X436" s="21" t="s">
        <v>310</v>
      </c>
      <c r="Y436" s="21" t="s">
        <v>318</v>
      </c>
      <c r="Z436" s="21" t="s">
        <v>317</v>
      </c>
      <c r="AA436" s="21" t="s">
        <v>103</v>
      </c>
      <c r="AB436" s="21">
        <v>1</v>
      </c>
      <c r="AD436" s="24">
        <v>7.14</v>
      </c>
      <c r="AE436" s="24">
        <v>8.07</v>
      </c>
      <c r="AF436" s="21" t="s">
        <v>322</v>
      </c>
      <c r="AG436" s="21" t="s">
        <v>301</v>
      </c>
    </row>
    <row r="437" spans="1:33">
      <c r="A437" s="21" t="s">
        <v>103</v>
      </c>
      <c r="B437" s="21" t="s">
        <v>607</v>
      </c>
      <c r="C437" s="25">
        <v>46060</v>
      </c>
      <c r="D437" s="21" t="s">
        <v>697</v>
      </c>
      <c r="E437" s="24">
        <v>7.14</v>
      </c>
      <c r="F437" s="24">
        <v>6.23</v>
      </c>
      <c r="G437" s="24">
        <f>E437-F437</f>
        <v>0.90999999999999925</v>
      </c>
      <c r="H437" s="21" t="s">
        <v>289</v>
      </c>
      <c r="I437" s="21">
        <v>1</v>
      </c>
      <c r="J437" s="21">
        <v>8</v>
      </c>
      <c r="K437" s="21">
        <v>2</v>
      </c>
      <c r="P437" s="24">
        <f>J437+L437+N437</f>
        <v>8</v>
      </c>
      <c r="Q437" s="24">
        <f>K437+M437+O437</f>
        <v>2</v>
      </c>
      <c r="R437" s="24">
        <v>0.8</v>
      </c>
      <c r="S437" s="21" t="s">
        <v>631</v>
      </c>
      <c r="T437" s="21" t="s">
        <v>298</v>
      </c>
      <c r="U437" s="21" t="s">
        <v>412</v>
      </c>
      <c r="V437" s="21" t="s">
        <v>286</v>
      </c>
      <c r="W437" s="21">
        <v>2</v>
      </c>
      <c r="X437" s="21" t="s">
        <v>310</v>
      </c>
      <c r="Y437" s="21" t="s">
        <v>318</v>
      </c>
      <c r="Z437" s="21" t="s">
        <v>317</v>
      </c>
      <c r="AA437" s="21" t="s">
        <v>103</v>
      </c>
      <c r="AB437" s="21">
        <v>1</v>
      </c>
      <c r="AD437" s="24">
        <v>7.14</v>
      </c>
      <c r="AE437" s="24">
        <v>6.23</v>
      </c>
      <c r="AF437" s="21" t="s">
        <v>322</v>
      </c>
      <c r="AG437" s="21" t="s">
        <v>301</v>
      </c>
    </row>
    <row r="438" spans="1:33">
      <c r="A438" s="21" t="s">
        <v>103</v>
      </c>
      <c r="B438" s="21" t="s">
        <v>607</v>
      </c>
      <c r="C438" s="25">
        <v>46067</v>
      </c>
      <c r="D438" s="21" t="s">
        <v>696</v>
      </c>
      <c r="E438" s="24">
        <v>7.14</v>
      </c>
      <c r="F438" s="24">
        <v>5.0599999999999996</v>
      </c>
      <c r="G438" s="24">
        <f>E438-F438</f>
        <v>2.08</v>
      </c>
      <c r="H438" s="21" t="s">
        <v>289</v>
      </c>
      <c r="I438" s="21">
        <v>1</v>
      </c>
      <c r="J438" s="21">
        <v>8</v>
      </c>
      <c r="K438" s="21">
        <v>0</v>
      </c>
      <c r="P438" s="24">
        <f>J438+L438+N438</f>
        <v>8</v>
      </c>
      <c r="Q438" s="24">
        <f>K438+M438+O438</f>
        <v>0</v>
      </c>
      <c r="R438" s="24">
        <v>1</v>
      </c>
      <c r="S438" s="21" t="s">
        <v>687</v>
      </c>
      <c r="T438" s="21" t="s">
        <v>352</v>
      </c>
      <c r="U438" s="21" t="s">
        <v>292</v>
      </c>
      <c r="V438" s="21" t="s">
        <v>286</v>
      </c>
      <c r="W438" s="21">
        <v>5</v>
      </c>
      <c r="X438" s="21" t="s">
        <v>285</v>
      </c>
      <c r="Y438" s="21" t="s">
        <v>318</v>
      </c>
      <c r="Z438" s="21" t="s">
        <v>317</v>
      </c>
      <c r="AA438" s="21" t="s">
        <v>103</v>
      </c>
      <c r="AB438" s="21">
        <v>1</v>
      </c>
      <c r="AD438" s="24">
        <v>7.14</v>
      </c>
      <c r="AE438" s="24">
        <v>5.0599999999999996</v>
      </c>
      <c r="AF438" s="21" t="s">
        <v>322</v>
      </c>
      <c r="AG438" s="21" t="s">
        <v>301</v>
      </c>
    </row>
    <row r="439" spans="1:33">
      <c r="A439" s="21" t="s">
        <v>103</v>
      </c>
      <c r="B439" s="21" t="s">
        <v>607</v>
      </c>
      <c r="C439" s="25">
        <v>46067</v>
      </c>
      <c r="D439" s="21" t="s">
        <v>695</v>
      </c>
      <c r="E439" s="24">
        <v>7.14</v>
      </c>
      <c r="F439" s="24">
        <v>6.64</v>
      </c>
      <c r="G439" s="24">
        <f>E439-F439</f>
        <v>0.5</v>
      </c>
      <c r="H439" s="21" t="s">
        <v>289</v>
      </c>
      <c r="I439" s="21">
        <v>1</v>
      </c>
      <c r="J439" s="21">
        <v>8</v>
      </c>
      <c r="K439" s="21">
        <v>3</v>
      </c>
      <c r="P439" s="24">
        <f>J439+L439+N439</f>
        <v>8</v>
      </c>
      <c r="Q439" s="24">
        <f>K439+M439+O439</f>
        <v>3</v>
      </c>
      <c r="R439" s="24">
        <v>0.72727272727272729</v>
      </c>
      <c r="S439" s="21" t="s">
        <v>687</v>
      </c>
      <c r="T439" s="21" t="s">
        <v>402</v>
      </c>
      <c r="U439" s="21" t="s">
        <v>292</v>
      </c>
      <c r="V439" s="21" t="s">
        <v>286</v>
      </c>
      <c r="W439" s="21">
        <v>5</v>
      </c>
      <c r="X439" s="21" t="s">
        <v>285</v>
      </c>
      <c r="Y439" s="21" t="s">
        <v>318</v>
      </c>
      <c r="Z439" s="21" t="s">
        <v>317</v>
      </c>
      <c r="AA439" s="21" t="s">
        <v>103</v>
      </c>
      <c r="AB439" s="21">
        <v>1</v>
      </c>
      <c r="AD439" s="24">
        <v>7.14</v>
      </c>
      <c r="AE439" s="24">
        <v>6.64</v>
      </c>
      <c r="AF439" s="21" t="s">
        <v>322</v>
      </c>
      <c r="AG439" s="21" t="s">
        <v>301</v>
      </c>
    </row>
    <row r="440" spans="1:33">
      <c r="A440" s="21" t="s">
        <v>103</v>
      </c>
      <c r="B440" s="21" t="s">
        <v>607</v>
      </c>
      <c r="C440" s="25">
        <v>46067</v>
      </c>
      <c r="D440" s="21" t="s">
        <v>694</v>
      </c>
      <c r="E440" s="24">
        <v>7.14</v>
      </c>
      <c r="F440" s="24">
        <v>7.41</v>
      </c>
      <c r="G440" s="24">
        <f>E440-F440</f>
        <v>-0.27000000000000046</v>
      </c>
      <c r="H440" s="21" t="s">
        <v>294</v>
      </c>
      <c r="I440" s="21">
        <v>0</v>
      </c>
      <c r="J440" s="21">
        <v>4</v>
      </c>
      <c r="K440" s="21">
        <v>8</v>
      </c>
      <c r="P440" s="24">
        <f>J440+L440+N440</f>
        <v>4</v>
      </c>
      <c r="Q440" s="24">
        <f>K440+M440+O440</f>
        <v>8</v>
      </c>
      <c r="R440" s="24">
        <v>0.33333333333333331</v>
      </c>
      <c r="S440" s="21" t="s">
        <v>687</v>
      </c>
      <c r="U440" s="21" t="s">
        <v>292</v>
      </c>
      <c r="V440" s="21" t="s">
        <v>286</v>
      </c>
      <c r="W440" s="21">
        <v>5</v>
      </c>
      <c r="X440" s="21" t="s">
        <v>285</v>
      </c>
      <c r="Y440" s="21" t="s">
        <v>318</v>
      </c>
      <c r="Z440" s="21" t="s">
        <v>317</v>
      </c>
      <c r="AA440" s="21" t="s">
        <v>103</v>
      </c>
      <c r="AB440" s="21">
        <v>1</v>
      </c>
      <c r="AD440" s="24">
        <v>7.14</v>
      </c>
      <c r="AE440" s="24">
        <v>7.41</v>
      </c>
      <c r="AF440" s="21" t="s">
        <v>302</v>
      </c>
      <c r="AG440" s="21" t="s">
        <v>301</v>
      </c>
    </row>
    <row r="441" spans="1:33">
      <c r="A441" s="21" t="s">
        <v>103</v>
      </c>
      <c r="B441" s="21" t="s">
        <v>607</v>
      </c>
      <c r="C441" s="25">
        <v>46067</v>
      </c>
      <c r="D441" s="21" t="s">
        <v>693</v>
      </c>
      <c r="E441" s="24">
        <v>7.14</v>
      </c>
      <c r="F441" s="24">
        <v>7.36</v>
      </c>
      <c r="G441" s="24">
        <f>E441-F441</f>
        <v>-0.22000000000000064</v>
      </c>
      <c r="H441" s="21" t="s">
        <v>289</v>
      </c>
      <c r="I441" s="21">
        <v>1</v>
      </c>
      <c r="J441" s="21">
        <v>8</v>
      </c>
      <c r="K441" s="21">
        <v>6</v>
      </c>
      <c r="P441" s="24">
        <f>J441+L441+N441</f>
        <v>8</v>
      </c>
      <c r="Q441" s="24">
        <f>K441+M441+O441</f>
        <v>6</v>
      </c>
      <c r="R441" s="24">
        <v>0.5714285714285714</v>
      </c>
      <c r="S441" s="21" t="s">
        <v>687</v>
      </c>
      <c r="U441" s="21" t="s">
        <v>292</v>
      </c>
      <c r="V441" s="21" t="s">
        <v>286</v>
      </c>
      <c r="W441" s="21">
        <v>5</v>
      </c>
      <c r="X441" s="21" t="s">
        <v>285</v>
      </c>
      <c r="Y441" s="21" t="s">
        <v>318</v>
      </c>
      <c r="Z441" s="21" t="s">
        <v>317</v>
      </c>
      <c r="AA441" s="21" t="s">
        <v>103</v>
      </c>
      <c r="AB441" s="21">
        <v>1</v>
      </c>
      <c r="AD441" s="24">
        <v>7.14</v>
      </c>
      <c r="AE441" s="24">
        <v>7.36</v>
      </c>
      <c r="AF441" s="21" t="s">
        <v>304</v>
      </c>
      <c r="AG441" s="21" t="s">
        <v>303</v>
      </c>
    </row>
    <row r="442" spans="1:33">
      <c r="A442" s="21" t="s">
        <v>103</v>
      </c>
      <c r="B442" s="21" t="s">
        <v>607</v>
      </c>
      <c r="C442" s="25">
        <v>46074</v>
      </c>
      <c r="D442" s="21" t="s">
        <v>692</v>
      </c>
      <c r="E442" s="24">
        <v>7.14</v>
      </c>
      <c r="F442" s="24">
        <v>6.92</v>
      </c>
      <c r="G442" s="24">
        <f>E442-F442</f>
        <v>0.21999999999999975</v>
      </c>
      <c r="H442" s="21" t="s">
        <v>289</v>
      </c>
      <c r="I442" s="21">
        <v>1</v>
      </c>
      <c r="J442" s="21">
        <v>8</v>
      </c>
      <c r="K442" s="21">
        <v>3</v>
      </c>
      <c r="P442" s="24">
        <f>J442+L442+N442</f>
        <v>8</v>
      </c>
      <c r="Q442" s="24">
        <f>K442+M442+O442</f>
        <v>3</v>
      </c>
      <c r="R442" s="24">
        <v>0.72727272727272729</v>
      </c>
      <c r="S442" s="21" t="s">
        <v>687</v>
      </c>
      <c r="U442" s="21" t="s">
        <v>292</v>
      </c>
      <c r="V442" s="21" t="s">
        <v>286</v>
      </c>
      <c r="W442" s="21">
        <v>9</v>
      </c>
      <c r="X442" s="21" t="s">
        <v>285</v>
      </c>
      <c r="Y442" s="21" t="s">
        <v>318</v>
      </c>
      <c r="Z442" s="21" t="s">
        <v>317</v>
      </c>
      <c r="AA442" s="21" t="s">
        <v>103</v>
      </c>
      <c r="AB442" s="21">
        <v>1</v>
      </c>
      <c r="AD442" s="24">
        <v>7.14</v>
      </c>
      <c r="AE442" s="24">
        <v>6.92</v>
      </c>
      <c r="AF442" s="21" t="s">
        <v>302</v>
      </c>
      <c r="AG442" s="21" t="s">
        <v>301</v>
      </c>
    </row>
    <row r="443" spans="1:33">
      <c r="A443" s="21" t="s">
        <v>103</v>
      </c>
      <c r="B443" s="21" t="s">
        <v>607</v>
      </c>
      <c r="C443" s="25">
        <v>46081</v>
      </c>
      <c r="D443" s="21" t="s">
        <v>691</v>
      </c>
      <c r="E443" s="24">
        <v>7.14</v>
      </c>
      <c r="F443" s="24">
        <v>7.58</v>
      </c>
      <c r="G443" s="24">
        <f>E443-F443</f>
        <v>-0.44000000000000039</v>
      </c>
      <c r="H443" s="21" t="s">
        <v>289</v>
      </c>
      <c r="I443" s="21">
        <v>1</v>
      </c>
      <c r="J443" s="21">
        <v>4</v>
      </c>
      <c r="K443" s="21">
        <v>6</v>
      </c>
      <c r="L443" s="21">
        <v>6</v>
      </c>
      <c r="M443" s="21">
        <v>1</v>
      </c>
      <c r="N443" s="21">
        <v>1</v>
      </c>
      <c r="O443" s="21">
        <v>0</v>
      </c>
      <c r="P443" s="24">
        <f>J443+L443+N443</f>
        <v>11</v>
      </c>
      <c r="Q443" s="24">
        <f>K443+M443+O443</f>
        <v>7</v>
      </c>
      <c r="R443" s="24">
        <v>0.91603053435114501</v>
      </c>
      <c r="S443" s="21" t="s">
        <v>687</v>
      </c>
      <c r="T443" s="21" t="s">
        <v>316</v>
      </c>
      <c r="U443" s="21" t="s">
        <v>292</v>
      </c>
      <c r="V443" s="21" t="s">
        <v>286</v>
      </c>
      <c r="W443" s="21">
        <v>10</v>
      </c>
      <c r="X443" s="21" t="s">
        <v>285</v>
      </c>
      <c r="Y443" s="21" t="s">
        <v>318</v>
      </c>
      <c r="Z443" s="21" t="s">
        <v>317</v>
      </c>
      <c r="AA443" s="21" t="s">
        <v>103</v>
      </c>
      <c r="AB443" s="21">
        <v>1</v>
      </c>
      <c r="AD443" s="24">
        <v>7.14</v>
      </c>
      <c r="AE443" s="24">
        <v>7.58</v>
      </c>
      <c r="AF443" s="21" t="s">
        <v>304</v>
      </c>
      <c r="AG443" s="21" t="s">
        <v>303</v>
      </c>
    </row>
    <row r="444" spans="1:33">
      <c r="A444" s="21" t="s">
        <v>103</v>
      </c>
      <c r="B444" s="21" t="s">
        <v>607</v>
      </c>
      <c r="C444" s="25">
        <v>46081</v>
      </c>
      <c r="D444" s="21" t="s">
        <v>690</v>
      </c>
      <c r="E444" s="24">
        <v>7.14</v>
      </c>
      <c r="F444" s="24">
        <v>6.74</v>
      </c>
      <c r="G444" s="24">
        <f>E444-F444</f>
        <v>0.39999999999999947</v>
      </c>
      <c r="H444" s="21" t="s">
        <v>289</v>
      </c>
      <c r="I444" s="21">
        <v>1</v>
      </c>
      <c r="J444" s="21">
        <v>6</v>
      </c>
      <c r="K444" s="21">
        <v>2</v>
      </c>
      <c r="L444" s="21">
        <v>6</v>
      </c>
      <c r="M444" s="21">
        <v>2</v>
      </c>
      <c r="P444" s="24">
        <f>J444+L444+N444</f>
        <v>12</v>
      </c>
      <c r="Q444" s="24">
        <f>K444+M444+O444</f>
        <v>4</v>
      </c>
      <c r="R444" s="24">
        <v>0.75</v>
      </c>
      <c r="S444" s="21" t="s">
        <v>687</v>
      </c>
      <c r="T444" s="21" t="s">
        <v>365</v>
      </c>
      <c r="U444" s="21" t="s">
        <v>292</v>
      </c>
      <c r="V444" s="21" t="s">
        <v>286</v>
      </c>
      <c r="W444" s="21">
        <v>10</v>
      </c>
      <c r="X444" s="21" t="s">
        <v>285</v>
      </c>
      <c r="Y444" s="21" t="s">
        <v>318</v>
      </c>
      <c r="Z444" s="21" t="s">
        <v>317</v>
      </c>
      <c r="AA444" s="21" t="s">
        <v>103</v>
      </c>
      <c r="AB444" s="21">
        <v>1</v>
      </c>
      <c r="AD444" s="24">
        <v>7.14</v>
      </c>
      <c r="AE444" s="24">
        <v>6.74</v>
      </c>
      <c r="AF444" s="21" t="s">
        <v>304</v>
      </c>
      <c r="AG444" s="21" t="s">
        <v>303</v>
      </c>
    </row>
    <row r="445" spans="1:33">
      <c r="A445" s="21" t="s">
        <v>103</v>
      </c>
      <c r="B445" s="21" t="s">
        <v>607</v>
      </c>
      <c r="C445" s="25">
        <v>46081</v>
      </c>
      <c r="D445" s="21" t="s">
        <v>689</v>
      </c>
      <c r="E445" s="24">
        <v>7.14</v>
      </c>
      <c r="F445" s="24">
        <v>6.55</v>
      </c>
      <c r="G445" s="24">
        <f>E445-F445</f>
        <v>0.58999999999999986</v>
      </c>
      <c r="H445" s="21" t="s">
        <v>289</v>
      </c>
      <c r="I445" s="21">
        <v>1</v>
      </c>
      <c r="J445" s="21">
        <v>6</v>
      </c>
      <c r="K445" s="21">
        <v>4</v>
      </c>
      <c r="L445" s="21">
        <v>6</v>
      </c>
      <c r="M445" s="21">
        <v>1</v>
      </c>
      <c r="P445" s="24">
        <f>J445+L445+N445</f>
        <v>12</v>
      </c>
      <c r="Q445" s="24">
        <f>K445+M445+O445</f>
        <v>5</v>
      </c>
      <c r="R445" s="24">
        <v>0.70588235294117652</v>
      </c>
      <c r="S445" s="21" t="s">
        <v>687</v>
      </c>
      <c r="T445" s="21" t="s">
        <v>313</v>
      </c>
      <c r="U445" s="21" t="s">
        <v>292</v>
      </c>
      <c r="V445" s="21" t="s">
        <v>286</v>
      </c>
      <c r="W445" s="21">
        <v>10</v>
      </c>
      <c r="X445" s="21" t="s">
        <v>285</v>
      </c>
      <c r="Y445" s="21" t="s">
        <v>318</v>
      </c>
      <c r="Z445" s="21" t="s">
        <v>317</v>
      </c>
      <c r="AA445" s="21" t="s">
        <v>103</v>
      </c>
      <c r="AB445" s="21">
        <v>1</v>
      </c>
      <c r="AD445" s="24">
        <v>7.14</v>
      </c>
      <c r="AE445" s="24">
        <v>6.55</v>
      </c>
      <c r="AF445" s="21" t="s">
        <v>302</v>
      </c>
      <c r="AG445" s="21" t="s">
        <v>301</v>
      </c>
    </row>
    <row r="446" spans="1:33">
      <c r="A446" s="21" t="s">
        <v>103</v>
      </c>
      <c r="B446" s="21" t="s">
        <v>607</v>
      </c>
      <c r="C446" s="25">
        <v>46081</v>
      </c>
      <c r="D446" s="21" t="s">
        <v>688</v>
      </c>
      <c r="E446" s="24">
        <v>7.14</v>
      </c>
      <c r="F446" s="24">
        <v>8.02</v>
      </c>
      <c r="G446" s="24">
        <f>E446-F446</f>
        <v>-0.87999999999999989</v>
      </c>
      <c r="H446" s="21" t="s">
        <v>294</v>
      </c>
      <c r="I446" s="21">
        <v>0</v>
      </c>
      <c r="J446" s="21">
        <v>7</v>
      </c>
      <c r="K446" s="21">
        <v>6</v>
      </c>
      <c r="L446" s="21">
        <v>4</v>
      </c>
      <c r="M446" s="21">
        <v>6</v>
      </c>
      <c r="N446" s="21">
        <v>0</v>
      </c>
      <c r="O446" s="21">
        <v>1</v>
      </c>
      <c r="P446" s="24">
        <f>J446+L446+N446</f>
        <v>11</v>
      </c>
      <c r="Q446" s="24">
        <f>K446+M446+O446</f>
        <v>13</v>
      </c>
      <c r="R446" s="24">
        <v>0.32330827067669171</v>
      </c>
      <c r="S446" s="21" t="s">
        <v>687</v>
      </c>
      <c r="T446" s="21" t="s">
        <v>481</v>
      </c>
      <c r="U446" s="21" t="s">
        <v>292</v>
      </c>
      <c r="V446" s="21" t="s">
        <v>286</v>
      </c>
      <c r="W446" s="21">
        <v>10</v>
      </c>
      <c r="X446" s="21" t="s">
        <v>285</v>
      </c>
      <c r="Y446" s="21" t="s">
        <v>318</v>
      </c>
      <c r="Z446" s="21" t="s">
        <v>317</v>
      </c>
      <c r="AA446" s="21" t="s">
        <v>103</v>
      </c>
      <c r="AB446" s="21">
        <v>1</v>
      </c>
      <c r="AD446" s="24">
        <v>7.14</v>
      </c>
      <c r="AE446" s="24">
        <v>8.02</v>
      </c>
      <c r="AF446" s="21" t="s">
        <v>302</v>
      </c>
      <c r="AG446" s="21" t="s">
        <v>301</v>
      </c>
    </row>
    <row r="447" spans="1:33">
      <c r="A447" s="21" t="s">
        <v>103</v>
      </c>
      <c r="B447" s="21" t="s">
        <v>607</v>
      </c>
      <c r="C447" s="25">
        <v>46101.333333333336</v>
      </c>
      <c r="D447" s="21" t="s">
        <v>658</v>
      </c>
      <c r="E447" s="24">
        <v>7.09</v>
      </c>
      <c r="F447" s="24">
        <v>3.36</v>
      </c>
      <c r="G447" s="24">
        <f>E447-F447</f>
        <v>3.73</v>
      </c>
      <c r="H447" s="21" t="s">
        <v>289</v>
      </c>
      <c r="I447" s="21">
        <v>1</v>
      </c>
      <c r="J447" s="21">
        <v>6</v>
      </c>
      <c r="K447" s="21">
        <v>0</v>
      </c>
      <c r="L447" s="21">
        <v>6</v>
      </c>
      <c r="M447" s="21">
        <v>0</v>
      </c>
      <c r="P447" s="24">
        <f>J447+L447+N447</f>
        <v>12</v>
      </c>
      <c r="Q447" s="24">
        <f>K447+M447+O447</f>
        <v>0</v>
      </c>
      <c r="R447" s="24">
        <v>1</v>
      </c>
      <c r="S447" s="21" t="s">
        <v>399</v>
      </c>
      <c r="U447" s="21" t="s">
        <v>287</v>
      </c>
      <c r="V447" s="21" t="s">
        <v>286</v>
      </c>
      <c r="W447" s="21">
        <v>14</v>
      </c>
      <c r="X447" s="21" t="s">
        <v>285</v>
      </c>
      <c r="Y447" s="21" t="s">
        <v>318</v>
      </c>
      <c r="Z447" s="21" t="s">
        <v>317</v>
      </c>
      <c r="AA447" s="21" t="s">
        <v>103</v>
      </c>
      <c r="AB447" s="21">
        <v>1</v>
      </c>
      <c r="AD447" s="24">
        <v>7.14</v>
      </c>
      <c r="AE447" s="24">
        <v>3.36</v>
      </c>
      <c r="AF447" s="21" t="s">
        <v>302</v>
      </c>
      <c r="AG447" s="21" t="s">
        <v>301</v>
      </c>
    </row>
    <row r="448" spans="1:33">
      <c r="A448" s="21" t="s">
        <v>103</v>
      </c>
      <c r="B448" s="21" t="s">
        <v>607</v>
      </c>
      <c r="C448" s="25">
        <v>46105.625</v>
      </c>
      <c r="D448" s="21" t="s">
        <v>120</v>
      </c>
      <c r="E448" s="24">
        <v>7.11</v>
      </c>
      <c r="F448" s="24">
        <v>6.99</v>
      </c>
      <c r="G448" s="24">
        <f>E448-F448</f>
        <v>0.12000000000000011</v>
      </c>
      <c r="H448" s="21" t="s">
        <v>289</v>
      </c>
      <c r="I448" s="21">
        <v>1</v>
      </c>
      <c r="J448" s="21">
        <v>6</v>
      </c>
      <c r="K448" s="21">
        <v>1</v>
      </c>
      <c r="L448" s="21">
        <v>6</v>
      </c>
      <c r="M448" s="21">
        <v>3</v>
      </c>
      <c r="P448" s="24">
        <f>J448+L448+N448</f>
        <v>12</v>
      </c>
      <c r="Q448" s="24">
        <f>K448+M448+O448</f>
        <v>4</v>
      </c>
      <c r="R448" s="24">
        <v>0.75</v>
      </c>
      <c r="S448" s="21" t="s">
        <v>215</v>
      </c>
      <c r="U448" s="21" t="s">
        <v>412</v>
      </c>
      <c r="V448" s="21" t="s">
        <v>286</v>
      </c>
      <c r="W448" s="21">
        <v>15</v>
      </c>
      <c r="X448" s="21" t="s">
        <v>285</v>
      </c>
      <c r="Y448" s="21" t="s">
        <v>318</v>
      </c>
      <c r="Z448" s="21" t="s">
        <v>317</v>
      </c>
      <c r="AA448" s="21" t="s">
        <v>103</v>
      </c>
      <c r="AB448" s="21">
        <v>1</v>
      </c>
      <c r="AD448" s="24">
        <v>7.14</v>
      </c>
      <c r="AE448" s="24">
        <v>6.5</v>
      </c>
      <c r="AF448" s="21" t="s">
        <v>302</v>
      </c>
      <c r="AG448" s="21" t="s">
        <v>301</v>
      </c>
    </row>
    <row r="449" spans="1:33">
      <c r="A449" s="21" t="s">
        <v>103</v>
      </c>
      <c r="B449" s="21" t="s">
        <v>607</v>
      </c>
      <c r="C449" s="25">
        <v>46107.666666666664</v>
      </c>
      <c r="D449" s="21" t="s">
        <v>686</v>
      </c>
      <c r="E449" s="24">
        <v>7.11</v>
      </c>
      <c r="F449" s="24">
        <v>6.32</v>
      </c>
      <c r="G449" s="24">
        <f>E449-F449</f>
        <v>0.79</v>
      </c>
      <c r="H449" s="21" t="s">
        <v>289</v>
      </c>
      <c r="I449" s="21">
        <v>1</v>
      </c>
      <c r="J449" s="21">
        <v>7</v>
      </c>
      <c r="K449" s="21">
        <v>6</v>
      </c>
      <c r="L449" s="21">
        <v>6</v>
      </c>
      <c r="M449" s="21">
        <v>1</v>
      </c>
      <c r="P449" s="24">
        <f>J449+L449+N449</f>
        <v>13</v>
      </c>
      <c r="Q449" s="24">
        <f>K449+M449+O449</f>
        <v>7</v>
      </c>
      <c r="R449" s="24">
        <v>0.57241379310344831</v>
      </c>
      <c r="S449" s="21" t="s">
        <v>200</v>
      </c>
      <c r="U449" s="21" t="s">
        <v>287</v>
      </c>
      <c r="V449" s="21" t="s">
        <v>286</v>
      </c>
      <c r="W449" s="21">
        <v>16</v>
      </c>
      <c r="X449" s="21" t="s">
        <v>285</v>
      </c>
      <c r="Y449" s="21" t="s">
        <v>318</v>
      </c>
      <c r="Z449" s="21" t="s">
        <v>317</v>
      </c>
      <c r="AA449" s="21" t="s">
        <v>103</v>
      </c>
      <c r="AB449" s="21">
        <v>1</v>
      </c>
      <c r="AD449" s="24">
        <v>7.14</v>
      </c>
      <c r="AE449" s="24">
        <v>6.32</v>
      </c>
      <c r="AF449" s="21" t="s">
        <v>304</v>
      </c>
      <c r="AG449" s="21" t="s">
        <v>303</v>
      </c>
    </row>
    <row r="450" spans="1:33">
      <c r="A450" s="21" t="s">
        <v>103</v>
      </c>
      <c r="B450" s="21" t="s">
        <v>607</v>
      </c>
      <c r="C450" s="25">
        <v>46108.645833333336</v>
      </c>
      <c r="D450" s="21" t="s">
        <v>121</v>
      </c>
      <c r="E450" s="24">
        <v>7.11</v>
      </c>
      <c r="F450" s="24">
        <v>6.37</v>
      </c>
      <c r="G450" s="24">
        <f>E450-F450</f>
        <v>0.74000000000000021</v>
      </c>
      <c r="H450" s="21" t="s">
        <v>289</v>
      </c>
      <c r="I450" s="21">
        <v>1</v>
      </c>
      <c r="J450" s="21">
        <v>6</v>
      </c>
      <c r="K450" s="21">
        <v>1</v>
      </c>
      <c r="L450" s="21">
        <v>6</v>
      </c>
      <c r="M450" s="21">
        <v>0</v>
      </c>
      <c r="P450" s="24">
        <f>J450+L450+N450</f>
        <v>12</v>
      </c>
      <c r="Q450" s="24">
        <f>K450+M450+O450</f>
        <v>1</v>
      </c>
      <c r="R450" s="24">
        <v>0.92307692307692313</v>
      </c>
      <c r="S450" s="21" t="s">
        <v>190</v>
      </c>
      <c r="U450" s="21" t="s">
        <v>287</v>
      </c>
      <c r="V450" s="21" t="s">
        <v>286</v>
      </c>
      <c r="W450" s="21">
        <v>17</v>
      </c>
      <c r="X450" s="21" t="s">
        <v>285</v>
      </c>
      <c r="Y450" s="21" t="s">
        <v>318</v>
      </c>
      <c r="Z450" s="21" t="s">
        <v>317</v>
      </c>
      <c r="AA450" s="21" t="s">
        <v>103</v>
      </c>
      <c r="AB450" s="21">
        <v>1</v>
      </c>
      <c r="AD450" s="24">
        <v>7.14</v>
      </c>
      <c r="AE450" s="24">
        <v>6.03</v>
      </c>
      <c r="AF450" s="21" t="s">
        <v>304</v>
      </c>
      <c r="AG450" s="21" t="s">
        <v>303</v>
      </c>
    </row>
    <row r="451" spans="1:33">
      <c r="A451" s="21" t="s">
        <v>103</v>
      </c>
      <c r="B451" s="21" t="s">
        <v>607</v>
      </c>
      <c r="C451" s="25">
        <v>46113.645833333336</v>
      </c>
      <c r="D451" s="21" t="s">
        <v>496</v>
      </c>
      <c r="E451" s="24">
        <v>7.14</v>
      </c>
      <c r="F451" s="24">
        <v>4.88</v>
      </c>
      <c r="G451" s="24">
        <f>E451-F451</f>
        <v>2.2599999999999998</v>
      </c>
      <c r="H451" s="21" t="s">
        <v>289</v>
      </c>
      <c r="I451" s="21">
        <v>1</v>
      </c>
      <c r="J451" s="21">
        <v>6</v>
      </c>
      <c r="K451" s="21">
        <v>3</v>
      </c>
      <c r="L451" s="21">
        <v>6</v>
      </c>
      <c r="M451" s="21">
        <v>0</v>
      </c>
      <c r="P451" s="24">
        <f>J451+L451+N451</f>
        <v>12</v>
      </c>
      <c r="Q451" s="24">
        <f>K451+M451+O451</f>
        <v>3</v>
      </c>
      <c r="R451" s="24">
        <v>0.8</v>
      </c>
      <c r="S451" s="21" t="s">
        <v>464</v>
      </c>
      <c r="U451" s="21" t="s">
        <v>287</v>
      </c>
      <c r="V451" s="21" t="s">
        <v>286</v>
      </c>
      <c r="W451" s="21">
        <v>18</v>
      </c>
      <c r="X451" s="21" t="s">
        <v>285</v>
      </c>
      <c r="Y451" s="21" t="s">
        <v>318</v>
      </c>
      <c r="Z451" s="21" t="s">
        <v>317</v>
      </c>
      <c r="AA451" s="21" t="s">
        <v>103</v>
      </c>
      <c r="AB451" s="21">
        <v>1</v>
      </c>
      <c r="AD451" s="24">
        <v>7.14</v>
      </c>
      <c r="AE451" s="24">
        <v>4.97</v>
      </c>
      <c r="AF451" s="21" t="s">
        <v>304</v>
      </c>
      <c r="AG451" s="21" t="s">
        <v>303</v>
      </c>
    </row>
    <row r="452" spans="1:33">
      <c r="A452" s="21" t="s">
        <v>103</v>
      </c>
      <c r="B452" s="21" t="s">
        <v>607</v>
      </c>
      <c r="C452" s="25">
        <v>46116</v>
      </c>
      <c r="D452" s="21" t="s">
        <v>685</v>
      </c>
      <c r="E452" s="24">
        <v>7.14</v>
      </c>
      <c r="F452" s="24">
        <v>6.93</v>
      </c>
      <c r="G452" s="24">
        <f>E452-F452</f>
        <v>0.20999999999999996</v>
      </c>
      <c r="H452" s="21" t="s">
        <v>294</v>
      </c>
      <c r="I452" s="21">
        <v>0</v>
      </c>
      <c r="J452" s="21">
        <v>5</v>
      </c>
      <c r="K452" s="21">
        <v>7</v>
      </c>
      <c r="L452" s="21">
        <v>6</v>
      </c>
      <c r="M452" s="21">
        <v>4</v>
      </c>
      <c r="N452" s="21">
        <v>0</v>
      </c>
      <c r="O452" s="21">
        <v>1</v>
      </c>
      <c r="P452" s="24">
        <f>J452+L452+N452</f>
        <v>11</v>
      </c>
      <c r="Q452" s="24">
        <f>K452+M452+O452</f>
        <v>12</v>
      </c>
      <c r="R452" s="24">
        <v>0.11029411764705882</v>
      </c>
      <c r="S452" s="21" t="s">
        <v>683</v>
      </c>
      <c r="T452" s="21" t="s">
        <v>313</v>
      </c>
      <c r="U452" s="21" t="s">
        <v>292</v>
      </c>
      <c r="V452" s="21" t="s">
        <v>286</v>
      </c>
      <c r="W452" s="21">
        <v>19</v>
      </c>
      <c r="X452" s="21" t="s">
        <v>285</v>
      </c>
      <c r="Y452" s="21" t="s">
        <v>318</v>
      </c>
      <c r="Z452" s="21" t="s">
        <v>317</v>
      </c>
      <c r="AA452" s="21" t="s">
        <v>103</v>
      </c>
      <c r="AB452" s="21">
        <v>1</v>
      </c>
      <c r="AD452" s="24">
        <v>7.14</v>
      </c>
      <c r="AE452" s="24">
        <v>6.93</v>
      </c>
      <c r="AF452" s="21" t="s">
        <v>304</v>
      </c>
      <c r="AG452" s="21" t="s">
        <v>303</v>
      </c>
    </row>
    <row r="453" spans="1:33">
      <c r="A453" s="21" t="s">
        <v>103</v>
      </c>
      <c r="B453" s="21" t="s">
        <v>607</v>
      </c>
      <c r="C453" s="25">
        <v>46116</v>
      </c>
      <c r="D453" s="21" t="s">
        <v>684</v>
      </c>
      <c r="E453" s="24">
        <v>7.14</v>
      </c>
      <c r="F453" s="24">
        <v>5.72</v>
      </c>
      <c r="G453" s="24">
        <f>E453-F453</f>
        <v>1.42</v>
      </c>
      <c r="H453" s="21" t="s">
        <v>289</v>
      </c>
      <c r="I453" s="21">
        <v>1</v>
      </c>
      <c r="J453" s="21">
        <v>6</v>
      </c>
      <c r="K453" s="21">
        <v>0</v>
      </c>
      <c r="L453" s="21">
        <v>6</v>
      </c>
      <c r="M453" s="21">
        <v>2</v>
      </c>
      <c r="P453" s="24">
        <f>J453+L453+N453</f>
        <v>12</v>
      </c>
      <c r="Q453" s="24">
        <f>K453+M453+O453</f>
        <v>2</v>
      </c>
      <c r="R453" s="24">
        <v>0.8571428571428571</v>
      </c>
      <c r="S453" s="21" t="s">
        <v>683</v>
      </c>
      <c r="T453" s="21" t="s">
        <v>365</v>
      </c>
      <c r="U453" s="21" t="s">
        <v>292</v>
      </c>
      <c r="V453" s="21" t="s">
        <v>286</v>
      </c>
      <c r="W453" s="21">
        <v>19</v>
      </c>
      <c r="X453" s="21" t="s">
        <v>285</v>
      </c>
      <c r="Y453" s="21" t="s">
        <v>318</v>
      </c>
      <c r="Z453" s="21" t="s">
        <v>317</v>
      </c>
      <c r="AA453" s="21" t="s">
        <v>103</v>
      </c>
      <c r="AB453" s="21">
        <v>1</v>
      </c>
      <c r="AD453" s="24">
        <v>7.14</v>
      </c>
      <c r="AE453" s="24">
        <v>5.72</v>
      </c>
      <c r="AF453" s="21" t="s">
        <v>304</v>
      </c>
      <c r="AG453" s="21" t="s">
        <v>303</v>
      </c>
    </row>
    <row r="454" spans="1:33">
      <c r="A454" s="21" t="s">
        <v>103</v>
      </c>
      <c r="B454" s="21" t="s">
        <v>607</v>
      </c>
      <c r="C454" s="25">
        <v>46118.645833333336</v>
      </c>
      <c r="D454" s="21" t="s">
        <v>138</v>
      </c>
      <c r="E454" s="24">
        <v>7.14</v>
      </c>
      <c r="F454" s="24">
        <v>7.45</v>
      </c>
      <c r="G454" s="24">
        <f>E454-F454</f>
        <v>-0.3100000000000005</v>
      </c>
      <c r="H454" s="21" t="s">
        <v>294</v>
      </c>
      <c r="I454" s="21">
        <v>0</v>
      </c>
      <c r="J454" s="21">
        <v>2</v>
      </c>
      <c r="K454" s="21">
        <v>6</v>
      </c>
      <c r="L454" s="21">
        <v>6</v>
      </c>
      <c r="M454" s="21">
        <v>4</v>
      </c>
      <c r="N454" s="21">
        <v>0</v>
      </c>
      <c r="O454" s="21">
        <v>1</v>
      </c>
      <c r="P454" s="24">
        <f>J454+L454+N454</f>
        <v>8</v>
      </c>
      <c r="Q454" s="24">
        <f>K454+M454+O454</f>
        <v>11</v>
      </c>
      <c r="R454" s="24">
        <v>6.9767441860465115E-2</v>
      </c>
      <c r="S454" s="21" t="s">
        <v>168</v>
      </c>
      <c r="U454" s="21" t="s">
        <v>287</v>
      </c>
      <c r="V454" s="21" t="s">
        <v>286</v>
      </c>
      <c r="W454" s="21">
        <v>21</v>
      </c>
      <c r="X454" s="21" t="s">
        <v>285</v>
      </c>
      <c r="Y454" s="21" t="s">
        <v>318</v>
      </c>
      <c r="Z454" s="21" t="s">
        <v>317</v>
      </c>
      <c r="AA454" s="21" t="s">
        <v>103</v>
      </c>
      <c r="AB454" s="21">
        <v>1</v>
      </c>
      <c r="AD454" s="24">
        <v>7.14</v>
      </c>
      <c r="AE454" s="24">
        <v>7.45</v>
      </c>
      <c r="AF454" s="21" t="s">
        <v>302</v>
      </c>
      <c r="AG454" s="21" t="s">
        <v>301</v>
      </c>
    </row>
    <row r="455" spans="1:33">
      <c r="A455" s="21" t="s">
        <v>103</v>
      </c>
      <c r="B455" s="21" t="s">
        <v>607</v>
      </c>
      <c r="C455" s="25">
        <v>46123</v>
      </c>
      <c r="D455" s="21" t="s">
        <v>364</v>
      </c>
      <c r="E455" s="24">
        <v>7.18</v>
      </c>
      <c r="F455" s="24">
        <v>7.3</v>
      </c>
      <c r="G455" s="24">
        <f>E455-F455</f>
        <v>-0.12000000000000011</v>
      </c>
      <c r="H455" s="21" t="s">
        <v>294</v>
      </c>
      <c r="I455" s="21">
        <v>0</v>
      </c>
      <c r="J455" s="21">
        <v>4</v>
      </c>
      <c r="K455" s="21">
        <v>6</v>
      </c>
      <c r="L455" s="21">
        <v>2</v>
      </c>
      <c r="M455" s="21">
        <v>6</v>
      </c>
      <c r="P455" s="24">
        <f>J455+L455+N455</f>
        <v>6</v>
      </c>
      <c r="Q455" s="24">
        <f>K455+M455+O455</f>
        <v>12</v>
      </c>
      <c r="R455" s="24">
        <v>0.33333333333333331</v>
      </c>
      <c r="S455" s="21" t="s">
        <v>353</v>
      </c>
      <c r="T455" s="21" t="s">
        <v>297</v>
      </c>
      <c r="U455" s="21" t="s">
        <v>292</v>
      </c>
      <c r="V455" s="21" t="s">
        <v>286</v>
      </c>
      <c r="W455" s="21">
        <v>22</v>
      </c>
      <c r="X455" s="21" t="s">
        <v>285</v>
      </c>
      <c r="Y455" s="21" t="s">
        <v>318</v>
      </c>
      <c r="Z455" s="21" t="s">
        <v>317</v>
      </c>
      <c r="AA455" s="21" t="s">
        <v>103</v>
      </c>
      <c r="AB455" s="21">
        <v>1</v>
      </c>
      <c r="AD455" s="24">
        <v>7.14</v>
      </c>
      <c r="AE455" s="24">
        <v>7.3</v>
      </c>
      <c r="AF455" s="21" t="s">
        <v>302</v>
      </c>
      <c r="AG455" s="21" t="s">
        <v>301</v>
      </c>
    </row>
    <row r="456" spans="1:33">
      <c r="A456" s="21" t="s">
        <v>103</v>
      </c>
      <c r="B456" s="21" t="s">
        <v>607</v>
      </c>
      <c r="C456" s="25">
        <v>46123</v>
      </c>
      <c r="D456" s="21" t="s">
        <v>128</v>
      </c>
      <c r="E456" s="24">
        <v>7.18</v>
      </c>
      <c r="F456" s="24">
        <v>6.69</v>
      </c>
      <c r="G456" s="24">
        <f>E456-F456</f>
        <v>0.48999999999999932</v>
      </c>
      <c r="H456" s="21" t="s">
        <v>294</v>
      </c>
      <c r="I456" s="21">
        <v>0</v>
      </c>
      <c r="J456" s="21">
        <v>2</v>
      </c>
      <c r="K456" s="21">
        <v>4</v>
      </c>
      <c r="L456" s="21">
        <v>2</v>
      </c>
      <c r="M456" s="21">
        <v>4</v>
      </c>
      <c r="P456" s="24">
        <f>J456+L456+N456</f>
        <v>4</v>
      </c>
      <c r="Q456" s="24">
        <f>K456+M456+O456</f>
        <v>8</v>
      </c>
      <c r="R456" s="24">
        <v>0.33333333333333331</v>
      </c>
      <c r="S456" s="21" t="s">
        <v>353</v>
      </c>
      <c r="T456" s="21" t="s">
        <v>544</v>
      </c>
      <c r="U456" s="21" t="s">
        <v>292</v>
      </c>
      <c r="V456" s="21" t="s">
        <v>286</v>
      </c>
      <c r="W456" s="21">
        <v>22</v>
      </c>
      <c r="X456" s="21" t="s">
        <v>285</v>
      </c>
      <c r="Y456" s="21" t="s">
        <v>318</v>
      </c>
      <c r="Z456" s="21" t="s">
        <v>317</v>
      </c>
      <c r="AA456" s="21" t="s">
        <v>103</v>
      </c>
      <c r="AB456" s="21">
        <v>1</v>
      </c>
      <c r="AD456" s="24">
        <v>7.14</v>
      </c>
      <c r="AE456" s="24">
        <v>6.89</v>
      </c>
      <c r="AF456" s="21" t="s">
        <v>302</v>
      </c>
      <c r="AG456" s="21" t="s">
        <v>301</v>
      </c>
    </row>
    <row r="457" spans="1:33">
      <c r="A457" s="21" t="s">
        <v>103</v>
      </c>
      <c r="B457" s="21" t="s">
        <v>607</v>
      </c>
      <c r="C457" s="25">
        <v>46125.645833333336</v>
      </c>
      <c r="D457" s="21" t="s">
        <v>110</v>
      </c>
      <c r="E457" s="24">
        <v>7.18</v>
      </c>
      <c r="F457" s="24">
        <v>6.87</v>
      </c>
      <c r="G457" s="24">
        <f>E457-F457</f>
        <v>0.30999999999999961</v>
      </c>
      <c r="H457" s="21" t="s">
        <v>294</v>
      </c>
      <c r="I457" s="21">
        <v>0</v>
      </c>
      <c r="J457" s="21">
        <v>3</v>
      </c>
      <c r="K457" s="21">
        <v>6</v>
      </c>
      <c r="L457" s="21">
        <v>6</v>
      </c>
      <c r="M457" s="21">
        <v>3</v>
      </c>
      <c r="N457" s="21">
        <v>6</v>
      </c>
      <c r="O457" s="21">
        <v>7</v>
      </c>
      <c r="P457" s="24">
        <f>J457+L457+N457</f>
        <v>15</v>
      </c>
      <c r="Q457" s="24">
        <f>K457+M457+O457</f>
        <v>16</v>
      </c>
      <c r="R457" s="24">
        <f>P457/(P457+Q457)</f>
        <v>0.4838709677419355</v>
      </c>
      <c r="S457" s="21" t="s">
        <v>118</v>
      </c>
      <c r="U457" s="21" t="s">
        <v>287</v>
      </c>
      <c r="V457" s="21" t="s">
        <v>286</v>
      </c>
      <c r="W457" s="21">
        <v>24</v>
      </c>
      <c r="X457" s="21" t="s">
        <v>285</v>
      </c>
      <c r="Y457" s="21" t="s">
        <v>318</v>
      </c>
      <c r="Z457" s="21" t="s">
        <v>317</v>
      </c>
      <c r="AA457" s="21" t="s">
        <v>103</v>
      </c>
      <c r="AB457" s="21">
        <v>1</v>
      </c>
      <c r="AD457" s="24">
        <v>7.14</v>
      </c>
      <c r="AE457" s="24">
        <v>6.98</v>
      </c>
      <c r="AF457" s="21" t="s">
        <v>322</v>
      </c>
      <c r="AG457" s="21" t="s">
        <v>301</v>
      </c>
    </row>
    <row r="458" spans="1:33">
      <c r="A458" s="21" t="s">
        <v>103</v>
      </c>
      <c r="B458" s="21" t="s">
        <v>607</v>
      </c>
      <c r="C458" s="25">
        <v>46127.645833333336</v>
      </c>
      <c r="D458" s="21" t="s">
        <v>9</v>
      </c>
      <c r="E458" s="24">
        <v>7.21</v>
      </c>
      <c r="F458" s="24">
        <v>7.52</v>
      </c>
      <c r="G458" s="24">
        <f>E458-F458</f>
        <v>-0.30999999999999961</v>
      </c>
      <c r="H458" s="21" t="s">
        <v>294</v>
      </c>
      <c r="I458" s="21">
        <v>0</v>
      </c>
      <c r="J458" s="21">
        <v>4</v>
      </c>
      <c r="K458" s="21">
        <v>6</v>
      </c>
      <c r="L458" s="21">
        <v>0</v>
      </c>
      <c r="M458" s="21">
        <v>6</v>
      </c>
      <c r="P458" s="24">
        <f>J458+L458+N458</f>
        <v>4</v>
      </c>
      <c r="Q458" s="24">
        <f>K458+M458+O458</f>
        <v>12</v>
      </c>
      <c r="R458" s="24">
        <f>P458/(P458+Q458)</f>
        <v>0.25</v>
      </c>
      <c r="S458" s="21" t="s">
        <v>95</v>
      </c>
      <c r="U458" s="21" t="s">
        <v>287</v>
      </c>
      <c r="V458" s="21" t="s">
        <v>286</v>
      </c>
      <c r="W458" s="21">
        <v>25</v>
      </c>
      <c r="X458" s="21" t="s">
        <v>285</v>
      </c>
      <c r="Y458" s="21" t="s">
        <v>318</v>
      </c>
      <c r="Z458" s="21" t="s">
        <v>317</v>
      </c>
      <c r="AA458" s="21" t="s">
        <v>103</v>
      </c>
      <c r="AB458" s="21">
        <v>1</v>
      </c>
      <c r="AD458" s="24">
        <v>7.14</v>
      </c>
      <c r="AE458" s="24">
        <v>7.82</v>
      </c>
      <c r="AF458" s="21" t="s">
        <v>302</v>
      </c>
      <c r="AG458" s="21" t="s">
        <v>301</v>
      </c>
    </row>
    <row r="459" spans="1:33">
      <c r="A459" s="21" t="s">
        <v>103</v>
      </c>
      <c r="B459" s="21" t="s">
        <v>607</v>
      </c>
      <c r="C459" s="25">
        <v>46134.625</v>
      </c>
      <c r="D459" s="21" t="s">
        <v>170</v>
      </c>
      <c r="E459" s="24">
        <v>7.13</v>
      </c>
      <c r="F459" s="24">
        <v>5.86</v>
      </c>
      <c r="G459" s="24">
        <f>E459-F459</f>
        <v>1.2699999999999996</v>
      </c>
      <c r="H459" s="21" t="s">
        <v>289</v>
      </c>
      <c r="I459" s="21">
        <v>1</v>
      </c>
      <c r="J459" s="21">
        <v>6</v>
      </c>
      <c r="K459" s="21">
        <v>3</v>
      </c>
      <c r="L459" s="21">
        <v>6</v>
      </c>
      <c r="M459" s="21">
        <v>2</v>
      </c>
      <c r="P459" s="24">
        <f>J459+L459+N459</f>
        <v>12</v>
      </c>
      <c r="Q459" s="24">
        <f>K459+M459+O459</f>
        <v>5</v>
      </c>
      <c r="R459" s="24">
        <f>P459/(P459+Q459)</f>
        <v>0.70588235294117652</v>
      </c>
      <c r="S459" s="21" t="s">
        <v>62</v>
      </c>
      <c r="U459" s="21" t="s">
        <v>287</v>
      </c>
      <c r="V459" s="21" t="s">
        <v>286</v>
      </c>
      <c r="W459" s="21">
        <v>26</v>
      </c>
      <c r="X459" s="21" t="s">
        <v>285</v>
      </c>
      <c r="Y459" s="21" t="s">
        <v>318</v>
      </c>
      <c r="Z459" s="21" t="s">
        <v>317</v>
      </c>
      <c r="AA459" s="21" t="s">
        <v>103</v>
      </c>
      <c r="AB459" s="21">
        <v>1</v>
      </c>
      <c r="AD459" s="24">
        <v>7.14</v>
      </c>
      <c r="AE459" s="24">
        <v>6.27</v>
      </c>
      <c r="AF459" s="21" t="s">
        <v>302</v>
      </c>
      <c r="AG459" s="21" t="s">
        <v>301</v>
      </c>
    </row>
    <row r="460" spans="1:33">
      <c r="A460" s="21" t="s">
        <v>103</v>
      </c>
      <c r="B460" s="21" t="s">
        <v>607</v>
      </c>
      <c r="C460" s="25">
        <v>46136.625</v>
      </c>
      <c r="D460" s="21" t="s">
        <v>206</v>
      </c>
      <c r="E460" s="24">
        <v>7.13</v>
      </c>
      <c r="F460" s="24">
        <v>5.72</v>
      </c>
      <c r="G460" s="24">
        <f>E460-F460</f>
        <v>1.4100000000000001</v>
      </c>
      <c r="H460" s="21" t="s">
        <v>289</v>
      </c>
      <c r="I460" s="21">
        <v>1</v>
      </c>
      <c r="J460" s="21">
        <v>6</v>
      </c>
      <c r="K460" s="21">
        <v>1</v>
      </c>
      <c r="L460" s="21">
        <v>6</v>
      </c>
      <c r="M460" s="21">
        <v>0</v>
      </c>
      <c r="P460" s="24">
        <f>J460+L460+N460</f>
        <v>12</v>
      </c>
      <c r="Q460" s="24">
        <f>K460+M460+O460</f>
        <v>1</v>
      </c>
      <c r="R460" s="24">
        <v>0.92307692307692313</v>
      </c>
      <c r="S460" s="21" t="s">
        <v>51</v>
      </c>
      <c r="U460" s="21" t="s">
        <v>287</v>
      </c>
      <c r="V460" s="21" t="s">
        <v>286</v>
      </c>
      <c r="W460" s="21">
        <v>27</v>
      </c>
      <c r="X460" s="21" t="s">
        <v>285</v>
      </c>
      <c r="Y460" s="21" t="s">
        <v>318</v>
      </c>
      <c r="Z460" s="21" t="s">
        <v>317</v>
      </c>
      <c r="AA460" s="21" t="s">
        <v>103</v>
      </c>
      <c r="AB460" s="21">
        <v>1</v>
      </c>
      <c r="AD460" s="24">
        <v>7.14</v>
      </c>
      <c r="AE460" s="24">
        <v>5.62</v>
      </c>
      <c r="AF460" s="21" t="s">
        <v>304</v>
      </c>
      <c r="AG460" s="21" t="s">
        <v>303</v>
      </c>
    </row>
    <row r="461" spans="1:33">
      <c r="A461" s="21" t="s">
        <v>103</v>
      </c>
      <c r="B461" s="21" t="s">
        <v>607</v>
      </c>
      <c r="C461" s="25">
        <v>46186</v>
      </c>
      <c r="D461" s="21" t="s">
        <v>682</v>
      </c>
      <c r="E461" s="24">
        <v>7.12</v>
      </c>
      <c r="F461" s="24">
        <v>6.53</v>
      </c>
      <c r="G461" s="24">
        <f>E461-F461</f>
        <v>0.58999999999999986</v>
      </c>
      <c r="H461" s="21" t="s">
        <v>289</v>
      </c>
      <c r="I461" s="21">
        <v>1</v>
      </c>
      <c r="J461" s="21">
        <v>6</v>
      </c>
      <c r="K461" s="21">
        <v>2</v>
      </c>
      <c r="L461" s="21">
        <v>6</v>
      </c>
      <c r="M461" s="21">
        <v>2</v>
      </c>
      <c r="P461" s="24">
        <f>J461+L461+N461</f>
        <v>12</v>
      </c>
      <c r="Q461" s="24">
        <f>K461+M461+O461</f>
        <v>4</v>
      </c>
      <c r="R461" s="24">
        <v>0.75</v>
      </c>
      <c r="S461" s="21" t="s">
        <v>374</v>
      </c>
      <c r="T461" s="21" t="s">
        <v>313</v>
      </c>
      <c r="U461" s="21" t="s">
        <v>292</v>
      </c>
      <c r="V461" s="21" t="s">
        <v>286</v>
      </c>
      <c r="W461" s="21">
        <v>28</v>
      </c>
      <c r="X461" s="21" t="s">
        <v>285</v>
      </c>
      <c r="Y461" s="21" t="s">
        <v>318</v>
      </c>
      <c r="Z461" s="21" t="s">
        <v>317</v>
      </c>
      <c r="AA461" s="21" t="s">
        <v>103</v>
      </c>
      <c r="AB461" s="21">
        <v>1</v>
      </c>
      <c r="AD461" s="24">
        <v>7.14</v>
      </c>
      <c r="AE461" s="24">
        <v>6.53</v>
      </c>
      <c r="AF461" s="21" t="s">
        <v>304</v>
      </c>
      <c r="AG461" s="21" t="s">
        <v>303</v>
      </c>
    </row>
    <row r="462" spans="1:33">
      <c r="A462" s="21" t="s">
        <v>103</v>
      </c>
      <c r="B462" s="21" t="s">
        <v>607</v>
      </c>
      <c r="C462" s="25">
        <v>46186</v>
      </c>
      <c r="D462" s="21" t="s">
        <v>681</v>
      </c>
      <c r="E462" s="24">
        <v>7.12</v>
      </c>
      <c r="F462" s="24">
        <v>7.92</v>
      </c>
      <c r="G462" s="24">
        <f>E462-F462</f>
        <v>-0.79999999999999982</v>
      </c>
      <c r="H462" s="21" t="s">
        <v>294</v>
      </c>
      <c r="I462" s="21">
        <v>0</v>
      </c>
      <c r="J462" s="21">
        <v>1</v>
      </c>
      <c r="K462" s="21">
        <v>6</v>
      </c>
      <c r="L462" s="21">
        <v>2</v>
      </c>
      <c r="M462" s="21">
        <v>6</v>
      </c>
      <c r="P462" s="24">
        <f>J462+L462+N462</f>
        <v>3</v>
      </c>
      <c r="Q462" s="24">
        <f>K462+M462+O462</f>
        <v>12</v>
      </c>
      <c r="R462" s="24">
        <v>0.2</v>
      </c>
      <c r="S462" s="21" t="s">
        <v>374</v>
      </c>
      <c r="T462" s="21" t="s">
        <v>316</v>
      </c>
      <c r="U462" s="21" t="s">
        <v>292</v>
      </c>
      <c r="V462" s="21" t="s">
        <v>286</v>
      </c>
      <c r="W462" s="21">
        <v>28</v>
      </c>
      <c r="X462" s="21" t="s">
        <v>285</v>
      </c>
      <c r="Y462" s="21" t="s">
        <v>318</v>
      </c>
      <c r="Z462" s="21" t="s">
        <v>317</v>
      </c>
      <c r="AA462" s="21" t="s">
        <v>103</v>
      </c>
      <c r="AB462" s="21">
        <v>1</v>
      </c>
      <c r="AD462" s="24">
        <v>7.14</v>
      </c>
      <c r="AE462" s="24">
        <v>7.92</v>
      </c>
      <c r="AF462" s="21" t="s">
        <v>304</v>
      </c>
      <c r="AG462" s="21" t="s">
        <v>303</v>
      </c>
    </row>
    <row r="463" spans="1:33">
      <c r="A463" s="21" t="s">
        <v>103</v>
      </c>
      <c r="B463" s="21" t="s">
        <v>607</v>
      </c>
      <c r="C463" s="25">
        <v>46186</v>
      </c>
      <c r="D463" s="21" t="s">
        <v>680</v>
      </c>
      <c r="E463" s="24">
        <v>7.12</v>
      </c>
      <c r="F463" s="24">
        <v>6.18</v>
      </c>
      <c r="G463" s="24">
        <f>E463-F463</f>
        <v>0.94000000000000039</v>
      </c>
      <c r="H463" s="21" t="s">
        <v>289</v>
      </c>
      <c r="I463" s="21">
        <v>1</v>
      </c>
      <c r="J463" s="21">
        <v>7</v>
      </c>
      <c r="K463" s="21">
        <v>5</v>
      </c>
      <c r="L463" s="21">
        <v>4</v>
      </c>
      <c r="M463" s="21">
        <v>6</v>
      </c>
      <c r="N463" s="21">
        <v>1</v>
      </c>
      <c r="O463" s="21">
        <v>0</v>
      </c>
      <c r="P463" s="24">
        <f>J463+L463+N463</f>
        <v>12</v>
      </c>
      <c r="Q463" s="24">
        <f>K463+M463+O463</f>
        <v>11</v>
      </c>
      <c r="R463" s="24">
        <v>0.87050359712230219</v>
      </c>
      <c r="S463" s="21" t="s">
        <v>374</v>
      </c>
      <c r="T463" s="21" t="s">
        <v>365</v>
      </c>
      <c r="U463" s="21" t="s">
        <v>292</v>
      </c>
      <c r="V463" s="21" t="s">
        <v>286</v>
      </c>
      <c r="W463" s="21">
        <v>28</v>
      </c>
      <c r="X463" s="21" t="s">
        <v>285</v>
      </c>
      <c r="Y463" s="21" t="s">
        <v>318</v>
      </c>
      <c r="Z463" s="21" t="s">
        <v>317</v>
      </c>
      <c r="AA463" s="21" t="s">
        <v>103</v>
      </c>
      <c r="AB463" s="21">
        <v>1</v>
      </c>
      <c r="AD463" s="24">
        <v>7.14</v>
      </c>
      <c r="AE463" s="24">
        <v>6.18</v>
      </c>
      <c r="AF463" s="21" t="s">
        <v>304</v>
      </c>
      <c r="AG463" s="21" t="s">
        <v>303</v>
      </c>
    </row>
    <row r="464" spans="1:33">
      <c r="A464" s="21" t="s">
        <v>181</v>
      </c>
      <c r="B464" s="21" t="s">
        <v>415</v>
      </c>
      <c r="C464" s="25">
        <v>46041.65347222222</v>
      </c>
      <c r="D464" s="21" t="s">
        <v>679</v>
      </c>
      <c r="E464" s="24">
        <v>6.06</v>
      </c>
      <c r="F464" s="24">
        <v>5.49</v>
      </c>
      <c r="G464" s="24">
        <f>E464-F464</f>
        <v>0.5699999999999994</v>
      </c>
      <c r="H464" s="21" t="s">
        <v>294</v>
      </c>
      <c r="I464" s="21">
        <v>0</v>
      </c>
      <c r="J464" s="21">
        <v>6</v>
      </c>
      <c r="K464" s="21">
        <v>0</v>
      </c>
      <c r="L464" s="21">
        <v>2</v>
      </c>
      <c r="M464" s="21">
        <v>6</v>
      </c>
      <c r="N464" s="21">
        <v>0</v>
      </c>
      <c r="O464" s="21">
        <v>1</v>
      </c>
      <c r="P464" s="24">
        <f>J464+L464+N464</f>
        <v>8</v>
      </c>
      <c r="Q464" s="24">
        <f>K464+M464+O464</f>
        <v>7</v>
      </c>
      <c r="R464" s="24">
        <v>0.53333333333333333</v>
      </c>
      <c r="S464" s="21" t="s">
        <v>678</v>
      </c>
      <c r="U464" s="21" t="s">
        <v>412</v>
      </c>
      <c r="V464" s="21" t="s">
        <v>286</v>
      </c>
      <c r="W464" s="21">
        <v>0</v>
      </c>
      <c r="X464" s="21" t="s">
        <v>312</v>
      </c>
      <c r="Y464" s="21" t="s">
        <v>318</v>
      </c>
      <c r="Z464" s="21" t="s">
        <v>317</v>
      </c>
      <c r="AA464" s="21" t="s">
        <v>181</v>
      </c>
      <c r="AB464" s="21">
        <v>1</v>
      </c>
      <c r="AD464" s="24">
        <v>6.06</v>
      </c>
      <c r="AE464" s="24">
        <v>5.49</v>
      </c>
      <c r="AF464" s="21" t="s">
        <v>304</v>
      </c>
      <c r="AG464" s="21" t="s">
        <v>341</v>
      </c>
    </row>
    <row r="465" spans="1:33">
      <c r="A465" s="21" t="s">
        <v>181</v>
      </c>
      <c r="B465" s="21" t="s">
        <v>415</v>
      </c>
      <c r="C465" s="25">
        <v>46088</v>
      </c>
      <c r="D465" s="21" t="s">
        <v>677</v>
      </c>
      <c r="E465" s="24">
        <v>5.99</v>
      </c>
      <c r="F465" s="24">
        <v>6.55</v>
      </c>
      <c r="G465" s="24">
        <f>E465-F465</f>
        <v>-0.55999999999999961</v>
      </c>
      <c r="H465" s="21" t="s">
        <v>294</v>
      </c>
      <c r="I465" s="21">
        <v>0</v>
      </c>
      <c r="J465" s="21">
        <v>0</v>
      </c>
      <c r="K465" s="21">
        <v>6</v>
      </c>
      <c r="P465" s="24">
        <f>J465+L465+N465</f>
        <v>0</v>
      </c>
      <c r="Q465" s="24">
        <f>K465+M465+O465</f>
        <v>6</v>
      </c>
      <c r="R465" s="24">
        <v>0</v>
      </c>
      <c r="S465" s="21" t="s">
        <v>430</v>
      </c>
      <c r="U465" s="21" t="s">
        <v>412</v>
      </c>
      <c r="V465" s="21" t="s">
        <v>286</v>
      </c>
      <c r="W465" s="21">
        <v>1</v>
      </c>
      <c r="X465" s="21" t="s">
        <v>323</v>
      </c>
      <c r="Y465" s="21" t="s">
        <v>318</v>
      </c>
      <c r="Z465" s="21" t="s">
        <v>317</v>
      </c>
      <c r="AA465" s="21" t="s">
        <v>181</v>
      </c>
      <c r="AB465" s="21">
        <v>1</v>
      </c>
      <c r="AD465" s="24">
        <v>6.06</v>
      </c>
      <c r="AE465" s="24">
        <v>6.55</v>
      </c>
      <c r="AF465" s="21" t="s">
        <v>304</v>
      </c>
      <c r="AG465" s="21" t="s">
        <v>303</v>
      </c>
    </row>
    <row r="466" spans="1:33">
      <c r="A466" s="21" t="s">
        <v>181</v>
      </c>
      <c r="B466" s="21" t="s">
        <v>415</v>
      </c>
      <c r="C466" s="25">
        <v>46088</v>
      </c>
      <c r="D466" s="21" t="s">
        <v>676</v>
      </c>
      <c r="E466" s="24">
        <v>5.99</v>
      </c>
      <c r="F466" s="24">
        <v>7.28</v>
      </c>
      <c r="G466" s="24">
        <f>E466-F466</f>
        <v>-1.29</v>
      </c>
      <c r="H466" s="21" t="s">
        <v>289</v>
      </c>
      <c r="I466" s="21">
        <v>1</v>
      </c>
      <c r="J466" s="21">
        <v>4</v>
      </c>
      <c r="K466" s="21">
        <v>1</v>
      </c>
      <c r="P466" s="24">
        <f>J466+L466+N466</f>
        <v>4</v>
      </c>
      <c r="Q466" s="24">
        <f>K466+M466+O466</f>
        <v>1</v>
      </c>
      <c r="R466" s="24">
        <v>0.8</v>
      </c>
      <c r="S466" s="21" t="s">
        <v>430</v>
      </c>
      <c r="U466" s="21" t="s">
        <v>412</v>
      </c>
      <c r="V466" s="21" t="s">
        <v>286</v>
      </c>
      <c r="W466" s="21">
        <v>1</v>
      </c>
      <c r="X466" s="21" t="s">
        <v>323</v>
      </c>
      <c r="Y466" s="21" t="s">
        <v>318</v>
      </c>
      <c r="Z466" s="21" t="s">
        <v>317</v>
      </c>
      <c r="AA466" s="21" t="s">
        <v>181</v>
      </c>
      <c r="AB466" s="21">
        <v>1</v>
      </c>
      <c r="AD466" s="24">
        <v>6.06</v>
      </c>
      <c r="AE466" s="24">
        <v>7.28</v>
      </c>
      <c r="AF466" s="21" t="s">
        <v>304</v>
      </c>
      <c r="AG466" s="21" t="s">
        <v>303</v>
      </c>
    </row>
    <row r="467" spans="1:33">
      <c r="A467" s="21" t="s">
        <v>181</v>
      </c>
      <c r="B467" s="21" t="s">
        <v>415</v>
      </c>
      <c r="C467" s="25">
        <v>46091.645833333336</v>
      </c>
      <c r="D467" s="21" t="s">
        <v>135</v>
      </c>
      <c r="E467" s="24">
        <v>6</v>
      </c>
      <c r="F467" s="24">
        <v>5</v>
      </c>
      <c r="G467" s="24">
        <f>E467-F467</f>
        <v>1</v>
      </c>
      <c r="H467" s="21" t="s">
        <v>289</v>
      </c>
      <c r="I467" s="21">
        <v>1</v>
      </c>
      <c r="J467" s="21">
        <v>6</v>
      </c>
      <c r="K467" s="21">
        <v>2</v>
      </c>
      <c r="L467" s="21">
        <v>6</v>
      </c>
      <c r="M467" s="21">
        <v>1</v>
      </c>
      <c r="P467" s="24">
        <f>J467+L467+N467</f>
        <v>12</v>
      </c>
      <c r="Q467" s="24">
        <f>K467+M467+O467</f>
        <v>3</v>
      </c>
      <c r="R467" s="24">
        <v>0.8</v>
      </c>
      <c r="S467" s="21" t="s">
        <v>429</v>
      </c>
      <c r="U467" s="21" t="s">
        <v>287</v>
      </c>
      <c r="V467" s="21" t="s">
        <v>286</v>
      </c>
      <c r="W467" s="21">
        <v>3</v>
      </c>
      <c r="X467" s="21" t="s">
        <v>285</v>
      </c>
      <c r="Y467" s="21" t="s">
        <v>318</v>
      </c>
      <c r="Z467" s="21" t="s">
        <v>317</v>
      </c>
      <c r="AA467" s="21" t="s">
        <v>181</v>
      </c>
      <c r="AB467" s="21">
        <v>1</v>
      </c>
      <c r="AD467" s="24">
        <v>6.06</v>
      </c>
      <c r="AE467" s="24">
        <v>5.3</v>
      </c>
      <c r="AF467" s="21" t="s">
        <v>304</v>
      </c>
      <c r="AG467" s="21" t="s">
        <v>303</v>
      </c>
    </row>
    <row r="468" spans="1:33">
      <c r="A468" s="21" t="s">
        <v>181</v>
      </c>
      <c r="B468" s="21" t="s">
        <v>415</v>
      </c>
      <c r="C468" s="25">
        <v>46098.645833333336</v>
      </c>
      <c r="D468" s="21" t="s">
        <v>117</v>
      </c>
      <c r="E468" s="24">
        <v>6</v>
      </c>
      <c r="F468" s="24">
        <v>7.16</v>
      </c>
      <c r="G468" s="24">
        <f>E468-F468</f>
        <v>-1.1600000000000001</v>
      </c>
      <c r="H468" s="21" t="s">
        <v>294</v>
      </c>
      <c r="I468" s="21">
        <v>0</v>
      </c>
      <c r="J468" s="21">
        <v>0</v>
      </c>
      <c r="K468" s="21">
        <v>6</v>
      </c>
      <c r="L468" s="21">
        <v>0</v>
      </c>
      <c r="M468" s="21">
        <v>6</v>
      </c>
      <c r="P468" s="24">
        <f>J468+L468+N468</f>
        <v>0</v>
      </c>
      <c r="Q468" s="24">
        <f>K468+M468+O468</f>
        <v>12</v>
      </c>
      <c r="R468" s="24">
        <v>0</v>
      </c>
      <c r="S468" s="21" t="s">
        <v>239</v>
      </c>
      <c r="U468" s="21" t="s">
        <v>287</v>
      </c>
      <c r="V468" s="21" t="s">
        <v>286</v>
      </c>
      <c r="W468" s="21">
        <v>4</v>
      </c>
      <c r="X468" s="21" t="s">
        <v>285</v>
      </c>
      <c r="Y468" s="21" t="s">
        <v>318</v>
      </c>
      <c r="Z468" s="21" t="s">
        <v>317</v>
      </c>
      <c r="AA468" s="21" t="s">
        <v>181</v>
      </c>
      <c r="AB468" s="21">
        <v>1</v>
      </c>
      <c r="AD468" s="24">
        <v>6.06</v>
      </c>
      <c r="AE468" s="24">
        <v>8.35</v>
      </c>
      <c r="AF468" s="21" t="s">
        <v>302</v>
      </c>
      <c r="AG468" s="21" t="s">
        <v>301</v>
      </c>
    </row>
    <row r="469" spans="1:33">
      <c r="A469" s="21" t="s">
        <v>181</v>
      </c>
      <c r="B469" s="21" t="s">
        <v>415</v>
      </c>
      <c r="C469" s="25">
        <v>46099.645833333336</v>
      </c>
      <c r="D469" s="21" t="s">
        <v>67</v>
      </c>
      <c r="E469" s="24">
        <v>6</v>
      </c>
      <c r="F469" s="24">
        <v>6.05</v>
      </c>
      <c r="G469" s="24">
        <f>E469-F469</f>
        <v>-4.9999999999999822E-2</v>
      </c>
      <c r="H469" s="21" t="s">
        <v>289</v>
      </c>
      <c r="I469" s="21">
        <v>1</v>
      </c>
      <c r="J469" s="21">
        <v>6</v>
      </c>
      <c r="K469" s="21">
        <v>1</v>
      </c>
      <c r="L469" s="21">
        <v>6</v>
      </c>
      <c r="M469" s="21">
        <v>1</v>
      </c>
      <c r="P469" s="24">
        <f>J469+L469+N469</f>
        <v>12</v>
      </c>
      <c r="Q469" s="24">
        <f>K469+M469+O469</f>
        <v>2</v>
      </c>
      <c r="R469" s="24">
        <v>0.8571428571428571</v>
      </c>
      <c r="S469" s="21" t="s">
        <v>232</v>
      </c>
      <c r="U469" s="21" t="s">
        <v>287</v>
      </c>
      <c r="V469" s="21" t="s">
        <v>286</v>
      </c>
      <c r="W469" s="21">
        <v>5</v>
      </c>
      <c r="X469" s="21" t="s">
        <v>285</v>
      </c>
      <c r="Y469" s="21" t="s">
        <v>318</v>
      </c>
      <c r="Z469" s="21" t="s">
        <v>317</v>
      </c>
      <c r="AA469" s="21" t="s">
        <v>181</v>
      </c>
      <c r="AB469" s="21">
        <v>1</v>
      </c>
      <c r="AD469" s="24">
        <v>6.06</v>
      </c>
      <c r="AE469" s="24">
        <v>7.1</v>
      </c>
      <c r="AF469" s="21" t="s">
        <v>304</v>
      </c>
      <c r="AG469" s="21" t="s">
        <v>303</v>
      </c>
    </row>
    <row r="470" spans="1:33">
      <c r="A470" s="21" t="s">
        <v>181</v>
      </c>
      <c r="B470" s="21" t="s">
        <v>415</v>
      </c>
      <c r="C470" s="25">
        <v>46100.645833333336</v>
      </c>
      <c r="D470" s="21" t="s">
        <v>84</v>
      </c>
      <c r="E470" s="24">
        <v>6</v>
      </c>
      <c r="F470" s="24">
        <v>6.26</v>
      </c>
      <c r="G470" s="24">
        <f>E470-F470</f>
        <v>-0.25999999999999979</v>
      </c>
      <c r="H470" s="21" t="s">
        <v>294</v>
      </c>
      <c r="I470" s="21">
        <v>0</v>
      </c>
      <c r="J470" s="21">
        <v>5</v>
      </c>
      <c r="K470" s="21">
        <v>7</v>
      </c>
      <c r="L470" s="21">
        <v>2</v>
      </c>
      <c r="M470" s="21">
        <v>6</v>
      </c>
      <c r="P470" s="24">
        <f>J470+L470+N470</f>
        <v>7</v>
      </c>
      <c r="Q470" s="24">
        <f>K470+M470+O470</f>
        <v>13</v>
      </c>
      <c r="R470" s="24">
        <v>0.35</v>
      </c>
      <c r="S470" s="21" t="s">
        <v>225</v>
      </c>
      <c r="U470" s="21" t="s">
        <v>287</v>
      </c>
      <c r="V470" s="21" t="s">
        <v>286</v>
      </c>
      <c r="W470" s="21">
        <v>6</v>
      </c>
      <c r="X470" s="21" t="s">
        <v>285</v>
      </c>
      <c r="Y470" s="21" t="s">
        <v>318</v>
      </c>
      <c r="Z470" s="21" t="s">
        <v>317</v>
      </c>
      <c r="AA470" s="21" t="s">
        <v>181</v>
      </c>
      <c r="AB470" s="21">
        <v>1</v>
      </c>
      <c r="AD470" s="24">
        <v>6.06</v>
      </c>
      <c r="AE470" s="24">
        <v>6.97</v>
      </c>
      <c r="AF470" s="21" t="s">
        <v>302</v>
      </c>
      <c r="AG470" s="21" t="s">
        <v>301</v>
      </c>
    </row>
    <row r="471" spans="1:33">
      <c r="A471" s="21" t="s">
        <v>181</v>
      </c>
      <c r="B471" s="21" t="s">
        <v>415</v>
      </c>
      <c r="C471" s="25">
        <v>46101.645833333336</v>
      </c>
      <c r="D471" s="21" t="s">
        <v>675</v>
      </c>
      <c r="E471" s="24">
        <v>6</v>
      </c>
      <c r="F471" s="24">
        <v>3.16</v>
      </c>
      <c r="G471" s="24">
        <f>E471-F471</f>
        <v>2.84</v>
      </c>
      <c r="H471" s="21" t="s">
        <v>289</v>
      </c>
      <c r="I471" s="21">
        <v>1</v>
      </c>
      <c r="J471" s="21">
        <v>6</v>
      </c>
      <c r="K471" s="21">
        <v>0</v>
      </c>
      <c r="L471" s="21">
        <v>6</v>
      </c>
      <c r="M471" s="21">
        <v>0</v>
      </c>
      <c r="P471" s="24">
        <f>J471+L471+N471</f>
        <v>12</v>
      </c>
      <c r="Q471" s="24">
        <f>K471+M471+O471</f>
        <v>0</v>
      </c>
      <c r="R471" s="24">
        <v>1</v>
      </c>
      <c r="S471" s="21" t="s">
        <v>426</v>
      </c>
      <c r="U471" s="21" t="s">
        <v>287</v>
      </c>
      <c r="V471" s="21" t="s">
        <v>286</v>
      </c>
      <c r="W471" s="21">
        <v>7</v>
      </c>
      <c r="X471" s="21" t="s">
        <v>285</v>
      </c>
      <c r="Y471" s="21" t="s">
        <v>318</v>
      </c>
      <c r="Z471" s="21" t="s">
        <v>317</v>
      </c>
      <c r="AA471" s="21" t="s">
        <v>181</v>
      </c>
      <c r="AB471" s="21">
        <v>1</v>
      </c>
      <c r="AD471" s="24">
        <v>6.06</v>
      </c>
      <c r="AE471" s="24">
        <v>3.88</v>
      </c>
      <c r="AF471" s="21" t="s">
        <v>304</v>
      </c>
      <c r="AG471" s="21" t="s">
        <v>303</v>
      </c>
    </row>
    <row r="472" spans="1:33">
      <c r="A472" s="21" t="s">
        <v>181</v>
      </c>
      <c r="B472" s="21" t="s">
        <v>415</v>
      </c>
      <c r="C472" s="25">
        <v>46105.645833333336</v>
      </c>
      <c r="D472" s="21" t="s">
        <v>5</v>
      </c>
      <c r="E472" s="24">
        <v>6.09</v>
      </c>
      <c r="F472" s="24">
        <v>8.93</v>
      </c>
      <c r="G472" s="24">
        <f>E472-F472</f>
        <v>-2.84</v>
      </c>
      <c r="H472" s="21" t="s">
        <v>294</v>
      </c>
      <c r="I472" s="21">
        <v>0</v>
      </c>
      <c r="J472" s="21">
        <v>1</v>
      </c>
      <c r="K472" s="21">
        <v>6</v>
      </c>
      <c r="L472" s="21">
        <v>0</v>
      </c>
      <c r="M472" s="21">
        <v>6</v>
      </c>
      <c r="P472" s="24">
        <f>J472+L472+N472</f>
        <v>1</v>
      </c>
      <c r="Q472" s="24">
        <f>K472+M472+O472</f>
        <v>12</v>
      </c>
      <c r="R472" s="24">
        <v>7.6923076923076927E-2</v>
      </c>
      <c r="S472" s="21" t="s">
        <v>425</v>
      </c>
      <c r="U472" s="21" t="s">
        <v>287</v>
      </c>
      <c r="V472" s="21" t="s">
        <v>286</v>
      </c>
      <c r="W472" s="21">
        <v>8</v>
      </c>
      <c r="X472" s="21" t="s">
        <v>285</v>
      </c>
      <c r="Y472" s="21" t="s">
        <v>318</v>
      </c>
      <c r="Z472" s="21" t="s">
        <v>317</v>
      </c>
      <c r="AA472" s="21" t="s">
        <v>181</v>
      </c>
      <c r="AB472" s="21">
        <v>1</v>
      </c>
      <c r="AD472" s="24">
        <v>6.06</v>
      </c>
      <c r="AE472" s="24">
        <v>8.08</v>
      </c>
      <c r="AF472" s="21" t="s">
        <v>304</v>
      </c>
      <c r="AG472" s="21" t="s">
        <v>303</v>
      </c>
    </row>
    <row r="473" spans="1:33">
      <c r="A473" s="21" t="s">
        <v>181</v>
      </c>
      <c r="B473" s="21" t="s">
        <v>415</v>
      </c>
      <c r="C473" s="25">
        <v>46106.645833333336</v>
      </c>
      <c r="D473" s="21" t="s">
        <v>128</v>
      </c>
      <c r="E473" s="24">
        <v>6.09</v>
      </c>
      <c r="F473" s="24">
        <v>6.58</v>
      </c>
      <c r="G473" s="24">
        <f>E473-F473</f>
        <v>-0.49000000000000021</v>
      </c>
      <c r="H473" s="21" t="s">
        <v>294</v>
      </c>
      <c r="I473" s="21">
        <v>0</v>
      </c>
      <c r="J473" s="21">
        <v>1</v>
      </c>
      <c r="K473" s="21">
        <v>6</v>
      </c>
      <c r="L473" s="21">
        <v>1</v>
      </c>
      <c r="M473" s="21">
        <v>6</v>
      </c>
      <c r="P473" s="24">
        <f>J473+L473+N473</f>
        <v>2</v>
      </c>
      <c r="Q473" s="24">
        <f>K473+M473+O473</f>
        <v>12</v>
      </c>
      <c r="R473" s="24">
        <v>0.14285714285714285</v>
      </c>
      <c r="S473" s="21" t="s">
        <v>207</v>
      </c>
      <c r="U473" s="21" t="s">
        <v>287</v>
      </c>
      <c r="V473" s="21" t="s">
        <v>286</v>
      </c>
      <c r="W473" s="21">
        <v>9</v>
      </c>
      <c r="X473" s="21" t="s">
        <v>285</v>
      </c>
      <c r="Y473" s="21" t="s">
        <v>318</v>
      </c>
      <c r="Z473" s="21" t="s">
        <v>317</v>
      </c>
      <c r="AA473" s="21" t="s">
        <v>181</v>
      </c>
      <c r="AB473" s="21">
        <v>1</v>
      </c>
      <c r="AD473" s="24">
        <v>6.06</v>
      </c>
      <c r="AE473" s="24">
        <v>6.89</v>
      </c>
      <c r="AF473" s="21" t="s">
        <v>304</v>
      </c>
      <c r="AG473" s="21" t="s">
        <v>303</v>
      </c>
    </row>
    <row r="474" spans="1:33">
      <c r="A474" s="21" t="s">
        <v>181</v>
      </c>
      <c r="B474" s="21" t="s">
        <v>415</v>
      </c>
      <c r="C474" s="25">
        <v>46111.645833333336</v>
      </c>
      <c r="D474" s="21" t="s">
        <v>90</v>
      </c>
      <c r="E474" s="24">
        <v>6.09</v>
      </c>
      <c r="F474" s="24">
        <v>5.82</v>
      </c>
      <c r="G474" s="24">
        <f>E474-F474</f>
        <v>0.26999999999999957</v>
      </c>
      <c r="H474" s="21" t="s">
        <v>294</v>
      </c>
      <c r="I474" s="21">
        <v>0</v>
      </c>
      <c r="J474" s="21">
        <v>5</v>
      </c>
      <c r="K474" s="21">
        <v>7</v>
      </c>
      <c r="L474" s="21">
        <v>4</v>
      </c>
      <c r="M474" s="21">
        <v>6</v>
      </c>
      <c r="P474" s="24">
        <f>J474+L474+N474</f>
        <v>9</v>
      </c>
      <c r="Q474" s="24">
        <f>K474+M474+O474</f>
        <v>13</v>
      </c>
      <c r="R474" s="24">
        <v>0.40909090909090912</v>
      </c>
      <c r="S474" s="21" t="s">
        <v>182</v>
      </c>
      <c r="U474" s="21" t="s">
        <v>287</v>
      </c>
      <c r="V474" s="21" t="s">
        <v>286</v>
      </c>
      <c r="W474" s="21">
        <v>10</v>
      </c>
      <c r="X474" s="21" t="s">
        <v>285</v>
      </c>
      <c r="Y474" s="21" t="s">
        <v>318</v>
      </c>
      <c r="Z474" s="21" t="s">
        <v>317</v>
      </c>
      <c r="AA474" s="21" t="s">
        <v>181</v>
      </c>
      <c r="AB474" s="21">
        <v>1</v>
      </c>
      <c r="AD474" s="24">
        <v>6.06</v>
      </c>
      <c r="AE474" s="24">
        <v>6.34</v>
      </c>
      <c r="AF474" s="21" t="s">
        <v>304</v>
      </c>
      <c r="AG474" s="21" t="s">
        <v>303</v>
      </c>
    </row>
    <row r="475" spans="1:33">
      <c r="A475" s="21" t="s">
        <v>181</v>
      </c>
      <c r="B475" s="21" t="s">
        <v>415</v>
      </c>
      <c r="C475" s="25">
        <v>46119.645833333336</v>
      </c>
      <c r="D475" s="21" t="s">
        <v>674</v>
      </c>
      <c r="E475" s="24">
        <v>5.99</v>
      </c>
      <c r="F475" s="24">
        <v>4.17</v>
      </c>
      <c r="G475" s="24">
        <f>E475-F475</f>
        <v>1.8200000000000003</v>
      </c>
      <c r="H475" s="21" t="s">
        <v>289</v>
      </c>
      <c r="I475" s="21">
        <v>1</v>
      </c>
      <c r="J475" s="21">
        <v>6</v>
      </c>
      <c r="K475" s="21">
        <v>3</v>
      </c>
      <c r="L475" s="21">
        <v>6</v>
      </c>
      <c r="M475" s="21">
        <v>0</v>
      </c>
      <c r="P475" s="24">
        <f>J475+L475+N475</f>
        <v>12</v>
      </c>
      <c r="Q475" s="24">
        <f>K475+M475+O475</f>
        <v>3</v>
      </c>
      <c r="R475" s="24">
        <v>0.8</v>
      </c>
      <c r="S475" s="21" t="s">
        <v>421</v>
      </c>
      <c r="U475" s="21" t="s">
        <v>287</v>
      </c>
      <c r="V475" s="21" t="s">
        <v>286</v>
      </c>
      <c r="W475" s="21">
        <v>11</v>
      </c>
      <c r="X475" s="21" t="s">
        <v>285</v>
      </c>
      <c r="Y475" s="21" t="s">
        <v>318</v>
      </c>
      <c r="Z475" s="21" t="s">
        <v>317</v>
      </c>
      <c r="AA475" s="21" t="s">
        <v>181</v>
      </c>
      <c r="AB475" s="21">
        <v>1</v>
      </c>
      <c r="AD475" s="24">
        <v>6.06</v>
      </c>
      <c r="AE475" s="24">
        <v>4.17</v>
      </c>
      <c r="AF475" s="21" t="s">
        <v>304</v>
      </c>
      <c r="AG475" s="21" t="s">
        <v>341</v>
      </c>
    </row>
    <row r="476" spans="1:33">
      <c r="A476" s="21" t="s">
        <v>181</v>
      </c>
      <c r="B476" s="21" t="s">
        <v>415</v>
      </c>
      <c r="C476" s="25">
        <v>46125.645833333336</v>
      </c>
      <c r="D476" s="21" t="s">
        <v>21</v>
      </c>
      <c r="E476" s="24">
        <v>5.99</v>
      </c>
      <c r="F476" s="24">
        <v>8.9600000000000009</v>
      </c>
      <c r="G476" s="24">
        <f>E476-F476</f>
        <v>-2.9700000000000006</v>
      </c>
      <c r="H476" s="21" t="s">
        <v>294</v>
      </c>
      <c r="I476" s="21">
        <v>0</v>
      </c>
      <c r="J476" s="21">
        <v>0</v>
      </c>
      <c r="K476" s="21">
        <v>6</v>
      </c>
      <c r="L476" s="21">
        <v>2</v>
      </c>
      <c r="M476" s="21">
        <v>6</v>
      </c>
      <c r="P476" s="24">
        <f>J476+L476+N476</f>
        <v>2</v>
      </c>
      <c r="Q476" s="24">
        <f>K476+M476+O476</f>
        <v>12</v>
      </c>
      <c r="R476" s="24">
        <v>0.14285714285714285</v>
      </c>
      <c r="S476" s="21" t="s">
        <v>417</v>
      </c>
      <c r="U476" s="21" t="s">
        <v>287</v>
      </c>
      <c r="V476" s="21" t="s">
        <v>286</v>
      </c>
      <c r="W476" s="21">
        <v>12</v>
      </c>
      <c r="X476" s="21" t="s">
        <v>285</v>
      </c>
      <c r="Y476" s="21" t="s">
        <v>318</v>
      </c>
      <c r="Z476" s="21" t="s">
        <v>317</v>
      </c>
      <c r="AA476" s="21" t="s">
        <v>181</v>
      </c>
      <c r="AB476" s="21">
        <v>1</v>
      </c>
      <c r="AD476" s="24">
        <v>6.06</v>
      </c>
      <c r="AE476" s="24">
        <v>8.4600000000000009</v>
      </c>
      <c r="AF476" s="21" t="s">
        <v>304</v>
      </c>
      <c r="AG476" s="21" t="s">
        <v>341</v>
      </c>
    </row>
    <row r="477" spans="1:33">
      <c r="A477" s="21" t="s">
        <v>181</v>
      </c>
      <c r="B477" s="21" t="s">
        <v>415</v>
      </c>
      <c r="C477" s="25">
        <v>46127.645833333336</v>
      </c>
      <c r="D477" s="21" t="s">
        <v>72</v>
      </c>
      <c r="E477" s="24">
        <v>5.99</v>
      </c>
      <c r="F477" s="24">
        <v>3.86</v>
      </c>
      <c r="G477" s="24">
        <f>E477-F477</f>
        <v>2.1300000000000003</v>
      </c>
      <c r="H477" s="21" t="s">
        <v>289</v>
      </c>
      <c r="I477" s="21">
        <v>1</v>
      </c>
      <c r="J477" s="21">
        <v>6</v>
      </c>
      <c r="K477" s="21">
        <v>0</v>
      </c>
      <c r="L477" s="21">
        <v>6</v>
      </c>
      <c r="M477" s="21">
        <v>0</v>
      </c>
      <c r="P477" s="24">
        <f>J477+L477+N477</f>
        <v>12</v>
      </c>
      <c r="Q477" s="24">
        <f>K477+M477+O477</f>
        <v>0</v>
      </c>
      <c r="R477" s="24">
        <v>1</v>
      </c>
      <c r="S477" s="21" t="s">
        <v>416</v>
      </c>
      <c r="U477" s="21" t="s">
        <v>287</v>
      </c>
      <c r="V477" s="21" t="s">
        <v>286</v>
      </c>
      <c r="W477" s="21">
        <v>13</v>
      </c>
      <c r="X477" s="21" t="s">
        <v>285</v>
      </c>
      <c r="Y477" s="21" t="s">
        <v>318</v>
      </c>
      <c r="Z477" s="21" t="s">
        <v>317</v>
      </c>
      <c r="AA477" s="21" t="s">
        <v>181</v>
      </c>
      <c r="AB477" s="21">
        <v>1</v>
      </c>
      <c r="AD477" s="24">
        <v>6.06</v>
      </c>
      <c r="AE477" s="24">
        <v>3.86</v>
      </c>
      <c r="AF477" s="21" t="s">
        <v>304</v>
      </c>
      <c r="AG477" s="21" t="s">
        <v>341</v>
      </c>
    </row>
    <row r="478" spans="1:33">
      <c r="A478" s="21" t="s">
        <v>181</v>
      </c>
      <c r="B478" s="21" t="s">
        <v>415</v>
      </c>
      <c r="C478" s="25">
        <v>46128.458333333336</v>
      </c>
      <c r="D478" s="21" t="s">
        <v>54</v>
      </c>
      <c r="E478" s="24">
        <v>5.99</v>
      </c>
      <c r="F478" s="24">
        <v>4.6900000000000004</v>
      </c>
      <c r="G478" s="24">
        <f>E478-F478</f>
        <v>1.2999999999999998</v>
      </c>
      <c r="H478" s="21" t="s">
        <v>289</v>
      </c>
      <c r="I478" s="21">
        <v>1</v>
      </c>
      <c r="J478" s="21">
        <v>8</v>
      </c>
      <c r="K478" s="21">
        <v>3</v>
      </c>
      <c r="P478" s="24">
        <f>J478+L478+N478</f>
        <v>8</v>
      </c>
      <c r="Q478" s="24">
        <f>K478+M478+O478</f>
        <v>3</v>
      </c>
      <c r="R478" s="24">
        <v>0.72727272727272729</v>
      </c>
      <c r="S478" s="21" t="s">
        <v>51</v>
      </c>
      <c r="T478" s="21" t="s">
        <v>297</v>
      </c>
      <c r="U478" s="21" t="s">
        <v>287</v>
      </c>
      <c r="V478" s="21" t="s">
        <v>286</v>
      </c>
      <c r="W478" s="21">
        <v>14</v>
      </c>
      <c r="X478" s="21" t="s">
        <v>285</v>
      </c>
      <c r="Y478" s="21" t="s">
        <v>318</v>
      </c>
      <c r="Z478" s="21" t="s">
        <v>317</v>
      </c>
      <c r="AA478" s="21" t="s">
        <v>181</v>
      </c>
      <c r="AB478" s="21">
        <v>1</v>
      </c>
      <c r="AD478" s="24">
        <v>6.06</v>
      </c>
      <c r="AE478" s="24">
        <v>4.8600000000000003</v>
      </c>
      <c r="AF478" s="21" t="s">
        <v>302</v>
      </c>
      <c r="AG478" s="21" t="s">
        <v>301</v>
      </c>
    </row>
    <row r="479" spans="1:33">
      <c r="A479" s="21" t="s">
        <v>181</v>
      </c>
      <c r="B479" s="21" t="s">
        <v>415</v>
      </c>
      <c r="C479" s="25">
        <v>46128.541666666664</v>
      </c>
      <c r="D479" s="21" t="s">
        <v>37</v>
      </c>
      <c r="E479" s="24">
        <v>5.99</v>
      </c>
      <c r="F479" s="24">
        <v>10.09</v>
      </c>
      <c r="G479" s="24">
        <f>E479-F479</f>
        <v>-4.0999999999999996</v>
      </c>
      <c r="H479" s="21" t="s">
        <v>294</v>
      </c>
      <c r="I479" s="21">
        <v>0</v>
      </c>
      <c r="J479" s="21">
        <v>3</v>
      </c>
      <c r="K479" s="21">
        <v>8</v>
      </c>
      <c r="P479" s="24">
        <f>J479+L479+N479</f>
        <v>3</v>
      </c>
      <c r="Q479" s="24">
        <f>K479+M479+O479</f>
        <v>8</v>
      </c>
      <c r="R479" s="24">
        <v>0.27272727272727271</v>
      </c>
      <c r="S479" s="21" t="s">
        <v>51</v>
      </c>
      <c r="T479" s="21" t="s">
        <v>296</v>
      </c>
      <c r="U479" s="21" t="s">
        <v>287</v>
      </c>
      <c r="V479" s="21" t="s">
        <v>286</v>
      </c>
      <c r="W479" s="21">
        <v>15</v>
      </c>
      <c r="X479" s="21" t="s">
        <v>285</v>
      </c>
      <c r="Y479" s="21" t="s">
        <v>318</v>
      </c>
      <c r="Z479" s="21" t="s">
        <v>317</v>
      </c>
      <c r="AA479" s="21" t="s">
        <v>181</v>
      </c>
      <c r="AB479" s="21">
        <v>1</v>
      </c>
      <c r="AD479" s="24">
        <v>6.06</v>
      </c>
      <c r="AE479" s="24">
        <v>10.06</v>
      </c>
      <c r="AF479" s="21" t="s">
        <v>304</v>
      </c>
      <c r="AG479" s="21" t="s">
        <v>341</v>
      </c>
    </row>
    <row r="480" spans="1:33">
      <c r="A480" s="21" t="s">
        <v>181</v>
      </c>
      <c r="B480" s="21" t="s">
        <v>415</v>
      </c>
      <c r="C480" s="25">
        <v>46136.625</v>
      </c>
      <c r="D480" s="21" t="s">
        <v>26</v>
      </c>
      <c r="E480" s="24">
        <v>6.03</v>
      </c>
      <c r="F480" s="24">
        <v>7.34</v>
      </c>
      <c r="G480" s="24">
        <f>E480-F480</f>
        <v>-1.3099999999999996</v>
      </c>
      <c r="H480" s="21" t="s">
        <v>294</v>
      </c>
      <c r="I480" s="21">
        <v>0</v>
      </c>
      <c r="J480" s="21">
        <v>2</v>
      </c>
      <c r="K480" s="21">
        <v>6</v>
      </c>
      <c r="L480" s="21">
        <v>1</v>
      </c>
      <c r="M480" s="21">
        <v>6</v>
      </c>
      <c r="P480" s="24">
        <f>J480+L480+N480</f>
        <v>3</v>
      </c>
      <c r="Q480" s="24">
        <f>K480+M480+O480</f>
        <v>12</v>
      </c>
      <c r="R480" s="24">
        <v>0.2</v>
      </c>
      <c r="S480" s="21" t="s">
        <v>51</v>
      </c>
      <c r="U480" s="21" t="s">
        <v>287</v>
      </c>
      <c r="V480" s="21" t="s">
        <v>286</v>
      </c>
      <c r="W480" s="21">
        <v>16</v>
      </c>
      <c r="X480" s="21" t="s">
        <v>285</v>
      </c>
      <c r="Y480" s="21" t="s">
        <v>318</v>
      </c>
      <c r="Z480" s="21" t="s">
        <v>317</v>
      </c>
      <c r="AA480" s="21" t="s">
        <v>181</v>
      </c>
      <c r="AB480" s="21">
        <v>1</v>
      </c>
      <c r="AD480" s="24">
        <v>6.06</v>
      </c>
      <c r="AE480" s="24">
        <v>8.09</v>
      </c>
      <c r="AF480" s="21" t="s">
        <v>304</v>
      </c>
      <c r="AG480" s="21" t="s">
        <v>341</v>
      </c>
    </row>
    <row r="481" spans="1:33">
      <c r="A481" s="21" t="s">
        <v>181</v>
      </c>
      <c r="B481" s="21" t="s">
        <v>415</v>
      </c>
      <c r="C481" s="25">
        <v>46140.333333333336</v>
      </c>
      <c r="D481" s="21" t="s">
        <v>203</v>
      </c>
      <c r="E481" s="24">
        <v>6.1</v>
      </c>
      <c r="F481" s="24">
        <v>4.8</v>
      </c>
      <c r="G481" s="24">
        <f>E481-F481</f>
        <v>1.2999999999999998</v>
      </c>
      <c r="H481" s="21" t="s">
        <v>289</v>
      </c>
      <c r="I481" s="21">
        <v>1</v>
      </c>
      <c r="J481" s="21">
        <v>7</v>
      </c>
      <c r="K481" s="21">
        <v>5</v>
      </c>
      <c r="L481" s="21">
        <v>7</v>
      </c>
      <c r="M481" s="21">
        <v>6</v>
      </c>
      <c r="P481" s="24">
        <f>J481+L481+N481</f>
        <v>14</v>
      </c>
      <c r="Q481" s="24">
        <f>K481+M481+O481</f>
        <v>11</v>
      </c>
      <c r="R481" s="24">
        <v>0.54545454545454541</v>
      </c>
      <c r="S481" s="21" t="s">
        <v>47</v>
      </c>
      <c r="U481" s="21" t="s">
        <v>287</v>
      </c>
      <c r="V481" s="21" t="s">
        <v>286</v>
      </c>
      <c r="W481" s="21">
        <v>17</v>
      </c>
      <c r="X481" s="21" t="s">
        <v>285</v>
      </c>
      <c r="Y481" s="21" t="s">
        <v>318</v>
      </c>
      <c r="Z481" s="21" t="s">
        <v>317</v>
      </c>
      <c r="AA481" s="21" t="s">
        <v>181</v>
      </c>
      <c r="AB481" s="21">
        <v>1</v>
      </c>
      <c r="AD481" s="24">
        <v>6.06</v>
      </c>
      <c r="AE481" s="24">
        <v>5.96</v>
      </c>
      <c r="AF481" s="21" t="s">
        <v>304</v>
      </c>
      <c r="AG481" s="21" t="s">
        <v>341</v>
      </c>
    </row>
    <row r="482" spans="1:33">
      <c r="A482" s="21" t="s">
        <v>111</v>
      </c>
      <c r="B482" s="21" t="s">
        <v>350</v>
      </c>
      <c r="C482" s="25">
        <v>46107.333333333336</v>
      </c>
      <c r="D482" s="21" t="s">
        <v>23</v>
      </c>
      <c r="E482" s="24">
        <v>6.5</v>
      </c>
      <c r="F482" s="24">
        <v>6.54</v>
      </c>
      <c r="G482" s="24">
        <f>E482-F482</f>
        <v>-4.0000000000000036E-2</v>
      </c>
      <c r="H482" s="21" t="s">
        <v>294</v>
      </c>
      <c r="I482" s="21">
        <v>0</v>
      </c>
      <c r="J482" s="21">
        <v>7</v>
      </c>
      <c r="K482" s="21">
        <v>6</v>
      </c>
      <c r="L482" s="21">
        <v>4</v>
      </c>
      <c r="M482" s="21">
        <v>6</v>
      </c>
      <c r="N482" s="21">
        <v>2</v>
      </c>
      <c r="O482" s="21">
        <v>6</v>
      </c>
      <c r="P482" s="24">
        <f>J482+L482+N482</f>
        <v>13</v>
      </c>
      <c r="Q482" s="24">
        <f>K482+M482+O482</f>
        <v>18</v>
      </c>
      <c r="R482" s="24">
        <v>0.5220125786163522</v>
      </c>
      <c r="S482" s="21" t="s">
        <v>358</v>
      </c>
      <c r="U482" s="21" t="s">
        <v>287</v>
      </c>
      <c r="V482" s="21" t="s">
        <v>286</v>
      </c>
      <c r="W482" s="21">
        <v>0</v>
      </c>
      <c r="X482" s="21" t="s">
        <v>312</v>
      </c>
      <c r="Y482" s="21" t="s">
        <v>284</v>
      </c>
      <c r="Z482" s="21" t="s">
        <v>283</v>
      </c>
      <c r="AA482" s="21" t="s">
        <v>111</v>
      </c>
      <c r="AB482" s="21">
        <v>2</v>
      </c>
      <c r="AD482" s="24">
        <v>6.5</v>
      </c>
      <c r="AE482" s="24">
        <v>7.11</v>
      </c>
      <c r="AF482" s="21" t="s">
        <v>304</v>
      </c>
      <c r="AG482" s="21" t="s">
        <v>303</v>
      </c>
    </row>
    <row r="483" spans="1:33">
      <c r="A483" s="21" t="s">
        <v>111</v>
      </c>
      <c r="B483" s="21" t="s">
        <v>350</v>
      </c>
      <c r="C483" s="25">
        <v>46121.645833333336</v>
      </c>
      <c r="D483" s="21" t="s">
        <v>115</v>
      </c>
      <c r="E483" s="24">
        <v>6.5</v>
      </c>
      <c r="F483" s="24">
        <v>5.33</v>
      </c>
      <c r="G483" s="24">
        <f>E483-F483</f>
        <v>1.17</v>
      </c>
      <c r="H483" s="21" t="s">
        <v>289</v>
      </c>
      <c r="I483" s="21">
        <v>1</v>
      </c>
      <c r="J483" s="21">
        <v>3</v>
      </c>
      <c r="K483" s="21">
        <v>6</v>
      </c>
      <c r="L483" s="21">
        <v>6</v>
      </c>
      <c r="M483" s="21">
        <v>3</v>
      </c>
      <c r="N483" s="21">
        <v>7</v>
      </c>
      <c r="O483" s="21">
        <v>5</v>
      </c>
      <c r="P483" s="24">
        <f>J483+L483+N483</f>
        <v>16</v>
      </c>
      <c r="Q483" s="24">
        <f>K483+M483+O483</f>
        <v>14</v>
      </c>
      <c r="R483" s="24">
        <v>0.53333333333333333</v>
      </c>
      <c r="S483" s="21" t="s">
        <v>673</v>
      </c>
      <c r="U483" s="21" t="s">
        <v>287</v>
      </c>
      <c r="V483" s="21" t="s">
        <v>286</v>
      </c>
      <c r="W483" s="21">
        <v>1</v>
      </c>
      <c r="X483" s="21" t="s">
        <v>323</v>
      </c>
      <c r="Y483" s="21" t="s">
        <v>284</v>
      </c>
      <c r="Z483" s="21" t="s">
        <v>283</v>
      </c>
      <c r="AA483" s="21" t="s">
        <v>111</v>
      </c>
      <c r="AB483" s="21">
        <v>1</v>
      </c>
      <c r="AD483" s="24">
        <v>6.5</v>
      </c>
      <c r="AE483" s="24">
        <v>5.45</v>
      </c>
      <c r="AF483" s="21" t="s">
        <v>304</v>
      </c>
      <c r="AG483" s="21" t="s">
        <v>303</v>
      </c>
    </row>
    <row r="484" spans="1:33">
      <c r="A484" s="21" t="s">
        <v>111</v>
      </c>
      <c r="B484" s="21" t="s">
        <v>350</v>
      </c>
      <c r="C484" s="25">
        <v>46126.645833333336</v>
      </c>
      <c r="D484" s="21" t="s">
        <v>110</v>
      </c>
      <c r="E484" s="24">
        <v>6.5</v>
      </c>
      <c r="F484" s="24">
        <v>6.87</v>
      </c>
      <c r="G484" s="24">
        <f>E484-F484</f>
        <v>-0.37000000000000011</v>
      </c>
      <c r="H484" s="21" t="s">
        <v>294</v>
      </c>
      <c r="I484" s="21">
        <v>0</v>
      </c>
      <c r="J484" s="21">
        <v>6</v>
      </c>
      <c r="K484" s="21">
        <v>3</v>
      </c>
      <c r="L484" s="21">
        <v>1</v>
      </c>
      <c r="M484" s="21">
        <v>6</v>
      </c>
      <c r="N484" s="21">
        <v>4</v>
      </c>
      <c r="O484" s="21">
        <v>6</v>
      </c>
      <c r="P484" s="24">
        <f>J484+L484+N484</f>
        <v>11</v>
      </c>
      <c r="Q484" s="24">
        <f>K484+M484+O484</f>
        <v>15</v>
      </c>
      <c r="R484" s="24">
        <v>0.42307692307692307</v>
      </c>
      <c r="S484" s="21" t="s">
        <v>112</v>
      </c>
      <c r="U484" s="21" t="s">
        <v>287</v>
      </c>
      <c r="V484" s="21" t="s">
        <v>286</v>
      </c>
      <c r="W484" s="21">
        <v>2</v>
      </c>
      <c r="X484" s="21" t="s">
        <v>310</v>
      </c>
      <c r="Y484" s="21" t="s">
        <v>284</v>
      </c>
      <c r="Z484" s="21" t="s">
        <v>283</v>
      </c>
      <c r="AA484" s="21" t="s">
        <v>111</v>
      </c>
      <c r="AB484" s="21">
        <v>1</v>
      </c>
      <c r="AD484" s="24">
        <v>6.5</v>
      </c>
      <c r="AE484" s="24">
        <v>7.02</v>
      </c>
      <c r="AF484" s="21" t="s">
        <v>304</v>
      </c>
      <c r="AG484" s="21" t="s">
        <v>303</v>
      </c>
    </row>
    <row r="485" spans="1:33">
      <c r="A485" s="21" t="s">
        <v>65</v>
      </c>
      <c r="B485" s="21" t="s">
        <v>376</v>
      </c>
      <c r="C485" s="25">
        <v>46032</v>
      </c>
      <c r="D485" s="21" t="s">
        <v>103</v>
      </c>
      <c r="E485" s="24">
        <v>6.11</v>
      </c>
      <c r="F485" s="24">
        <v>7.12</v>
      </c>
      <c r="G485" s="24">
        <f>E485-F485</f>
        <v>-1.0099999999999998</v>
      </c>
      <c r="H485" s="21" t="s">
        <v>294</v>
      </c>
      <c r="I485" s="21">
        <v>0</v>
      </c>
      <c r="J485" s="21">
        <v>6</v>
      </c>
      <c r="K485" s="21">
        <v>8</v>
      </c>
      <c r="P485" s="24">
        <f>J485+L485+N485</f>
        <v>6</v>
      </c>
      <c r="Q485" s="24">
        <f>K485+M485+O485</f>
        <v>8</v>
      </c>
      <c r="R485" s="24">
        <v>0.42857142857142855</v>
      </c>
      <c r="S485" s="21" t="s">
        <v>379</v>
      </c>
      <c r="U485" s="21" t="s">
        <v>287</v>
      </c>
      <c r="V485" s="21" t="s">
        <v>286</v>
      </c>
      <c r="W485" s="21">
        <v>0</v>
      </c>
      <c r="X485" s="21" t="s">
        <v>312</v>
      </c>
      <c r="Y485" s="21" t="s">
        <v>284</v>
      </c>
      <c r="Z485" s="21" t="s">
        <v>283</v>
      </c>
      <c r="AA485" s="21" t="s">
        <v>65</v>
      </c>
      <c r="AB485" s="21">
        <v>1</v>
      </c>
      <c r="AD485" s="24">
        <v>8.08</v>
      </c>
      <c r="AE485" s="24">
        <v>7.12</v>
      </c>
      <c r="AF485" s="21" t="s">
        <v>304</v>
      </c>
      <c r="AG485" s="21" t="s">
        <v>303</v>
      </c>
    </row>
    <row r="486" spans="1:33">
      <c r="A486" s="21" t="s">
        <v>65</v>
      </c>
      <c r="B486" s="21" t="s">
        <v>376</v>
      </c>
      <c r="C486" s="25">
        <v>46090.645833333336</v>
      </c>
      <c r="D486" s="21" t="s">
        <v>81</v>
      </c>
      <c r="E486" s="24">
        <v>6.11</v>
      </c>
      <c r="F486" s="24">
        <v>7.43</v>
      </c>
      <c r="G486" s="24">
        <f>E486-F486</f>
        <v>-1.3199999999999994</v>
      </c>
      <c r="H486" s="21" t="s">
        <v>289</v>
      </c>
      <c r="I486" s="21">
        <v>1</v>
      </c>
      <c r="J486" s="21">
        <v>6</v>
      </c>
      <c r="K486" s="21">
        <v>0</v>
      </c>
      <c r="L486" s="21">
        <v>6</v>
      </c>
      <c r="M486" s="21">
        <v>2</v>
      </c>
      <c r="P486" s="24">
        <f>J486+L486+N486</f>
        <v>12</v>
      </c>
      <c r="Q486" s="24">
        <f>K486+M486+O486</f>
        <v>2</v>
      </c>
      <c r="R486" s="24">
        <v>0.8571428571428571</v>
      </c>
      <c r="S486" s="21" t="s">
        <v>379</v>
      </c>
      <c r="U486" s="21" t="s">
        <v>287</v>
      </c>
      <c r="V486" s="21" t="s">
        <v>286</v>
      </c>
      <c r="W486" s="21">
        <v>1</v>
      </c>
      <c r="X486" s="21" t="s">
        <v>323</v>
      </c>
      <c r="Y486" s="21" t="s">
        <v>284</v>
      </c>
      <c r="Z486" s="21" t="s">
        <v>283</v>
      </c>
      <c r="AA486" s="21" t="s">
        <v>65</v>
      </c>
      <c r="AB486" s="21">
        <v>1</v>
      </c>
      <c r="AD486" s="24">
        <v>8.08</v>
      </c>
      <c r="AE486" s="24">
        <v>7.33</v>
      </c>
      <c r="AF486" s="21" t="s">
        <v>304</v>
      </c>
      <c r="AG486" s="21" t="s">
        <v>303</v>
      </c>
    </row>
    <row r="487" spans="1:33">
      <c r="A487" s="21" t="s">
        <v>65</v>
      </c>
      <c r="B487" s="21" t="s">
        <v>376</v>
      </c>
      <c r="C487" s="25">
        <v>46094.645833333336</v>
      </c>
      <c r="D487" s="21" t="s">
        <v>61</v>
      </c>
      <c r="E487" s="24">
        <v>6.11</v>
      </c>
      <c r="F487" s="24">
        <v>7.09</v>
      </c>
      <c r="G487" s="24">
        <f>E487-F487</f>
        <v>-0.97999999999999954</v>
      </c>
      <c r="H487" s="21" t="s">
        <v>294</v>
      </c>
      <c r="I487" s="21">
        <v>0</v>
      </c>
      <c r="J487" s="21">
        <v>6</v>
      </c>
      <c r="K487" s="21">
        <v>1</v>
      </c>
      <c r="L487" s="21">
        <v>2</v>
      </c>
      <c r="M487" s="21">
        <v>6</v>
      </c>
      <c r="N487" s="21">
        <v>6</v>
      </c>
      <c r="O487" s="21">
        <v>7</v>
      </c>
      <c r="P487" s="24">
        <f>J487+L487+N487</f>
        <v>14</v>
      </c>
      <c r="Q487" s="24">
        <f>K487+M487+O487</f>
        <v>14</v>
      </c>
      <c r="R487" s="24">
        <v>9.6855345911949692E-2</v>
      </c>
      <c r="S487" s="21" t="s">
        <v>245</v>
      </c>
      <c r="U487" s="21" t="s">
        <v>287</v>
      </c>
      <c r="V487" s="21" t="s">
        <v>286</v>
      </c>
      <c r="W487" s="21">
        <v>3</v>
      </c>
      <c r="X487" s="21" t="s">
        <v>285</v>
      </c>
      <c r="Y487" s="21" t="s">
        <v>284</v>
      </c>
      <c r="Z487" s="21" t="s">
        <v>283</v>
      </c>
      <c r="AA487" s="21" t="s">
        <v>65</v>
      </c>
      <c r="AB487" s="21">
        <v>1</v>
      </c>
      <c r="AD487" s="24">
        <v>8.08</v>
      </c>
      <c r="AE487" s="24">
        <v>6.96</v>
      </c>
      <c r="AF487" s="21" t="s">
        <v>304</v>
      </c>
      <c r="AG487" s="21" t="s">
        <v>341</v>
      </c>
    </row>
    <row r="488" spans="1:33">
      <c r="A488" s="21" t="s">
        <v>65</v>
      </c>
      <c r="B488" s="21" t="s">
        <v>376</v>
      </c>
      <c r="C488" s="25">
        <v>46100.645833333336</v>
      </c>
      <c r="D488" s="21" t="s">
        <v>46</v>
      </c>
      <c r="E488" s="24">
        <v>6.59</v>
      </c>
      <c r="F488" s="24">
        <v>7.32</v>
      </c>
      <c r="G488" s="24">
        <f>E488-F488</f>
        <v>-0.73000000000000043</v>
      </c>
      <c r="H488" s="21" t="s">
        <v>289</v>
      </c>
      <c r="I488" s="21">
        <v>1</v>
      </c>
      <c r="J488" s="21">
        <v>6</v>
      </c>
      <c r="K488" s="21">
        <v>3</v>
      </c>
      <c r="L488" s="21">
        <v>6</v>
      </c>
      <c r="M488" s="21">
        <v>2</v>
      </c>
      <c r="P488" s="24">
        <f>J488+L488+N488</f>
        <v>12</v>
      </c>
      <c r="Q488" s="24">
        <f>K488+M488+O488</f>
        <v>5</v>
      </c>
      <c r="R488" s="24">
        <v>0.70588235294117652</v>
      </c>
      <c r="S488" s="21" t="s">
        <v>225</v>
      </c>
      <c r="U488" s="21" t="s">
        <v>287</v>
      </c>
      <c r="V488" s="21" t="s">
        <v>286</v>
      </c>
      <c r="W488" s="21">
        <v>4</v>
      </c>
      <c r="X488" s="21" t="s">
        <v>285</v>
      </c>
      <c r="Y488" s="21" t="s">
        <v>284</v>
      </c>
      <c r="Z488" s="21" t="s">
        <v>283</v>
      </c>
      <c r="AA488" s="21" t="s">
        <v>65</v>
      </c>
      <c r="AB488" s="21">
        <v>1</v>
      </c>
      <c r="AD488" s="24">
        <v>8.08</v>
      </c>
      <c r="AE488" s="24">
        <v>7.82</v>
      </c>
      <c r="AF488" s="21" t="s">
        <v>304</v>
      </c>
      <c r="AG488" s="21" t="s">
        <v>303</v>
      </c>
    </row>
    <row r="489" spans="1:33">
      <c r="A489" s="21" t="s">
        <v>65</v>
      </c>
      <c r="B489" s="21" t="s">
        <v>376</v>
      </c>
      <c r="C489" s="25">
        <v>46105.645833333336</v>
      </c>
      <c r="D489" s="21" t="s">
        <v>107</v>
      </c>
      <c r="E489" s="24">
        <v>6.58</v>
      </c>
      <c r="F489" s="24">
        <v>5.7</v>
      </c>
      <c r="G489" s="24">
        <f>E489-F489</f>
        <v>0.87999999999999989</v>
      </c>
      <c r="H489" s="21" t="s">
        <v>289</v>
      </c>
      <c r="I489" s="21">
        <v>1</v>
      </c>
      <c r="J489" s="21">
        <v>4</v>
      </c>
      <c r="K489" s="21">
        <v>6</v>
      </c>
      <c r="L489" s="21">
        <v>6</v>
      </c>
      <c r="M489" s="21">
        <v>2</v>
      </c>
      <c r="N489" s="21">
        <v>6</v>
      </c>
      <c r="O489" s="21">
        <v>1</v>
      </c>
      <c r="P489" s="24">
        <f>J489+L489+N489</f>
        <v>16</v>
      </c>
      <c r="Q489" s="24">
        <f>K489+M489+O489</f>
        <v>9</v>
      </c>
      <c r="R489" s="24">
        <v>0.64</v>
      </c>
      <c r="S489" s="21" t="s">
        <v>217</v>
      </c>
      <c r="U489" s="21" t="s">
        <v>287</v>
      </c>
      <c r="V489" s="21" t="s">
        <v>286</v>
      </c>
      <c r="W489" s="21">
        <v>5</v>
      </c>
      <c r="X489" s="21" t="s">
        <v>285</v>
      </c>
      <c r="Y489" s="21" t="s">
        <v>284</v>
      </c>
      <c r="Z489" s="21" t="s">
        <v>283</v>
      </c>
      <c r="AA489" s="21" t="s">
        <v>65</v>
      </c>
      <c r="AB489" s="21">
        <v>1</v>
      </c>
      <c r="AD489" s="24">
        <v>8.08</v>
      </c>
      <c r="AE489" s="24">
        <v>6.03</v>
      </c>
      <c r="AF489" s="21" t="s">
        <v>304</v>
      </c>
      <c r="AG489" s="21" t="s">
        <v>303</v>
      </c>
    </row>
    <row r="490" spans="1:33">
      <c r="A490" s="21" t="s">
        <v>65</v>
      </c>
      <c r="B490" s="21" t="s">
        <v>376</v>
      </c>
      <c r="C490" s="25">
        <v>46106.645833333336</v>
      </c>
      <c r="D490" s="21" t="s">
        <v>14</v>
      </c>
      <c r="E490" s="24">
        <v>6.58</v>
      </c>
      <c r="F490" s="24">
        <v>6.72</v>
      </c>
      <c r="G490" s="24">
        <f>E490-F490</f>
        <v>-0.13999999999999968</v>
      </c>
      <c r="H490" s="21" t="s">
        <v>289</v>
      </c>
      <c r="I490" s="21">
        <v>1</v>
      </c>
      <c r="J490" s="21">
        <v>6</v>
      </c>
      <c r="K490" s="21">
        <v>7</v>
      </c>
      <c r="L490" s="21">
        <v>6</v>
      </c>
      <c r="M490" s="21">
        <v>3</v>
      </c>
      <c r="N490" s="21">
        <v>6</v>
      </c>
      <c r="O490" s="21">
        <v>4</v>
      </c>
      <c r="P490" s="24">
        <f>J490+L490+N490</f>
        <v>18</v>
      </c>
      <c r="Q490" s="24">
        <f>K490+M490+O490</f>
        <v>14</v>
      </c>
      <c r="R490" s="24">
        <v>0.47826086956521741</v>
      </c>
      <c r="S490" s="21" t="s">
        <v>209</v>
      </c>
      <c r="U490" s="21" t="s">
        <v>287</v>
      </c>
      <c r="V490" s="21" t="s">
        <v>286</v>
      </c>
      <c r="W490" s="21">
        <v>7</v>
      </c>
      <c r="X490" s="21" t="s">
        <v>285</v>
      </c>
      <c r="Y490" s="21" t="s">
        <v>284</v>
      </c>
      <c r="Z490" s="21" t="s">
        <v>283</v>
      </c>
      <c r="AA490" s="21" t="s">
        <v>65</v>
      </c>
      <c r="AB490" s="21">
        <v>1</v>
      </c>
      <c r="AD490" s="24">
        <v>8.08</v>
      </c>
      <c r="AE490" s="24">
        <v>7.87</v>
      </c>
      <c r="AF490" s="21" t="s">
        <v>304</v>
      </c>
      <c r="AG490" s="21" t="s">
        <v>303</v>
      </c>
    </row>
    <row r="491" spans="1:33">
      <c r="A491" s="21" t="s">
        <v>65</v>
      </c>
      <c r="B491" s="21" t="s">
        <v>376</v>
      </c>
      <c r="C491" s="25">
        <v>46108.645833333336</v>
      </c>
      <c r="D491" s="21" t="s">
        <v>28</v>
      </c>
      <c r="E491" s="24">
        <v>6.58</v>
      </c>
      <c r="F491" s="24">
        <v>7.94</v>
      </c>
      <c r="G491" s="24">
        <f>E491-F491</f>
        <v>-1.3600000000000003</v>
      </c>
      <c r="H491" s="21" t="s">
        <v>294</v>
      </c>
      <c r="I491" s="21">
        <v>0</v>
      </c>
      <c r="J491" s="21">
        <v>2</v>
      </c>
      <c r="K491" s="21">
        <v>6</v>
      </c>
      <c r="L491" s="21">
        <v>2</v>
      </c>
      <c r="M491" s="21">
        <v>6</v>
      </c>
      <c r="P491" s="24">
        <f>J491+L491+N491</f>
        <v>4</v>
      </c>
      <c r="Q491" s="24">
        <f>K491+M491+O491</f>
        <v>12</v>
      </c>
      <c r="R491" s="24">
        <v>0.25</v>
      </c>
      <c r="S491" s="21" t="s">
        <v>192</v>
      </c>
      <c r="U491" s="21" t="s">
        <v>287</v>
      </c>
      <c r="V491" s="21" t="s">
        <v>286</v>
      </c>
      <c r="W491" s="21">
        <v>8</v>
      </c>
      <c r="X491" s="21" t="s">
        <v>285</v>
      </c>
      <c r="Y491" s="21" t="s">
        <v>284</v>
      </c>
      <c r="Z491" s="21" t="s">
        <v>283</v>
      </c>
      <c r="AA491" s="21" t="s">
        <v>65</v>
      </c>
      <c r="AB491" s="21">
        <v>1</v>
      </c>
      <c r="AD491" s="24">
        <v>8.08</v>
      </c>
      <c r="AE491" s="24">
        <v>8.4700000000000006</v>
      </c>
      <c r="AF491" s="21" t="s">
        <v>304</v>
      </c>
      <c r="AG491" s="21" t="s">
        <v>303</v>
      </c>
    </row>
    <row r="492" spans="1:33">
      <c r="A492" s="21" t="s">
        <v>65</v>
      </c>
      <c r="B492" s="21" t="s">
        <v>376</v>
      </c>
      <c r="C492" s="25">
        <v>46111.645833333336</v>
      </c>
      <c r="D492" s="21" t="s">
        <v>165</v>
      </c>
      <c r="E492" s="24">
        <v>6.58</v>
      </c>
      <c r="F492" s="24">
        <v>5.54</v>
      </c>
      <c r="G492" s="24">
        <f>E492-F492</f>
        <v>1.04</v>
      </c>
      <c r="H492" s="21" t="s">
        <v>289</v>
      </c>
      <c r="I492" s="21">
        <v>1</v>
      </c>
      <c r="J492" s="21">
        <v>6</v>
      </c>
      <c r="K492" s="21">
        <v>1</v>
      </c>
      <c r="L492" s="21">
        <v>6</v>
      </c>
      <c r="M492" s="21">
        <v>1</v>
      </c>
      <c r="P492" s="24">
        <f>J492+L492+N492</f>
        <v>12</v>
      </c>
      <c r="Q492" s="24">
        <f>K492+M492+O492</f>
        <v>2</v>
      </c>
      <c r="R492" s="24">
        <v>0.8571428571428571</v>
      </c>
      <c r="S492" s="21" t="s">
        <v>186</v>
      </c>
      <c r="U492" s="21" t="s">
        <v>287</v>
      </c>
      <c r="V492" s="21" t="s">
        <v>286</v>
      </c>
      <c r="W492" s="21">
        <v>9</v>
      </c>
      <c r="X492" s="21" t="s">
        <v>285</v>
      </c>
      <c r="Y492" s="21" t="s">
        <v>284</v>
      </c>
      <c r="Z492" s="21" t="s">
        <v>283</v>
      </c>
      <c r="AA492" s="21" t="s">
        <v>65</v>
      </c>
      <c r="AB492" s="21">
        <v>1</v>
      </c>
      <c r="AD492" s="24">
        <v>8.08</v>
      </c>
      <c r="AE492" s="24">
        <v>6.12</v>
      </c>
      <c r="AF492" s="21" t="s">
        <v>304</v>
      </c>
      <c r="AG492" s="21" t="s">
        <v>303</v>
      </c>
    </row>
    <row r="493" spans="1:33">
      <c r="A493" s="21" t="s">
        <v>65</v>
      </c>
      <c r="B493" s="21" t="s">
        <v>376</v>
      </c>
      <c r="C493" s="25">
        <v>46119.645833333336</v>
      </c>
      <c r="D493" s="21" t="s">
        <v>309</v>
      </c>
      <c r="E493" s="24">
        <v>7.14</v>
      </c>
      <c r="F493" s="24">
        <v>3.63</v>
      </c>
      <c r="G493" s="24">
        <f>E493-F493</f>
        <v>3.51</v>
      </c>
      <c r="H493" s="21" t="s">
        <v>289</v>
      </c>
      <c r="I493" s="21">
        <v>1</v>
      </c>
      <c r="J493" s="21">
        <v>6</v>
      </c>
      <c r="K493" s="21">
        <v>0</v>
      </c>
      <c r="L493" s="21">
        <v>6</v>
      </c>
      <c r="M493" s="21">
        <v>0</v>
      </c>
      <c r="P493" s="24">
        <f>J493+L493+N493</f>
        <v>12</v>
      </c>
      <c r="Q493" s="24">
        <f>K493+M493+O493</f>
        <v>0</v>
      </c>
      <c r="R493" s="24">
        <v>1</v>
      </c>
      <c r="S493" s="21" t="s">
        <v>378</v>
      </c>
      <c r="U493" s="21" t="s">
        <v>287</v>
      </c>
      <c r="V493" s="21" t="s">
        <v>286</v>
      </c>
      <c r="W493" s="21">
        <v>10</v>
      </c>
      <c r="X493" s="21" t="s">
        <v>285</v>
      </c>
      <c r="Y493" s="21" t="s">
        <v>284</v>
      </c>
      <c r="Z493" s="21" t="s">
        <v>283</v>
      </c>
      <c r="AA493" s="21" t="s">
        <v>65</v>
      </c>
      <c r="AB493" s="21">
        <v>1</v>
      </c>
      <c r="AD493" s="24">
        <v>8.08</v>
      </c>
      <c r="AE493" s="24">
        <v>3.86</v>
      </c>
      <c r="AF493" s="21" t="s">
        <v>302</v>
      </c>
      <c r="AG493" s="21" t="s">
        <v>301</v>
      </c>
    </row>
    <row r="494" spans="1:33">
      <c r="A494" s="21" t="s">
        <v>65</v>
      </c>
      <c r="B494" s="21" t="s">
        <v>376</v>
      </c>
      <c r="C494" s="25">
        <v>46121.645833333336</v>
      </c>
      <c r="D494" s="21" t="s">
        <v>124</v>
      </c>
      <c r="E494" s="24">
        <v>7.14</v>
      </c>
      <c r="F494" s="24">
        <v>5.32</v>
      </c>
      <c r="G494" s="24">
        <f>E494-F494</f>
        <v>1.8199999999999994</v>
      </c>
      <c r="H494" s="21" t="s">
        <v>289</v>
      </c>
      <c r="I494" s="21">
        <v>1</v>
      </c>
      <c r="J494" s="21">
        <v>6</v>
      </c>
      <c r="K494" s="21">
        <v>2</v>
      </c>
      <c r="L494" s="21">
        <v>6</v>
      </c>
      <c r="M494" s="21">
        <v>4</v>
      </c>
      <c r="P494" s="24">
        <f>J494+L494+N494</f>
        <v>12</v>
      </c>
      <c r="Q494" s="24">
        <f>K494+M494+O494</f>
        <v>6</v>
      </c>
      <c r="R494" s="24">
        <v>0.66666666666666663</v>
      </c>
      <c r="S494" s="21" t="s">
        <v>152</v>
      </c>
      <c r="U494" s="21" t="s">
        <v>287</v>
      </c>
      <c r="V494" s="21" t="s">
        <v>286</v>
      </c>
      <c r="W494" s="21">
        <v>11</v>
      </c>
      <c r="X494" s="21" t="s">
        <v>285</v>
      </c>
      <c r="Y494" s="21" t="s">
        <v>284</v>
      </c>
      <c r="Z494" s="21" t="s">
        <v>283</v>
      </c>
      <c r="AA494" s="21" t="s">
        <v>65</v>
      </c>
      <c r="AB494" s="21">
        <v>1</v>
      </c>
      <c r="AD494" s="24">
        <v>8.08</v>
      </c>
      <c r="AE494" s="24">
        <v>6.19</v>
      </c>
      <c r="AF494" s="21" t="s">
        <v>304</v>
      </c>
      <c r="AG494" s="21" t="s">
        <v>303</v>
      </c>
    </row>
    <row r="495" spans="1:33">
      <c r="A495" s="21" t="s">
        <v>65</v>
      </c>
      <c r="B495" s="21" t="s">
        <v>376</v>
      </c>
      <c r="C495" s="25">
        <v>46122.645833333336</v>
      </c>
      <c r="D495" s="21" t="s">
        <v>143</v>
      </c>
      <c r="E495" s="24">
        <v>7.14</v>
      </c>
      <c r="F495" s="24">
        <v>6.48</v>
      </c>
      <c r="G495" s="24">
        <f>E495-F495</f>
        <v>0.65999999999999925</v>
      </c>
      <c r="H495" s="21" t="s">
        <v>289</v>
      </c>
      <c r="I495" s="21">
        <v>1</v>
      </c>
      <c r="J495" s="21">
        <v>6</v>
      </c>
      <c r="K495" s="21">
        <v>1</v>
      </c>
      <c r="L495" s="21">
        <v>6</v>
      </c>
      <c r="M495" s="21">
        <v>4</v>
      </c>
      <c r="P495" s="24">
        <f>J495+L495+N495</f>
        <v>12</v>
      </c>
      <c r="Q495" s="24">
        <f>K495+M495+O495</f>
        <v>5</v>
      </c>
      <c r="R495" s="24">
        <v>0.70588235294117652</v>
      </c>
      <c r="S495" s="21" t="s">
        <v>132</v>
      </c>
      <c r="U495" s="21" t="s">
        <v>287</v>
      </c>
      <c r="V495" s="21" t="s">
        <v>286</v>
      </c>
      <c r="W495" s="21">
        <v>12</v>
      </c>
      <c r="X495" s="21" t="s">
        <v>285</v>
      </c>
      <c r="Y495" s="21" t="s">
        <v>284</v>
      </c>
      <c r="Z495" s="21" t="s">
        <v>283</v>
      </c>
      <c r="AA495" s="21" t="s">
        <v>65</v>
      </c>
      <c r="AB495" s="21">
        <v>1</v>
      </c>
      <c r="AD495" s="24">
        <v>8.08</v>
      </c>
      <c r="AE495" s="24">
        <v>7.44</v>
      </c>
      <c r="AF495" s="21" t="s">
        <v>304</v>
      </c>
      <c r="AG495" s="21" t="s">
        <v>303</v>
      </c>
    </row>
    <row r="496" spans="1:33">
      <c r="A496" s="21" t="s">
        <v>65</v>
      </c>
      <c r="B496" s="21" t="s">
        <v>376</v>
      </c>
      <c r="C496" s="25">
        <v>46131.780555555553</v>
      </c>
      <c r="D496" s="21" t="s">
        <v>107</v>
      </c>
      <c r="E496" s="24">
        <v>7.3</v>
      </c>
      <c r="F496" s="24">
        <v>5.63</v>
      </c>
      <c r="G496" s="24">
        <f>E496-F496</f>
        <v>1.67</v>
      </c>
      <c r="H496" s="21" t="s">
        <v>289</v>
      </c>
      <c r="I496" s="21">
        <v>1</v>
      </c>
      <c r="J496" s="21">
        <v>7</v>
      </c>
      <c r="K496" s="21">
        <v>5</v>
      </c>
      <c r="L496" s="21">
        <v>6</v>
      </c>
      <c r="M496" s="21">
        <v>3</v>
      </c>
      <c r="P496" s="24">
        <f>J496+L496+N496</f>
        <v>13</v>
      </c>
      <c r="Q496" s="24">
        <f>K496+M496+O496</f>
        <v>8</v>
      </c>
      <c r="R496" s="24">
        <v>0.61904761904761907</v>
      </c>
      <c r="S496" s="21" t="s">
        <v>29</v>
      </c>
      <c r="U496" s="21" t="s">
        <v>292</v>
      </c>
      <c r="V496" s="21" t="s">
        <v>286</v>
      </c>
      <c r="W496" s="21">
        <v>13</v>
      </c>
      <c r="X496" s="21" t="s">
        <v>285</v>
      </c>
      <c r="Y496" s="21" t="s">
        <v>284</v>
      </c>
      <c r="Z496" s="21" t="s">
        <v>283</v>
      </c>
      <c r="AA496" s="21" t="s">
        <v>65</v>
      </c>
      <c r="AB496" s="21">
        <v>1</v>
      </c>
      <c r="AD496" s="24">
        <v>8.08</v>
      </c>
      <c r="AE496" s="24">
        <v>6.03</v>
      </c>
      <c r="AF496" s="21" t="s">
        <v>304</v>
      </c>
      <c r="AG496" s="21" t="s">
        <v>303</v>
      </c>
    </row>
    <row r="497" spans="1:33">
      <c r="A497" s="21" t="s">
        <v>65</v>
      </c>
      <c r="B497" s="21" t="s">
        <v>376</v>
      </c>
      <c r="C497" s="25">
        <v>46131.78125</v>
      </c>
      <c r="D497" s="21" t="s">
        <v>14</v>
      </c>
      <c r="E497" s="24">
        <v>7.3</v>
      </c>
      <c r="F497" s="24">
        <v>6.78</v>
      </c>
      <c r="G497" s="24">
        <f>E497-F497</f>
        <v>0.51999999999999957</v>
      </c>
      <c r="H497" s="21" t="s">
        <v>294</v>
      </c>
      <c r="I497" s="21">
        <v>0</v>
      </c>
      <c r="J497" s="21">
        <v>7</v>
      </c>
      <c r="K497" s="21">
        <v>6</v>
      </c>
      <c r="L497" s="21">
        <v>4</v>
      </c>
      <c r="M497" s="21">
        <v>6</v>
      </c>
      <c r="N497" s="21">
        <v>3</v>
      </c>
      <c r="O497" s="21">
        <v>6</v>
      </c>
      <c r="P497" s="24">
        <f>J497+L497+N497</f>
        <v>14</v>
      </c>
      <c r="Q497" s="24">
        <f>K497+M497+O497</f>
        <v>18</v>
      </c>
      <c r="R497" s="24">
        <v>0.52173913043478259</v>
      </c>
      <c r="S497" s="21" t="s">
        <v>29</v>
      </c>
      <c r="U497" s="21" t="s">
        <v>292</v>
      </c>
      <c r="V497" s="21" t="s">
        <v>286</v>
      </c>
      <c r="W497" s="21">
        <v>14</v>
      </c>
      <c r="X497" s="21" t="s">
        <v>285</v>
      </c>
      <c r="Y497" s="21" t="s">
        <v>284</v>
      </c>
      <c r="Z497" s="21" t="s">
        <v>283</v>
      </c>
      <c r="AA497" s="21" t="s">
        <v>65</v>
      </c>
      <c r="AB497" s="21">
        <v>1</v>
      </c>
      <c r="AD497" s="24">
        <v>8.08</v>
      </c>
      <c r="AE497" s="24">
        <v>7.87</v>
      </c>
      <c r="AF497" s="21" t="s">
        <v>302</v>
      </c>
      <c r="AG497" s="21" t="s">
        <v>301</v>
      </c>
    </row>
    <row r="498" spans="1:33">
      <c r="A498" s="21" t="s">
        <v>65</v>
      </c>
      <c r="B498" s="21" t="s">
        <v>376</v>
      </c>
      <c r="C498" s="25">
        <v>46141.575694444444</v>
      </c>
      <c r="D498" s="21" t="s">
        <v>672</v>
      </c>
      <c r="E498" s="24">
        <v>7.72</v>
      </c>
      <c r="F498" s="24">
        <v>6.88</v>
      </c>
      <c r="G498" s="24">
        <f>E498-F498</f>
        <v>0.83999999999999986</v>
      </c>
      <c r="H498" s="21" t="s">
        <v>289</v>
      </c>
      <c r="I498" s="21">
        <v>1</v>
      </c>
      <c r="J498" s="21">
        <v>6</v>
      </c>
      <c r="K498" s="21">
        <v>4</v>
      </c>
      <c r="L498" s="21">
        <v>5</v>
      </c>
      <c r="M498" s="21">
        <v>7</v>
      </c>
      <c r="N498" s="21">
        <v>1</v>
      </c>
      <c r="O498" s="21">
        <v>0</v>
      </c>
      <c r="P498" s="24">
        <f>J498+L498+N498</f>
        <v>12</v>
      </c>
      <c r="Q498" s="24">
        <f>K498+M498+O498</f>
        <v>11</v>
      </c>
      <c r="R498" s="24">
        <v>0.87050359712230219</v>
      </c>
      <c r="S498" s="21" t="s">
        <v>29</v>
      </c>
      <c r="T498" s="21" t="s">
        <v>298</v>
      </c>
      <c r="U498" s="21" t="s">
        <v>292</v>
      </c>
      <c r="V498" s="21" t="s">
        <v>286</v>
      </c>
      <c r="W498" s="21">
        <v>15</v>
      </c>
      <c r="X498" s="21" t="s">
        <v>285</v>
      </c>
      <c r="Y498" s="21" t="s">
        <v>284</v>
      </c>
      <c r="Z498" s="21" t="s">
        <v>283</v>
      </c>
      <c r="AA498" s="21" t="s">
        <v>65</v>
      </c>
      <c r="AB498" s="21">
        <v>1</v>
      </c>
      <c r="AD498" s="24">
        <v>8.08</v>
      </c>
      <c r="AE498" s="24">
        <v>6.88</v>
      </c>
      <c r="AF498" s="21" t="s">
        <v>304</v>
      </c>
      <c r="AG498" s="21" t="s">
        <v>303</v>
      </c>
    </row>
    <row r="499" spans="1:33">
      <c r="A499" s="21" t="s">
        <v>65</v>
      </c>
      <c r="B499" s="21" t="s">
        <v>376</v>
      </c>
      <c r="C499" s="25">
        <v>46141.582638888889</v>
      </c>
      <c r="D499" s="21" t="s">
        <v>40</v>
      </c>
      <c r="E499" s="24">
        <v>7.72</v>
      </c>
      <c r="F499" s="24">
        <v>9.56</v>
      </c>
      <c r="G499" s="24">
        <f>E499-F499</f>
        <v>-1.8400000000000007</v>
      </c>
      <c r="H499" s="21" t="s">
        <v>294</v>
      </c>
      <c r="I499" s="21">
        <v>0</v>
      </c>
      <c r="J499" s="21">
        <v>2</v>
      </c>
      <c r="K499" s="21">
        <v>6</v>
      </c>
      <c r="L499" s="21">
        <v>0</v>
      </c>
      <c r="M499" s="21">
        <v>6</v>
      </c>
      <c r="P499" s="24">
        <f>J499+L499+N499</f>
        <v>2</v>
      </c>
      <c r="Q499" s="24">
        <f>K499+M499+O499</f>
        <v>12</v>
      </c>
      <c r="R499" s="24">
        <v>0.14285714285714285</v>
      </c>
      <c r="S499" s="21" t="s">
        <v>29</v>
      </c>
      <c r="T499" s="21" t="s">
        <v>297</v>
      </c>
      <c r="U499" s="21" t="s">
        <v>292</v>
      </c>
      <c r="V499" s="21" t="s">
        <v>286</v>
      </c>
      <c r="W499" s="21">
        <v>16</v>
      </c>
      <c r="X499" s="21" t="s">
        <v>285</v>
      </c>
      <c r="Y499" s="21" t="s">
        <v>284</v>
      </c>
      <c r="Z499" s="21" t="s">
        <v>283</v>
      </c>
      <c r="AA499" s="21" t="s">
        <v>65</v>
      </c>
      <c r="AB499" s="21">
        <v>1</v>
      </c>
      <c r="AD499" s="24">
        <v>8.08</v>
      </c>
      <c r="AE499" s="24">
        <v>9.84</v>
      </c>
      <c r="AF499" s="21" t="s">
        <v>304</v>
      </c>
      <c r="AG499" s="21" t="s">
        <v>303</v>
      </c>
    </row>
    <row r="500" spans="1:33">
      <c r="A500" s="21" t="s">
        <v>9</v>
      </c>
      <c r="B500" s="21" t="s">
        <v>439</v>
      </c>
      <c r="C500" s="25">
        <v>46092.645833333336</v>
      </c>
      <c r="D500" s="21" t="s">
        <v>117</v>
      </c>
      <c r="E500" s="24">
        <v>7.53</v>
      </c>
      <c r="F500" s="24">
        <v>7.19</v>
      </c>
      <c r="G500" s="24">
        <f>E500-F500</f>
        <v>0.33999999999999986</v>
      </c>
      <c r="H500" s="21" t="s">
        <v>294</v>
      </c>
      <c r="I500" s="21">
        <v>0</v>
      </c>
      <c r="J500" s="21">
        <v>2</v>
      </c>
      <c r="K500" s="21">
        <v>6</v>
      </c>
      <c r="L500" s="21">
        <v>4</v>
      </c>
      <c r="M500" s="21">
        <v>6</v>
      </c>
      <c r="P500" s="24">
        <f>J500+L500+N500</f>
        <v>6</v>
      </c>
      <c r="Q500" s="24">
        <f>K500+M500+O500</f>
        <v>12</v>
      </c>
      <c r="R500" s="24">
        <v>0.33333333333333331</v>
      </c>
      <c r="S500" s="21" t="s">
        <v>342</v>
      </c>
      <c r="U500" s="21" t="s">
        <v>287</v>
      </c>
      <c r="V500" s="21" t="s">
        <v>286</v>
      </c>
      <c r="W500" s="21">
        <v>0</v>
      </c>
      <c r="X500" s="21" t="s">
        <v>312</v>
      </c>
      <c r="Y500" s="21" t="s">
        <v>318</v>
      </c>
      <c r="Z500" s="21" t="s">
        <v>317</v>
      </c>
      <c r="AA500" s="21" t="s">
        <v>9</v>
      </c>
      <c r="AB500" s="21">
        <v>1</v>
      </c>
      <c r="AD500" s="24">
        <v>7.82</v>
      </c>
      <c r="AE500" s="24">
        <v>8.35</v>
      </c>
      <c r="AF500" s="21" t="s">
        <v>304</v>
      </c>
      <c r="AG500" s="21" t="s">
        <v>341</v>
      </c>
    </row>
    <row r="501" spans="1:33">
      <c r="A501" s="21" t="s">
        <v>9</v>
      </c>
      <c r="B501" s="21" t="s">
        <v>439</v>
      </c>
      <c r="C501" s="25">
        <v>46094.645833333336</v>
      </c>
      <c r="D501" s="21" t="s">
        <v>396</v>
      </c>
      <c r="E501" s="24">
        <v>7.53</v>
      </c>
      <c r="F501" s="24">
        <v>2.46</v>
      </c>
      <c r="G501" s="24">
        <f>E501-F501</f>
        <v>5.07</v>
      </c>
      <c r="H501" s="21" t="s">
        <v>289</v>
      </c>
      <c r="I501" s="21">
        <v>1</v>
      </c>
      <c r="J501" s="21">
        <v>6</v>
      </c>
      <c r="K501" s="21">
        <v>0</v>
      </c>
      <c r="L501" s="21">
        <v>6</v>
      </c>
      <c r="M501" s="21">
        <v>0</v>
      </c>
      <c r="P501" s="24">
        <f>J501+L501+N501</f>
        <v>12</v>
      </c>
      <c r="Q501" s="24">
        <f>K501+M501+O501</f>
        <v>0</v>
      </c>
      <c r="R501" s="24">
        <v>1</v>
      </c>
      <c r="S501" s="21" t="s">
        <v>446</v>
      </c>
      <c r="U501" s="21" t="s">
        <v>287</v>
      </c>
      <c r="V501" s="21" t="s">
        <v>286</v>
      </c>
      <c r="W501" s="21">
        <v>1</v>
      </c>
      <c r="X501" s="21" t="s">
        <v>323</v>
      </c>
      <c r="Y501" s="21" t="s">
        <v>318</v>
      </c>
      <c r="Z501" s="21" t="s">
        <v>317</v>
      </c>
      <c r="AA501" s="21" t="s">
        <v>9</v>
      </c>
      <c r="AB501" s="21">
        <v>1</v>
      </c>
      <c r="AD501" s="24">
        <v>7.82</v>
      </c>
      <c r="AE501" s="24">
        <v>3.59</v>
      </c>
      <c r="AF501" s="21" t="s">
        <v>304</v>
      </c>
      <c r="AG501" s="21" t="s">
        <v>303</v>
      </c>
    </row>
    <row r="502" spans="1:33">
      <c r="A502" s="21" t="s">
        <v>9</v>
      </c>
      <c r="B502" s="21" t="s">
        <v>439</v>
      </c>
      <c r="C502" s="25">
        <v>46098.645833333336</v>
      </c>
      <c r="D502" s="21" t="s">
        <v>671</v>
      </c>
      <c r="E502" s="24">
        <v>7.54</v>
      </c>
      <c r="F502" s="24">
        <v>6.17</v>
      </c>
      <c r="G502" s="24">
        <f>E502-F502</f>
        <v>1.37</v>
      </c>
      <c r="H502" s="21" t="s">
        <v>289</v>
      </c>
      <c r="I502" s="21">
        <v>1</v>
      </c>
      <c r="J502" s="21">
        <v>6</v>
      </c>
      <c r="K502" s="21">
        <v>0</v>
      </c>
      <c r="L502" s="21">
        <v>6</v>
      </c>
      <c r="M502" s="21">
        <v>0</v>
      </c>
      <c r="P502" s="24">
        <f>J502+L502+N502</f>
        <v>12</v>
      </c>
      <c r="Q502" s="24">
        <f>K502+M502+O502</f>
        <v>0</v>
      </c>
      <c r="R502" s="24">
        <v>1</v>
      </c>
      <c r="S502" s="21" t="s">
        <v>445</v>
      </c>
      <c r="U502" s="21" t="s">
        <v>287</v>
      </c>
      <c r="V502" s="21" t="s">
        <v>286</v>
      </c>
      <c r="W502" s="21">
        <v>2</v>
      </c>
      <c r="X502" s="21" t="s">
        <v>310</v>
      </c>
      <c r="Y502" s="21" t="s">
        <v>318</v>
      </c>
      <c r="Z502" s="21" t="s">
        <v>317</v>
      </c>
      <c r="AA502" s="21" t="s">
        <v>9</v>
      </c>
      <c r="AB502" s="21">
        <v>1</v>
      </c>
      <c r="AD502" s="24">
        <v>7.82</v>
      </c>
      <c r="AE502" s="24">
        <v>6.17</v>
      </c>
      <c r="AF502" s="21" t="s">
        <v>304</v>
      </c>
      <c r="AG502" s="21" t="s">
        <v>341</v>
      </c>
    </row>
    <row r="503" spans="1:33">
      <c r="A503" s="21" t="s">
        <v>9</v>
      </c>
      <c r="B503" s="21" t="s">
        <v>439</v>
      </c>
      <c r="C503" s="25">
        <v>46099.645833333336</v>
      </c>
      <c r="D503" s="21" t="s">
        <v>128</v>
      </c>
      <c r="E503" s="24">
        <v>7.54</v>
      </c>
      <c r="F503" s="24">
        <v>6.52</v>
      </c>
      <c r="G503" s="24">
        <f>E503-F503</f>
        <v>1.0200000000000005</v>
      </c>
      <c r="H503" s="21" t="s">
        <v>289</v>
      </c>
      <c r="I503" s="21">
        <v>1</v>
      </c>
      <c r="J503" s="21">
        <v>6</v>
      </c>
      <c r="K503" s="21">
        <v>1</v>
      </c>
      <c r="L503" s="21">
        <v>6</v>
      </c>
      <c r="M503" s="21">
        <v>4</v>
      </c>
      <c r="P503" s="24">
        <f>J503+L503+N503</f>
        <v>12</v>
      </c>
      <c r="Q503" s="24">
        <f>K503+M503+O503</f>
        <v>5</v>
      </c>
      <c r="R503" s="24">
        <v>0.70588235294117652</v>
      </c>
      <c r="S503" s="21" t="s">
        <v>444</v>
      </c>
      <c r="U503" s="21" t="s">
        <v>287</v>
      </c>
      <c r="V503" s="21" t="s">
        <v>286</v>
      </c>
      <c r="W503" s="21">
        <v>3</v>
      </c>
      <c r="X503" s="21" t="s">
        <v>285</v>
      </c>
      <c r="Y503" s="21" t="s">
        <v>318</v>
      </c>
      <c r="Z503" s="21" t="s">
        <v>317</v>
      </c>
      <c r="AA503" s="21" t="s">
        <v>9</v>
      </c>
      <c r="AB503" s="21">
        <v>1</v>
      </c>
      <c r="AD503" s="24">
        <v>7.82</v>
      </c>
      <c r="AE503" s="24">
        <v>6.89</v>
      </c>
      <c r="AF503" s="21" t="s">
        <v>302</v>
      </c>
      <c r="AG503" s="21" t="s">
        <v>301</v>
      </c>
    </row>
    <row r="504" spans="1:33">
      <c r="A504" s="21" t="s">
        <v>9</v>
      </c>
      <c r="B504" s="21" t="s">
        <v>439</v>
      </c>
      <c r="C504" s="25">
        <v>46105.645833333336</v>
      </c>
      <c r="D504" s="21" t="s">
        <v>206</v>
      </c>
      <c r="E504" s="24">
        <v>7.48</v>
      </c>
      <c r="F504" s="24">
        <v>5.96</v>
      </c>
      <c r="G504" s="24">
        <f>E504-F504</f>
        <v>1.5200000000000005</v>
      </c>
      <c r="H504" s="21" t="s">
        <v>289</v>
      </c>
      <c r="I504" s="21">
        <v>1</v>
      </c>
      <c r="J504" s="21">
        <v>6</v>
      </c>
      <c r="K504" s="21">
        <v>0</v>
      </c>
      <c r="L504" s="21">
        <v>6</v>
      </c>
      <c r="M504" s="21">
        <v>1</v>
      </c>
      <c r="P504" s="24">
        <f>J504+L504+N504</f>
        <v>12</v>
      </c>
      <c r="Q504" s="24">
        <f>K504+M504+O504</f>
        <v>1</v>
      </c>
      <c r="R504" s="24">
        <v>0.92307692307692313</v>
      </c>
      <c r="S504" s="21" t="s">
        <v>425</v>
      </c>
      <c r="U504" s="21" t="s">
        <v>287</v>
      </c>
      <c r="V504" s="21" t="s">
        <v>286</v>
      </c>
      <c r="W504" s="21">
        <v>4</v>
      </c>
      <c r="X504" s="21" t="s">
        <v>285</v>
      </c>
      <c r="Y504" s="21" t="s">
        <v>318</v>
      </c>
      <c r="Z504" s="21" t="s">
        <v>317</v>
      </c>
      <c r="AA504" s="21" t="s">
        <v>9</v>
      </c>
      <c r="AB504" s="21">
        <v>1</v>
      </c>
      <c r="AD504" s="24">
        <v>7.82</v>
      </c>
      <c r="AE504" s="24">
        <v>5.62</v>
      </c>
      <c r="AF504" s="21" t="s">
        <v>304</v>
      </c>
      <c r="AG504" s="21" t="s">
        <v>303</v>
      </c>
    </row>
    <row r="505" spans="1:33">
      <c r="A505" s="21" t="s">
        <v>9</v>
      </c>
      <c r="B505" s="21" t="s">
        <v>439</v>
      </c>
      <c r="C505" s="25">
        <v>46106.645833333336</v>
      </c>
      <c r="D505" s="21" t="s">
        <v>492</v>
      </c>
      <c r="E505" s="24">
        <v>7.48</v>
      </c>
      <c r="F505" s="24">
        <v>3.57</v>
      </c>
      <c r="G505" s="24">
        <f>E505-F505</f>
        <v>3.9100000000000006</v>
      </c>
      <c r="H505" s="21" t="s">
        <v>289</v>
      </c>
      <c r="I505" s="21">
        <v>1</v>
      </c>
      <c r="J505" s="21">
        <v>6</v>
      </c>
      <c r="K505" s="21">
        <v>0</v>
      </c>
      <c r="L505" s="21">
        <v>6</v>
      </c>
      <c r="M505" s="21">
        <v>0</v>
      </c>
      <c r="P505" s="24">
        <f>J505+L505+N505</f>
        <v>12</v>
      </c>
      <c r="Q505" s="24">
        <f>K505+M505+O505</f>
        <v>0</v>
      </c>
      <c r="R505" s="24">
        <v>1</v>
      </c>
      <c r="S505" s="21" t="s">
        <v>443</v>
      </c>
      <c r="U505" s="21" t="s">
        <v>287</v>
      </c>
      <c r="V505" s="21" t="s">
        <v>286</v>
      </c>
      <c r="W505" s="21">
        <v>5</v>
      </c>
      <c r="X505" s="21" t="s">
        <v>285</v>
      </c>
      <c r="Y505" s="21" t="s">
        <v>318</v>
      </c>
      <c r="Z505" s="21" t="s">
        <v>317</v>
      </c>
      <c r="AA505" s="21" t="s">
        <v>9</v>
      </c>
      <c r="AB505" s="21">
        <v>1</v>
      </c>
      <c r="AD505" s="24">
        <v>7.82</v>
      </c>
      <c r="AE505" s="24">
        <v>3.69</v>
      </c>
      <c r="AF505" s="21" t="s">
        <v>302</v>
      </c>
      <c r="AG505" s="21" t="s">
        <v>301</v>
      </c>
    </row>
    <row r="506" spans="1:33">
      <c r="A506" s="21" t="s">
        <v>9</v>
      </c>
      <c r="B506" s="21" t="s">
        <v>439</v>
      </c>
      <c r="C506" s="25">
        <v>46107.645833333336</v>
      </c>
      <c r="D506" s="21" t="s">
        <v>120</v>
      </c>
      <c r="E506" s="24">
        <v>7.48</v>
      </c>
      <c r="F506" s="24">
        <v>6.99</v>
      </c>
      <c r="G506" s="24">
        <f>E506-F506</f>
        <v>0.49000000000000021</v>
      </c>
      <c r="H506" s="21" t="s">
        <v>289</v>
      </c>
      <c r="I506" s="21">
        <v>1</v>
      </c>
      <c r="J506" s="21">
        <v>6</v>
      </c>
      <c r="K506" s="21">
        <v>1</v>
      </c>
      <c r="L506" s="21">
        <v>6</v>
      </c>
      <c r="M506" s="21">
        <v>0</v>
      </c>
      <c r="P506" s="24">
        <f>J506+L506+N506</f>
        <v>12</v>
      </c>
      <c r="Q506" s="24">
        <f>K506+M506+O506</f>
        <v>1</v>
      </c>
      <c r="R506" s="24">
        <v>0.92307692307692313</v>
      </c>
      <c r="S506" s="21" t="s">
        <v>198</v>
      </c>
      <c r="U506" s="21" t="s">
        <v>287</v>
      </c>
      <c r="V506" s="21" t="s">
        <v>286</v>
      </c>
      <c r="W506" s="21">
        <v>6</v>
      </c>
      <c r="X506" s="21" t="s">
        <v>285</v>
      </c>
      <c r="Y506" s="21" t="s">
        <v>318</v>
      </c>
      <c r="Z506" s="21" t="s">
        <v>317</v>
      </c>
      <c r="AA506" s="21" t="s">
        <v>9</v>
      </c>
      <c r="AB506" s="21">
        <v>1</v>
      </c>
      <c r="AD506" s="24">
        <v>7.82</v>
      </c>
      <c r="AE506" s="24">
        <v>6.5</v>
      </c>
      <c r="AF506" s="21" t="s">
        <v>304</v>
      </c>
      <c r="AG506" s="21" t="s">
        <v>303</v>
      </c>
    </row>
    <row r="507" spans="1:33">
      <c r="A507" s="21" t="s">
        <v>9</v>
      </c>
      <c r="B507" s="21" t="s">
        <v>439</v>
      </c>
      <c r="C507" s="25">
        <v>46108.645833333336</v>
      </c>
      <c r="D507" s="21" t="s">
        <v>10</v>
      </c>
      <c r="E507" s="24">
        <v>7.48</v>
      </c>
      <c r="F507" s="24">
        <v>7.15</v>
      </c>
      <c r="G507" s="24">
        <f>E507-F507</f>
        <v>0.33000000000000007</v>
      </c>
      <c r="H507" s="21" t="s">
        <v>294</v>
      </c>
      <c r="I507" s="21">
        <v>0</v>
      </c>
      <c r="J507" s="21">
        <v>6</v>
      </c>
      <c r="K507" s="21">
        <v>0</v>
      </c>
      <c r="L507" s="21">
        <v>5</v>
      </c>
      <c r="M507" s="21">
        <v>7</v>
      </c>
      <c r="N507" s="21">
        <v>4</v>
      </c>
      <c r="O507" s="21">
        <v>6</v>
      </c>
      <c r="P507" s="24">
        <f>J507+L507+N507</f>
        <v>15</v>
      </c>
      <c r="Q507" s="24">
        <f>K507+M507+O507</f>
        <v>13</v>
      </c>
      <c r="R507" s="24">
        <v>0.5357142857142857</v>
      </c>
      <c r="S507" s="21" t="s">
        <v>11</v>
      </c>
      <c r="U507" s="21" t="s">
        <v>287</v>
      </c>
      <c r="V507" s="21" t="s">
        <v>286</v>
      </c>
      <c r="W507" s="21">
        <v>7</v>
      </c>
      <c r="X507" s="21" t="s">
        <v>285</v>
      </c>
      <c r="Y507" s="21" t="s">
        <v>318</v>
      </c>
      <c r="Z507" s="21" t="s">
        <v>317</v>
      </c>
      <c r="AA507" s="21" t="s">
        <v>9</v>
      </c>
      <c r="AB507" s="21">
        <v>1</v>
      </c>
      <c r="AD507" s="24">
        <v>7.82</v>
      </c>
      <c r="AE507" s="24">
        <v>6.92</v>
      </c>
      <c r="AF507" s="21" t="s">
        <v>304</v>
      </c>
      <c r="AG507" s="21" t="s">
        <v>303</v>
      </c>
    </row>
    <row r="508" spans="1:33">
      <c r="A508" s="21" t="s">
        <v>9</v>
      </c>
      <c r="B508" s="21" t="s">
        <v>439</v>
      </c>
      <c r="C508" s="25">
        <v>46122.645833333336</v>
      </c>
      <c r="D508" s="21" t="s">
        <v>138</v>
      </c>
      <c r="E508" s="24">
        <v>7.52</v>
      </c>
      <c r="F508" s="24">
        <v>7.45</v>
      </c>
      <c r="G508" s="24">
        <f>E508-F508</f>
        <v>6.9999999999999396E-2</v>
      </c>
      <c r="H508" s="21" t="s">
        <v>289</v>
      </c>
      <c r="I508" s="21">
        <v>1</v>
      </c>
      <c r="J508" s="21">
        <v>6</v>
      </c>
      <c r="K508" s="21">
        <v>3</v>
      </c>
      <c r="L508" s="21">
        <v>6</v>
      </c>
      <c r="M508" s="21">
        <v>2</v>
      </c>
      <c r="P508" s="24">
        <f>J508+L508+N508</f>
        <v>12</v>
      </c>
      <c r="Q508" s="24">
        <f>K508+M508+O508</f>
        <v>5</v>
      </c>
      <c r="R508" s="24">
        <v>0.70588235294117652</v>
      </c>
      <c r="S508" s="21" t="s">
        <v>139</v>
      </c>
      <c r="U508" s="21" t="s">
        <v>287</v>
      </c>
      <c r="V508" s="21" t="s">
        <v>286</v>
      </c>
      <c r="W508" s="21">
        <v>8</v>
      </c>
      <c r="X508" s="21" t="s">
        <v>285</v>
      </c>
      <c r="Y508" s="21" t="s">
        <v>318</v>
      </c>
      <c r="Z508" s="21" t="s">
        <v>317</v>
      </c>
      <c r="AA508" s="21" t="s">
        <v>9</v>
      </c>
      <c r="AB508" s="21">
        <v>1</v>
      </c>
      <c r="AD508" s="24">
        <v>7.82</v>
      </c>
      <c r="AE508" s="24">
        <v>7.45</v>
      </c>
      <c r="AF508" s="21" t="s">
        <v>302</v>
      </c>
      <c r="AG508" s="21" t="s">
        <v>301</v>
      </c>
    </row>
    <row r="509" spans="1:33">
      <c r="A509" s="21" t="s">
        <v>9</v>
      </c>
      <c r="B509" s="21" t="s">
        <v>439</v>
      </c>
      <c r="C509" s="25">
        <v>46127.645833333336</v>
      </c>
      <c r="D509" s="21" t="s">
        <v>103</v>
      </c>
      <c r="E509" s="24">
        <v>7.52</v>
      </c>
      <c r="F509" s="24">
        <v>7.21</v>
      </c>
      <c r="G509" s="24">
        <f>E509-F509</f>
        <v>0.30999999999999961</v>
      </c>
      <c r="H509" s="21" t="s">
        <v>289</v>
      </c>
      <c r="I509" s="21">
        <v>1</v>
      </c>
      <c r="J509" s="21">
        <v>6</v>
      </c>
      <c r="K509" s="21">
        <v>4</v>
      </c>
      <c r="L509" s="21">
        <v>6</v>
      </c>
      <c r="M509" s="21">
        <v>0</v>
      </c>
      <c r="P509" s="24">
        <f>J509+L509+N509</f>
        <v>12</v>
      </c>
      <c r="Q509" s="24">
        <f>K509+M509+O509</f>
        <v>4</v>
      </c>
      <c r="R509" s="24">
        <v>0.75</v>
      </c>
      <c r="S509" s="21" t="s">
        <v>95</v>
      </c>
      <c r="U509" s="21" t="s">
        <v>287</v>
      </c>
      <c r="V509" s="21" t="s">
        <v>286</v>
      </c>
      <c r="W509" s="21">
        <v>9</v>
      </c>
      <c r="X509" s="21" t="s">
        <v>285</v>
      </c>
      <c r="Y509" s="21" t="s">
        <v>318</v>
      </c>
      <c r="Z509" s="21" t="s">
        <v>317</v>
      </c>
      <c r="AA509" s="21" t="s">
        <v>9</v>
      </c>
      <c r="AB509" s="21">
        <v>1</v>
      </c>
      <c r="AD509" s="24">
        <v>7.82</v>
      </c>
      <c r="AE509" s="24">
        <v>7.14</v>
      </c>
      <c r="AF509" s="21" t="s">
        <v>302</v>
      </c>
      <c r="AG509" s="21" t="s">
        <v>301</v>
      </c>
    </row>
    <row r="510" spans="1:33">
      <c r="A510" s="21" t="s">
        <v>9</v>
      </c>
      <c r="B510" s="21" t="s">
        <v>439</v>
      </c>
      <c r="C510" s="25">
        <v>46132.645833333336</v>
      </c>
      <c r="D510" s="21" t="s">
        <v>670</v>
      </c>
      <c r="E510" s="24">
        <v>7.52</v>
      </c>
      <c r="F510" s="24">
        <v>4.71</v>
      </c>
      <c r="G510" s="24">
        <f>E510-F510</f>
        <v>2.8099999999999996</v>
      </c>
      <c r="H510" s="21" t="s">
        <v>289</v>
      </c>
      <c r="I510" s="21">
        <v>1</v>
      </c>
      <c r="J510" s="21">
        <v>6</v>
      </c>
      <c r="K510" s="21">
        <v>1</v>
      </c>
      <c r="L510" s="21">
        <v>6</v>
      </c>
      <c r="M510" s="21">
        <v>1</v>
      </c>
      <c r="P510" s="24">
        <f>J510+L510+N510</f>
        <v>12</v>
      </c>
      <c r="Q510" s="24">
        <f>K510+M510+O510</f>
        <v>2</v>
      </c>
      <c r="R510" s="24">
        <v>0.8571428571428571</v>
      </c>
      <c r="S510" s="21" t="s">
        <v>440</v>
      </c>
      <c r="U510" s="21" t="s">
        <v>287</v>
      </c>
      <c r="V510" s="21" t="s">
        <v>286</v>
      </c>
      <c r="W510" s="21">
        <v>10</v>
      </c>
      <c r="X510" s="21" t="s">
        <v>285</v>
      </c>
      <c r="Y510" s="21" t="s">
        <v>318</v>
      </c>
      <c r="Z510" s="21" t="s">
        <v>317</v>
      </c>
      <c r="AA510" s="21" t="s">
        <v>9</v>
      </c>
      <c r="AB510" s="21">
        <v>1</v>
      </c>
      <c r="AD510" s="24">
        <v>7.82</v>
      </c>
      <c r="AE510" s="24">
        <v>4.71</v>
      </c>
      <c r="AF510" s="21" t="s">
        <v>302</v>
      </c>
      <c r="AG510" s="21" t="s">
        <v>301</v>
      </c>
    </row>
    <row r="511" spans="1:33">
      <c r="A511" s="21" t="s">
        <v>9</v>
      </c>
      <c r="B511" s="21" t="s">
        <v>439</v>
      </c>
      <c r="C511" s="25">
        <v>46142.666666666664</v>
      </c>
      <c r="D511" s="21" t="s">
        <v>23</v>
      </c>
      <c r="E511" s="24">
        <v>7.75</v>
      </c>
      <c r="F511" s="24">
        <v>7.56</v>
      </c>
      <c r="G511" s="24">
        <f>E511-F511</f>
        <v>0.19000000000000039</v>
      </c>
      <c r="H511" s="21" t="s">
        <v>289</v>
      </c>
      <c r="I511" s="21">
        <v>1</v>
      </c>
      <c r="J511" s="21">
        <v>6</v>
      </c>
      <c r="K511" s="21">
        <v>1</v>
      </c>
      <c r="L511" s="21">
        <v>6</v>
      </c>
      <c r="M511" s="21">
        <v>1</v>
      </c>
      <c r="P511" s="24">
        <f>J511+L511+N511</f>
        <v>12</v>
      </c>
      <c r="Q511" s="24">
        <f>K511+M511+O511</f>
        <v>2</v>
      </c>
      <c r="R511" s="24">
        <v>0.8571428571428571</v>
      </c>
      <c r="S511" s="21" t="s">
        <v>24</v>
      </c>
      <c r="U511" s="21" t="s">
        <v>287</v>
      </c>
      <c r="V511" s="21" t="s">
        <v>286</v>
      </c>
      <c r="W511" s="21">
        <v>11</v>
      </c>
      <c r="X511" s="21" t="s">
        <v>285</v>
      </c>
      <c r="Y511" s="21" t="s">
        <v>318</v>
      </c>
      <c r="Z511" s="21" t="s">
        <v>317</v>
      </c>
      <c r="AA511" s="21" t="s">
        <v>9</v>
      </c>
      <c r="AB511" s="21">
        <v>1</v>
      </c>
      <c r="AD511" s="24">
        <v>7.82</v>
      </c>
      <c r="AE511" s="24">
        <v>7.15</v>
      </c>
      <c r="AF511" s="21" t="s">
        <v>302</v>
      </c>
      <c r="AG511" s="21" t="s">
        <v>301</v>
      </c>
    </row>
    <row r="512" spans="1:33">
      <c r="A512" s="21" t="s">
        <v>9</v>
      </c>
      <c r="B512" s="21" t="s">
        <v>439</v>
      </c>
      <c r="C512" s="25">
        <v>46146.6875</v>
      </c>
      <c r="D512" s="21" t="s">
        <v>10</v>
      </c>
      <c r="E512" s="24">
        <v>7.75</v>
      </c>
      <c r="F512" s="24">
        <v>7.14</v>
      </c>
      <c r="G512" s="24">
        <f>E512-F512</f>
        <v>0.61000000000000032</v>
      </c>
      <c r="H512" s="21" t="s">
        <v>289</v>
      </c>
      <c r="I512" s="21">
        <v>1</v>
      </c>
      <c r="J512" s="21">
        <v>7</v>
      </c>
      <c r="K512" s="21">
        <v>6</v>
      </c>
      <c r="L512" s="21">
        <v>4</v>
      </c>
      <c r="M512" s="21">
        <v>6</v>
      </c>
      <c r="N512" s="21">
        <v>6</v>
      </c>
      <c r="O512" s="21">
        <v>3</v>
      </c>
      <c r="P512" s="24">
        <f>J512+L512+N512</f>
        <v>17</v>
      </c>
      <c r="Q512" s="24">
        <f>K512+M512+O512</f>
        <v>15</v>
      </c>
      <c r="R512" s="24">
        <v>0.54716981132075471</v>
      </c>
      <c r="S512" s="21" t="s">
        <v>11</v>
      </c>
      <c r="U512" s="21" t="s">
        <v>287</v>
      </c>
      <c r="V512" s="21" t="s">
        <v>286</v>
      </c>
      <c r="W512" s="21">
        <v>12</v>
      </c>
      <c r="X512" s="21" t="s">
        <v>285</v>
      </c>
      <c r="Y512" s="21" t="s">
        <v>318</v>
      </c>
      <c r="Z512" s="21" t="s">
        <v>317</v>
      </c>
      <c r="AA512" s="21" t="s">
        <v>9</v>
      </c>
      <c r="AB512" s="21">
        <v>1</v>
      </c>
      <c r="AD512" s="24">
        <v>7.82</v>
      </c>
      <c r="AE512" s="24">
        <v>6.92</v>
      </c>
      <c r="AF512" s="21" t="s">
        <v>304</v>
      </c>
      <c r="AG512" s="21" t="s">
        <v>303</v>
      </c>
    </row>
    <row r="513" spans="1:33">
      <c r="A513" s="21" t="s">
        <v>145</v>
      </c>
      <c r="B513" s="21" t="s">
        <v>407</v>
      </c>
      <c r="C513" s="25">
        <v>46067</v>
      </c>
      <c r="D513" s="21" t="s">
        <v>590</v>
      </c>
      <c r="E513" s="24">
        <v>8.19</v>
      </c>
      <c r="F513" s="24">
        <v>6.92</v>
      </c>
      <c r="G513" s="24">
        <f>E513-F513</f>
        <v>1.2699999999999996</v>
      </c>
      <c r="H513" s="21" t="s">
        <v>289</v>
      </c>
      <c r="I513" s="21">
        <v>1</v>
      </c>
      <c r="J513" s="21">
        <v>4</v>
      </c>
      <c r="K513" s="21">
        <v>0</v>
      </c>
      <c r="L513" s="21">
        <v>4</v>
      </c>
      <c r="M513" s="21">
        <v>0</v>
      </c>
      <c r="P513" s="24">
        <f>J513+L513+N513</f>
        <v>8</v>
      </c>
      <c r="Q513" s="24">
        <f>K513+M513+O513</f>
        <v>0</v>
      </c>
      <c r="R513" s="24">
        <v>1</v>
      </c>
      <c r="S513" s="21" t="s">
        <v>562</v>
      </c>
      <c r="T513" s="21" t="s">
        <v>454</v>
      </c>
      <c r="U513" s="21" t="s">
        <v>292</v>
      </c>
      <c r="V513" s="21" t="s">
        <v>286</v>
      </c>
      <c r="W513" s="21">
        <v>0</v>
      </c>
      <c r="X513" s="21" t="s">
        <v>312</v>
      </c>
      <c r="Y513" s="21" t="s">
        <v>326</v>
      </c>
      <c r="Z513" s="21" t="s">
        <v>325</v>
      </c>
      <c r="AA513" s="21" t="s">
        <v>145</v>
      </c>
      <c r="AB513" s="21">
        <v>1</v>
      </c>
      <c r="AD513" s="24">
        <v>8.58</v>
      </c>
      <c r="AE513" s="24">
        <v>6.92</v>
      </c>
      <c r="AF513" s="21" t="s">
        <v>302</v>
      </c>
      <c r="AG513" s="21" t="s">
        <v>301</v>
      </c>
    </row>
    <row r="514" spans="1:33">
      <c r="A514" s="21" t="s">
        <v>145</v>
      </c>
      <c r="B514" s="21" t="s">
        <v>407</v>
      </c>
      <c r="C514" s="25">
        <v>46067</v>
      </c>
      <c r="D514" s="21" t="s">
        <v>561</v>
      </c>
      <c r="E514" s="24">
        <v>8.19</v>
      </c>
      <c r="F514" s="24">
        <v>10.45</v>
      </c>
      <c r="G514" s="24">
        <f>E514-F514</f>
        <v>-2.2599999999999998</v>
      </c>
      <c r="H514" s="21" t="s">
        <v>294</v>
      </c>
      <c r="I514" s="21">
        <v>0</v>
      </c>
      <c r="J514" s="21">
        <v>1</v>
      </c>
      <c r="K514" s="21">
        <v>6</v>
      </c>
      <c r="L514" s="21">
        <v>0</v>
      </c>
      <c r="M514" s="21">
        <v>6</v>
      </c>
      <c r="P514" s="24">
        <f>J514+L514+N514</f>
        <v>1</v>
      </c>
      <c r="Q514" s="24">
        <f>K514+M514+O514</f>
        <v>12</v>
      </c>
      <c r="R514" s="24">
        <v>7.6923076923076927E-2</v>
      </c>
      <c r="S514" s="21" t="s">
        <v>562</v>
      </c>
      <c r="T514" s="21" t="s">
        <v>296</v>
      </c>
      <c r="U514" s="21" t="s">
        <v>292</v>
      </c>
      <c r="V514" s="21" t="s">
        <v>286</v>
      </c>
      <c r="W514" s="21">
        <v>0</v>
      </c>
      <c r="X514" s="21" t="s">
        <v>312</v>
      </c>
      <c r="Y514" s="21" t="s">
        <v>326</v>
      </c>
      <c r="Z514" s="21" t="s">
        <v>325</v>
      </c>
      <c r="AA514" s="21" t="s">
        <v>145</v>
      </c>
      <c r="AB514" s="21">
        <v>1</v>
      </c>
      <c r="AD514" s="24">
        <v>8.58</v>
      </c>
      <c r="AE514" s="24">
        <v>10.45</v>
      </c>
      <c r="AF514" s="21" t="s">
        <v>304</v>
      </c>
      <c r="AG514" s="21" t="s">
        <v>303</v>
      </c>
    </row>
    <row r="515" spans="1:33">
      <c r="A515" s="21" t="s">
        <v>145</v>
      </c>
      <c r="B515" s="21" t="s">
        <v>407</v>
      </c>
      <c r="C515" s="25">
        <v>46067</v>
      </c>
      <c r="D515" s="21" t="s">
        <v>669</v>
      </c>
      <c r="E515" s="24">
        <v>8.19</v>
      </c>
      <c r="F515" s="24">
        <v>8.5299999999999994</v>
      </c>
      <c r="G515" s="24">
        <f>E515-F515</f>
        <v>-0.33999999999999986</v>
      </c>
      <c r="H515" s="21" t="s">
        <v>289</v>
      </c>
      <c r="I515" s="21">
        <v>1</v>
      </c>
      <c r="J515" s="21">
        <v>6</v>
      </c>
      <c r="K515" s="21">
        <v>2</v>
      </c>
      <c r="L515" s="21">
        <v>6</v>
      </c>
      <c r="M515" s="21">
        <v>4</v>
      </c>
      <c r="P515" s="24">
        <f>J515+L515+N515</f>
        <v>12</v>
      </c>
      <c r="Q515" s="24">
        <f>K515+M515+O515</f>
        <v>6</v>
      </c>
      <c r="R515" s="24">
        <v>0.66666666666666663</v>
      </c>
      <c r="S515" s="21" t="s">
        <v>562</v>
      </c>
      <c r="T515" s="21" t="s">
        <v>297</v>
      </c>
      <c r="U515" s="21" t="s">
        <v>292</v>
      </c>
      <c r="V515" s="21" t="s">
        <v>286</v>
      </c>
      <c r="W515" s="21">
        <v>0</v>
      </c>
      <c r="X515" s="21" t="s">
        <v>312</v>
      </c>
      <c r="Y515" s="21" t="s">
        <v>326</v>
      </c>
      <c r="Z515" s="21" t="s">
        <v>325</v>
      </c>
      <c r="AA515" s="21" t="s">
        <v>145</v>
      </c>
      <c r="AB515" s="21">
        <v>1</v>
      </c>
      <c r="AD515" s="24">
        <v>8.58</v>
      </c>
      <c r="AE515" s="24">
        <v>8.5299999999999994</v>
      </c>
      <c r="AF515" s="21" t="s">
        <v>304</v>
      </c>
      <c r="AG515" s="21" t="s">
        <v>303</v>
      </c>
    </row>
    <row r="516" spans="1:33">
      <c r="A516" s="21" t="s">
        <v>145</v>
      </c>
      <c r="B516" s="21" t="s">
        <v>407</v>
      </c>
      <c r="C516" s="25">
        <v>46067</v>
      </c>
      <c r="D516" s="21" t="s">
        <v>371</v>
      </c>
      <c r="E516" s="24">
        <v>8.19</v>
      </c>
      <c r="F516" s="24">
        <v>8.9700000000000006</v>
      </c>
      <c r="G516" s="24">
        <f>E516-F516</f>
        <v>-0.78000000000000114</v>
      </c>
      <c r="H516" s="21" t="s">
        <v>294</v>
      </c>
      <c r="I516" s="21">
        <v>0</v>
      </c>
      <c r="J516" s="21">
        <v>1</v>
      </c>
      <c r="K516" s="21">
        <v>4</v>
      </c>
      <c r="L516" s="21">
        <v>3</v>
      </c>
      <c r="M516" s="21">
        <v>5</v>
      </c>
      <c r="P516" s="24">
        <f>J516+L516+N516</f>
        <v>4</v>
      </c>
      <c r="Q516" s="24">
        <f>K516+M516+O516</f>
        <v>9</v>
      </c>
      <c r="R516" s="24">
        <v>0.30769230769230771</v>
      </c>
      <c r="S516" s="21" t="s">
        <v>562</v>
      </c>
      <c r="T516" s="21" t="s">
        <v>420</v>
      </c>
      <c r="U516" s="21" t="s">
        <v>292</v>
      </c>
      <c r="V516" s="21" t="s">
        <v>286</v>
      </c>
      <c r="W516" s="21">
        <v>0</v>
      </c>
      <c r="X516" s="21" t="s">
        <v>312</v>
      </c>
      <c r="Y516" s="21" t="s">
        <v>326</v>
      </c>
      <c r="Z516" s="21" t="s">
        <v>325</v>
      </c>
      <c r="AA516" s="21" t="s">
        <v>145</v>
      </c>
      <c r="AB516" s="21">
        <v>1</v>
      </c>
      <c r="AD516" s="24">
        <v>8.58</v>
      </c>
      <c r="AE516" s="24">
        <v>8.9700000000000006</v>
      </c>
      <c r="AF516" s="21" t="s">
        <v>304</v>
      </c>
      <c r="AG516" s="21" t="s">
        <v>303</v>
      </c>
    </row>
    <row r="517" spans="1:33">
      <c r="A517" s="21" t="s">
        <v>145</v>
      </c>
      <c r="B517" s="21" t="s">
        <v>407</v>
      </c>
      <c r="C517" s="25">
        <v>46095.645833333336</v>
      </c>
      <c r="D517" s="21" t="s">
        <v>17</v>
      </c>
      <c r="E517" s="24">
        <v>8.17</v>
      </c>
      <c r="F517" s="24">
        <v>8.27</v>
      </c>
      <c r="G517" s="24">
        <f>E517-F517</f>
        <v>-9.9999999999999645E-2</v>
      </c>
      <c r="H517" s="21" t="s">
        <v>294</v>
      </c>
      <c r="I517" s="21">
        <v>0</v>
      </c>
      <c r="J517" s="21">
        <v>6</v>
      </c>
      <c r="K517" s="21">
        <v>3</v>
      </c>
      <c r="L517" s="21">
        <v>5</v>
      </c>
      <c r="M517" s="21">
        <v>7</v>
      </c>
      <c r="N517" s="21">
        <v>1</v>
      </c>
      <c r="O517" s="21">
        <v>6</v>
      </c>
      <c r="P517" s="24">
        <f>J517+L517+N517</f>
        <v>12</v>
      </c>
      <c r="Q517" s="24">
        <f>K517+M517+O517</f>
        <v>16</v>
      </c>
      <c r="R517" s="24">
        <v>0.42857142857142855</v>
      </c>
      <c r="S517" s="21" t="s">
        <v>409</v>
      </c>
      <c r="U517" s="21" t="s">
        <v>287</v>
      </c>
      <c r="V517" s="21" t="s">
        <v>286</v>
      </c>
      <c r="W517" s="21">
        <v>4</v>
      </c>
      <c r="X517" s="21" t="s">
        <v>285</v>
      </c>
      <c r="Y517" s="21" t="s">
        <v>326</v>
      </c>
      <c r="Z517" s="21" t="s">
        <v>325</v>
      </c>
      <c r="AA517" s="21" t="s">
        <v>145</v>
      </c>
      <c r="AB517" s="21">
        <v>1</v>
      </c>
      <c r="AD517" s="24">
        <v>8.58</v>
      </c>
      <c r="AE517" s="24">
        <v>8.51</v>
      </c>
      <c r="AF517" s="21" t="s">
        <v>322</v>
      </c>
      <c r="AG517" s="21" t="s">
        <v>301</v>
      </c>
    </row>
    <row r="518" spans="1:33">
      <c r="A518" s="21" t="s">
        <v>145</v>
      </c>
      <c r="B518" s="21" t="s">
        <v>407</v>
      </c>
      <c r="C518" s="25">
        <v>46098.645833333336</v>
      </c>
      <c r="D518" s="21" t="s">
        <v>163</v>
      </c>
      <c r="E518" s="24">
        <v>8.15</v>
      </c>
      <c r="F518" s="24">
        <v>4.53</v>
      </c>
      <c r="G518" s="24">
        <f>E518-F518</f>
        <v>3.62</v>
      </c>
      <c r="H518" s="21" t="s">
        <v>289</v>
      </c>
      <c r="I518" s="21">
        <v>1</v>
      </c>
      <c r="J518" s="21">
        <v>6</v>
      </c>
      <c r="K518" s="21">
        <v>1</v>
      </c>
      <c r="L518" s="21">
        <v>6</v>
      </c>
      <c r="M518" s="21">
        <v>0</v>
      </c>
      <c r="P518" s="24">
        <f>J518+L518+N518</f>
        <v>12</v>
      </c>
      <c r="Q518" s="24">
        <f>K518+M518+O518</f>
        <v>1</v>
      </c>
      <c r="R518" s="24">
        <v>0.92307692307692313</v>
      </c>
      <c r="S518" s="21" t="s">
        <v>408</v>
      </c>
      <c r="U518" s="21" t="s">
        <v>287</v>
      </c>
      <c r="V518" s="21" t="s">
        <v>286</v>
      </c>
      <c r="W518" s="21">
        <v>5</v>
      </c>
      <c r="X518" s="21" t="s">
        <v>285</v>
      </c>
      <c r="Y518" s="21" t="s">
        <v>326</v>
      </c>
      <c r="Z518" s="21" t="s">
        <v>325</v>
      </c>
      <c r="AA518" s="21" t="s">
        <v>145</v>
      </c>
      <c r="AB518" s="21">
        <v>1</v>
      </c>
      <c r="AD518" s="24">
        <v>8.58</v>
      </c>
      <c r="AE518" s="24">
        <v>4.53</v>
      </c>
      <c r="AF518" s="21" t="s">
        <v>322</v>
      </c>
      <c r="AG518" s="21" t="s">
        <v>301</v>
      </c>
    </row>
    <row r="519" spans="1:33">
      <c r="A519" s="21" t="s">
        <v>145</v>
      </c>
      <c r="B519" s="21" t="s">
        <v>407</v>
      </c>
      <c r="C519" s="25">
        <v>46119.333333333336</v>
      </c>
      <c r="D519" s="21" t="s">
        <v>42</v>
      </c>
      <c r="E519" s="24">
        <v>8.15</v>
      </c>
      <c r="F519" s="24">
        <v>8</v>
      </c>
      <c r="G519" s="24">
        <f>E519-F519</f>
        <v>0.15000000000000036</v>
      </c>
      <c r="H519" s="21" t="s">
        <v>289</v>
      </c>
      <c r="I519" s="21">
        <v>1</v>
      </c>
      <c r="J519" s="21">
        <v>6</v>
      </c>
      <c r="K519" s="21">
        <v>0</v>
      </c>
      <c r="L519" s="21">
        <v>6</v>
      </c>
      <c r="M519" s="21">
        <v>1</v>
      </c>
      <c r="P519" s="24">
        <f>J519+L519+N519</f>
        <v>12</v>
      </c>
      <c r="Q519" s="24">
        <f>K519+M519+O519</f>
        <v>1</v>
      </c>
      <c r="R519" s="24">
        <v>0.92307692307692313</v>
      </c>
      <c r="S519" s="21" t="s">
        <v>160</v>
      </c>
      <c r="U519" s="21" t="s">
        <v>287</v>
      </c>
      <c r="V519" s="21" t="s">
        <v>286</v>
      </c>
      <c r="W519" s="21">
        <v>6</v>
      </c>
      <c r="X519" s="21" t="s">
        <v>285</v>
      </c>
      <c r="Y519" s="21" t="s">
        <v>326</v>
      </c>
      <c r="Z519" s="21" t="s">
        <v>325</v>
      </c>
      <c r="AA519" s="21" t="s">
        <v>145</v>
      </c>
      <c r="AB519" s="21">
        <v>1</v>
      </c>
      <c r="AD519" s="24">
        <v>8.58</v>
      </c>
      <c r="AE519" s="24">
        <v>8.3699999999999992</v>
      </c>
      <c r="AF519" s="21" t="s">
        <v>304</v>
      </c>
      <c r="AG519" s="21" t="s">
        <v>341</v>
      </c>
    </row>
    <row r="520" spans="1:33">
      <c r="A520" s="21" t="s">
        <v>145</v>
      </c>
      <c r="B520" s="21" t="s">
        <v>407</v>
      </c>
      <c r="C520" s="25">
        <v>46121.645833333336</v>
      </c>
      <c r="D520" s="21" t="s">
        <v>28</v>
      </c>
      <c r="E520" s="24">
        <v>8.15</v>
      </c>
      <c r="F520" s="24">
        <v>8.06</v>
      </c>
      <c r="G520" s="24">
        <f>E520-F520</f>
        <v>8.9999999999999858E-2</v>
      </c>
      <c r="H520" s="21" t="s">
        <v>294</v>
      </c>
      <c r="I520" s="21">
        <v>0</v>
      </c>
      <c r="J520" s="21">
        <v>4</v>
      </c>
      <c r="K520" s="21">
        <v>6</v>
      </c>
      <c r="L520" s="21">
        <v>3</v>
      </c>
      <c r="M520" s="21">
        <v>6</v>
      </c>
      <c r="P520" s="24">
        <f>J520+L520+N520</f>
        <v>7</v>
      </c>
      <c r="Q520" s="24">
        <f>K520+M520+O520</f>
        <v>12</v>
      </c>
      <c r="R520" s="24">
        <v>0.36842105263157893</v>
      </c>
      <c r="S520" s="21" t="s">
        <v>146</v>
      </c>
      <c r="U520" s="21" t="s">
        <v>287</v>
      </c>
      <c r="V520" s="21" t="s">
        <v>286</v>
      </c>
      <c r="W520" s="21">
        <v>7</v>
      </c>
      <c r="X520" s="21" t="s">
        <v>285</v>
      </c>
      <c r="Y520" s="21" t="s">
        <v>326</v>
      </c>
      <c r="Z520" s="21" t="s">
        <v>325</v>
      </c>
      <c r="AA520" s="21" t="s">
        <v>145</v>
      </c>
      <c r="AB520" s="21">
        <v>1</v>
      </c>
      <c r="AD520" s="24">
        <v>8.58</v>
      </c>
      <c r="AE520" s="24">
        <v>8.57</v>
      </c>
      <c r="AF520" s="21" t="s">
        <v>304</v>
      </c>
      <c r="AG520" s="21" t="s">
        <v>341</v>
      </c>
    </row>
    <row r="521" spans="1:33">
      <c r="A521" s="21" t="s">
        <v>145</v>
      </c>
      <c r="B521" s="21" t="s">
        <v>407</v>
      </c>
      <c r="C521" s="25">
        <v>46127.333333333336</v>
      </c>
      <c r="D521" s="21" t="s">
        <v>140</v>
      </c>
      <c r="E521" s="24">
        <v>8.17</v>
      </c>
      <c r="F521" s="24">
        <v>6.43</v>
      </c>
      <c r="G521" s="24">
        <f>E521-F521</f>
        <v>1.7400000000000002</v>
      </c>
      <c r="H521" s="21" t="s">
        <v>289</v>
      </c>
      <c r="I521" s="21">
        <v>1</v>
      </c>
      <c r="J521" s="21">
        <v>6</v>
      </c>
      <c r="K521" s="21">
        <v>0</v>
      </c>
      <c r="L521" s="21">
        <v>6</v>
      </c>
      <c r="M521" s="21">
        <v>0</v>
      </c>
      <c r="P521" s="24">
        <f>J521+L521+N521</f>
        <v>12</v>
      </c>
      <c r="Q521" s="24">
        <f>K521+M521+O521</f>
        <v>0</v>
      </c>
      <c r="R521" s="24">
        <f>P521/(P521+Q521)</f>
        <v>1</v>
      </c>
      <c r="S521" s="21" t="s">
        <v>406</v>
      </c>
      <c r="U521" s="21" t="s">
        <v>287</v>
      </c>
      <c r="V521" s="21" t="s">
        <v>286</v>
      </c>
      <c r="W521" s="21">
        <v>8</v>
      </c>
      <c r="X521" s="21" t="s">
        <v>285</v>
      </c>
      <c r="Y521" s="21" t="s">
        <v>326</v>
      </c>
      <c r="Z521" s="21" t="s">
        <v>325</v>
      </c>
      <c r="AA521" s="21" t="s">
        <v>145</v>
      </c>
      <c r="AB521" s="21">
        <v>1</v>
      </c>
      <c r="AD521" s="24">
        <v>8.58</v>
      </c>
      <c r="AE521" s="24">
        <v>5.68</v>
      </c>
      <c r="AF521" s="21" t="s">
        <v>304</v>
      </c>
      <c r="AG521" s="21" t="s">
        <v>303</v>
      </c>
    </row>
    <row r="522" spans="1:33">
      <c r="A522" s="21" t="s">
        <v>81</v>
      </c>
      <c r="B522" s="21" t="s">
        <v>510</v>
      </c>
      <c r="C522" s="25">
        <v>46074</v>
      </c>
      <c r="D522" s="21" t="s">
        <v>567</v>
      </c>
      <c r="E522" s="24">
        <v>7.33</v>
      </c>
      <c r="F522" s="24">
        <v>9.27</v>
      </c>
      <c r="G522" s="24">
        <f>E522-F522</f>
        <v>-1.9399999999999995</v>
      </c>
      <c r="H522" s="21" t="s">
        <v>294</v>
      </c>
      <c r="I522" s="21">
        <v>0</v>
      </c>
      <c r="J522" s="21">
        <v>0</v>
      </c>
      <c r="K522" s="21">
        <v>4</v>
      </c>
      <c r="L522" s="21">
        <v>1</v>
      </c>
      <c r="M522" s="21">
        <v>4</v>
      </c>
      <c r="P522" s="24">
        <f>J522+L522+N522</f>
        <v>1</v>
      </c>
      <c r="Q522" s="24">
        <f>K522+M522+O522</f>
        <v>8</v>
      </c>
      <c r="R522" s="24">
        <f>P522/(P522+Q522)</f>
        <v>0.1111111111111111</v>
      </c>
      <c r="S522" s="21" t="s">
        <v>367</v>
      </c>
      <c r="T522" s="21" t="s">
        <v>544</v>
      </c>
      <c r="U522" s="21" t="s">
        <v>292</v>
      </c>
      <c r="V522" s="21" t="s">
        <v>286</v>
      </c>
      <c r="W522" s="21">
        <v>0</v>
      </c>
      <c r="X522" s="21" t="s">
        <v>312</v>
      </c>
      <c r="Y522" s="21" t="s">
        <v>284</v>
      </c>
      <c r="Z522" s="21" t="s">
        <v>283</v>
      </c>
      <c r="AA522" s="21" t="s">
        <v>81</v>
      </c>
      <c r="AB522" s="21">
        <v>1</v>
      </c>
      <c r="AD522" s="24">
        <v>7.33</v>
      </c>
      <c r="AE522" s="24">
        <v>9.27</v>
      </c>
      <c r="AF522" s="21" t="s">
        <v>304</v>
      </c>
      <c r="AG522" s="21" t="s">
        <v>303</v>
      </c>
    </row>
    <row r="523" spans="1:33">
      <c r="A523" s="21" t="s">
        <v>81</v>
      </c>
      <c r="B523" s="21" t="s">
        <v>510</v>
      </c>
      <c r="C523" s="25">
        <v>46074</v>
      </c>
      <c r="D523" s="21" t="s">
        <v>543</v>
      </c>
      <c r="E523" s="24">
        <v>7.33</v>
      </c>
      <c r="F523" s="24">
        <v>10.24</v>
      </c>
      <c r="G523" s="24">
        <f>E523-F523</f>
        <v>-2.91</v>
      </c>
      <c r="H523" s="21" t="s">
        <v>294</v>
      </c>
      <c r="I523" s="21">
        <v>0</v>
      </c>
      <c r="J523" s="21">
        <v>0</v>
      </c>
      <c r="K523" s="21">
        <v>6</v>
      </c>
      <c r="L523" s="21">
        <v>0</v>
      </c>
      <c r="M523" s="21">
        <v>6</v>
      </c>
      <c r="P523" s="24">
        <f>J523+L523+N523</f>
        <v>0</v>
      </c>
      <c r="Q523" s="24">
        <f>K523+M523+O523</f>
        <v>12</v>
      </c>
      <c r="R523" s="24">
        <v>0</v>
      </c>
      <c r="S523" s="21" t="s">
        <v>367</v>
      </c>
      <c r="T523" s="21" t="s">
        <v>297</v>
      </c>
      <c r="U523" s="21" t="s">
        <v>292</v>
      </c>
      <c r="V523" s="21" t="s">
        <v>286</v>
      </c>
      <c r="W523" s="21">
        <v>0</v>
      </c>
      <c r="X523" s="21" t="s">
        <v>312</v>
      </c>
      <c r="Y523" s="21" t="s">
        <v>284</v>
      </c>
      <c r="Z523" s="21" t="s">
        <v>283</v>
      </c>
      <c r="AA523" s="21" t="s">
        <v>81</v>
      </c>
      <c r="AB523" s="21">
        <v>1</v>
      </c>
      <c r="AD523" s="24">
        <v>7.33</v>
      </c>
      <c r="AE523" s="24">
        <v>10.24</v>
      </c>
      <c r="AF523" s="21" t="s">
        <v>302</v>
      </c>
      <c r="AG523" s="21" t="s">
        <v>301</v>
      </c>
    </row>
    <row r="524" spans="1:33">
      <c r="A524" s="21" t="s">
        <v>81</v>
      </c>
      <c r="B524" s="21" t="s">
        <v>510</v>
      </c>
      <c r="C524" s="25">
        <v>46090.645833333336</v>
      </c>
      <c r="D524" s="21" t="s">
        <v>65</v>
      </c>
      <c r="E524" s="24">
        <v>7.43</v>
      </c>
      <c r="F524" s="24">
        <v>6.11</v>
      </c>
      <c r="G524" s="24">
        <f>E524-F524</f>
        <v>1.3199999999999994</v>
      </c>
      <c r="H524" s="21" t="s">
        <v>294</v>
      </c>
      <c r="I524" s="21">
        <v>0</v>
      </c>
      <c r="J524" s="21">
        <v>0</v>
      </c>
      <c r="K524" s="21">
        <v>6</v>
      </c>
      <c r="L524" s="21">
        <v>2</v>
      </c>
      <c r="M524" s="21">
        <v>6</v>
      </c>
      <c r="P524" s="24">
        <f>J524+L524+N524</f>
        <v>2</v>
      </c>
      <c r="Q524" s="24">
        <f>K524+M524+O524</f>
        <v>12</v>
      </c>
      <c r="R524" s="24">
        <v>0.14285714285714285</v>
      </c>
      <c r="S524" s="21" t="s">
        <v>379</v>
      </c>
      <c r="U524" s="21" t="s">
        <v>287</v>
      </c>
      <c r="V524" s="21" t="s">
        <v>286</v>
      </c>
      <c r="W524" s="21">
        <v>2</v>
      </c>
      <c r="X524" s="21" t="s">
        <v>310</v>
      </c>
      <c r="Y524" s="21" t="s">
        <v>284</v>
      </c>
      <c r="Z524" s="21" t="s">
        <v>283</v>
      </c>
      <c r="AA524" s="21" t="s">
        <v>81</v>
      </c>
      <c r="AB524" s="21">
        <v>1</v>
      </c>
      <c r="AD524" s="24">
        <v>7.33</v>
      </c>
      <c r="AE524" s="24">
        <v>8.08</v>
      </c>
      <c r="AF524" s="21" t="s">
        <v>302</v>
      </c>
      <c r="AG524" s="21" t="s">
        <v>301</v>
      </c>
    </row>
    <row r="525" spans="1:33">
      <c r="A525" s="21" t="s">
        <v>81</v>
      </c>
      <c r="B525" s="21" t="s">
        <v>510</v>
      </c>
      <c r="C525" s="25">
        <v>46130.845833333333</v>
      </c>
      <c r="D525" s="21" t="s">
        <v>38</v>
      </c>
      <c r="E525" s="24">
        <v>7.16</v>
      </c>
      <c r="F525" s="24">
        <v>10.18</v>
      </c>
      <c r="G525" s="24">
        <f>E525-F525</f>
        <v>-3.0199999999999996</v>
      </c>
      <c r="H525" s="21" t="s">
        <v>294</v>
      </c>
      <c r="I525" s="21">
        <v>0</v>
      </c>
      <c r="J525" s="21">
        <v>1</v>
      </c>
      <c r="K525" s="21">
        <v>6</v>
      </c>
      <c r="L525" s="21">
        <v>2</v>
      </c>
      <c r="M525" s="21">
        <v>6</v>
      </c>
      <c r="P525" s="24">
        <f>J525+L525+N525</f>
        <v>3</v>
      </c>
      <c r="Q525" s="24">
        <f>K525+M525+O525</f>
        <v>12</v>
      </c>
      <c r="R525" s="24">
        <v>0.2</v>
      </c>
      <c r="T525" s="21" t="s">
        <v>352</v>
      </c>
      <c r="U525" s="21" t="s">
        <v>668</v>
      </c>
      <c r="V525" s="21" t="s">
        <v>286</v>
      </c>
      <c r="W525" s="21">
        <v>4</v>
      </c>
      <c r="X525" s="21" t="s">
        <v>285</v>
      </c>
      <c r="Y525" s="21" t="s">
        <v>284</v>
      </c>
      <c r="Z525" s="21" t="s">
        <v>283</v>
      </c>
      <c r="AA525" s="21" t="s">
        <v>81</v>
      </c>
      <c r="AB525" s="21">
        <v>1</v>
      </c>
      <c r="AD525" s="24">
        <v>7.33</v>
      </c>
      <c r="AE525" s="24">
        <v>10.050000000000001</v>
      </c>
      <c r="AF525" s="21" t="s">
        <v>302</v>
      </c>
      <c r="AG525" s="21" t="s">
        <v>301</v>
      </c>
    </row>
    <row r="526" spans="1:33">
      <c r="A526" s="21" t="s">
        <v>81</v>
      </c>
      <c r="B526" s="21" t="s">
        <v>510</v>
      </c>
      <c r="C526" s="25">
        <v>46130.847222222219</v>
      </c>
      <c r="D526" s="21" t="s">
        <v>1</v>
      </c>
      <c r="E526" s="24">
        <v>7.16</v>
      </c>
      <c r="F526" s="24">
        <v>7.95</v>
      </c>
      <c r="G526" s="24">
        <f>E526-F526</f>
        <v>-0.79</v>
      </c>
      <c r="H526" s="21" t="s">
        <v>294</v>
      </c>
      <c r="I526" s="21">
        <v>0</v>
      </c>
      <c r="J526" s="21">
        <v>0</v>
      </c>
      <c r="K526" s="21">
        <v>6</v>
      </c>
      <c r="L526" s="21">
        <v>6</v>
      </c>
      <c r="M526" s="21">
        <v>0</v>
      </c>
      <c r="N526" s="21">
        <v>0</v>
      </c>
      <c r="O526" s="21">
        <v>1</v>
      </c>
      <c r="P526" s="24">
        <f>J526+L526+N526</f>
        <v>6</v>
      </c>
      <c r="Q526" s="24">
        <f>K526+M526+O526</f>
        <v>7</v>
      </c>
      <c r="R526" s="24">
        <v>0.46153846153846156</v>
      </c>
      <c r="T526" s="21" t="s">
        <v>351</v>
      </c>
      <c r="U526" s="21" t="s">
        <v>668</v>
      </c>
      <c r="V526" s="21" t="s">
        <v>286</v>
      </c>
      <c r="W526" s="21">
        <v>5</v>
      </c>
      <c r="X526" s="21" t="s">
        <v>285</v>
      </c>
      <c r="Y526" s="21" t="s">
        <v>284</v>
      </c>
      <c r="Z526" s="21" t="s">
        <v>283</v>
      </c>
      <c r="AA526" s="21" t="s">
        <v>81</v>
      </c>
      <c r="AB526" s="21">
        <v>1</v>
      </c>
      <c r="AD526" s="24">
        <v>7.33</v>
      </c>
      <c r="AE526" s="24">
        <v>7.87</v>
      </c>
      <c r="AF526" s="21" t="s">
        <v>304</v>
      </c>
      <c r="AG526" s="21" t="s">
        <v>341</v>
      </c>
    </row>
    <row r="527" spans="1:33">
      <c r="A527" s="21" t="s">
        <v>33</v>
      </c>
      <c r="B527" s="21" t="s">
        <v>534</v>
      </c>
      <c r="C527" s="25">
        <v>46094.666666666664</v>
      </c>
      <c r="D527" s="21" t="s">
        <v>658</v>
      </c>
      <c r="E527" s="24">
        <v>5.3</v>
      </c>
      <c r="F527" s="24">
        <v>3.36</v>
      </c>
      <c r="G527" s="24">
        <f>E527-F527</f>
        <v>1.94</v>
      </c>
      <c r="H527" s="21" t="s">
        <v>289</v>
      </c>
      <c r="I527" s="21">
        <v>1</v>
      </c>
      <c r="J527" s="21">
        <v>6</v>
      </c>
      <c r="K527" s="21">
        <v>1</v>
      </c>
      <c r="L527" s="21">
        <v>6</v>
      </c>
      <c r="M527" s="21">
        <v>1</v>
      </c>
      <c r="P527" s="24">
        <f>J527+L527+N527</f>
        <v>12</v>
      </c>
      <c r="Q527" s="24">
        <f>K527+M527+O527</f>
        <v>2</v>
      </c>
      <c r="R527" s="24">
        <v>0.8571428571428571</v>
      </c>
      <c r="S527" s="21" t="s">
        <v>400</v>
      </c>
      <c r="U527" s="21" t="s">
        <v>287</v>
      </c>
      <c r="V527" s="21" t="s">
        <v>286</v>
      </c>
      <c r="W527" s="21">
        <v>0</v>
      </c>
      <c r="X527" s="21" t="s">
        <v>312</v>
      </c>
      <c r="Y527" s="21" t="s">
        <v>318</v>
      </c>
      <c r="Z527" s="21" t="s">
        <v>317</v>
      </c>
      <c r="AA527" s="21" t="s">
        <v>33</v>
      </c>
      <c r="AB527" s="21">
        <v>1</v>
      </c>
      <c r="AD527" s="24">
        <v>6.45</v>
      </c>
      <c r="AE527" s="24">
        <v>3.36</v>
      </c>
      <c r="AF527" s="21" t="s">
        <v>302</v>
      </c>
      <c r="AG527" s="21" t="s">
        <v>301</v>
      </c>
    </row>
    <row r="528" spans="1:33">
      <c r="A528" s="21" t="s">
        <v>33</v>
      </c>
      <c r="B528" s="21" t="s">
        <v>534</v>
      </c>
      <c r="C528" s="25">
        <v>46099.666666666664</v>
      </c>
      <c r="D528" s="21" t="s">
        <v>527</v>
      </c>
      <c r="E528" s="24">
        <v>5.3</v>
      </c>
      <c r="F528" s="24">
        <v>4.22</v>
      </c>
      <c r="G528" s="24">
        <f>E528-F528</f>
        <v>1.08</v>
      </c>
      <c r="H528" s="21" t="s">
        <v>289</v>
      </c>
      <c r="I528" s="21">
        <v>1</v>
      </c>
      <c r="J528" s="21">
        <v>6</v>
      </c>
      <c r="K528" s="21">
        <v>0</v>
      </c>
      <c r="L528" s="21">
        <v>6</v>
      </c>
      <c r="M528" s="21">
        <v>0</v>
      </c>
      <c r="P528" s="24">
        <f>J528+L528+N528</f>
        <v>12</v>
      </c>
      <c r="Q528" s="24">
        <f>K528+M528+O528</f>
        <v>0</v>
      </c>
      <c r="R528" s="24">
        <v>1</v>
      </c>
      <c r="S528" s="21" t="s">
        <v>236</v>
      </c>
      <c r="U528" s="21" t="s">
        <v>287</v>
      </c>
      <c r="V528" s="21" t="s">
        <v>286</v>
      </c>
      <c r="W528" s="21">
        <v>1</v>
      </c>
      <c r="X528" s="21" t="s">
        <v>323</v>
      </c>
      <c r="Y528" s="21" t="s">
        <v>318</v>
      </c>
      <c r="Z528" s="21" t="s">
        <v>317</v>
      </c>
      <c r="AA528" s="21" t="s">
        <v>33</v>
      </c>
      <c r="AB528" s="21">
        <v>1</v>
      </c>
      <c r="AD528" s="24">
        <v>6.45</v>
      </c>
      <c r="AE528" s="24">
        <v>4.22</v>
      </c>
      <c r="AF528" s="21" t="s">
        <v>302</v>
      </c>
      <c r="AG528" s="21" t="s">
        <v>301</v>
      </c>
    </row>
    <row r="529" spans="1:33">
      <c r="A529" s="21" t="s">
        <v>33</v>
      </c>
      <c r="B529" s="21" t="s">
        <v>534</v>
      </c>
      <c r="C529" s="25">
        <v>46100.666666666664</v>
      </c>
      <c r="D529" s="21" t="s">
        <v>667</v>
      </c>
      <c r="E529" s="24">
        <v>5.3</v>
      </c>
      <c r="F529" s="24">
        <v>8.5299999999999994</v>
      </c>
      <c r="G529" s="24">
        <f>E529-F529</f>
        <v>-3.2299999999999995</v>
      </c>
      <c r="H529" s="21" t="s">
        <v>294</v>
      </c>
      <c r="I529" s="21">
        <v>0</v>
      </c>
      <c r="J529" s="21">
        <v>2</v>
      </c>
      <c r="K529" s="21">
        <v>6</v>
      </c>
      <c r="L529" s="21">
        <v>1</v>
      </c>
      <c r="M529" s="21">
        <v>6</v>
      </c>
      <c r="P529" s="24">
        <f>J529+L529+N529</f>
        <v>3</v>
      </c>
      <c r="Q529" s="24">
        <f>K529+M529+O529</f>
        <v>12</v>
      </c>
      <c r="R529" s="24">
        <v>0.2</v>
      </c>
      <c r="S529" s="21" t="s">
        <v>595</v>
      </c>
      <c r="U529" s="21" t="s">
        <v>287</v>
      </c>
      <c r="V529" s="21" t="s">
        <v>286</v>
      </c>
      <c r="W529" s="21">
        <v>2</v>
      </c>
      <c r="X529" s="21" t="s">
        <v>310</v>
      </c>
      <c r="Y529" s="21" t="s">
        <v>318</v>
      </c>
      <c r="Z529" s="21" t="s">
        <v>317</v>
      </c>
      <c r="AA529" s="21" t="s">
        <v>33</v>
      </c>
      <c r="AB529" s="21">
        <v>1</v>
      </c>
      <c r="AD529" s="24">
        <v>6.45</v>
      </c>
      <c r="AE529" s="24">
        <v>8.5299999999999994</v>
      </c>
      <c r="AF529" s="21" t="s">
        <v>304</v>
      </c>
      <c r="AG529" s="21" t="s">
        <v>303</v>
      </c>
    </row>
    <row r="530" spans="1:33">
      <c r="A530" s="21" t="s">
        <v>33</v>
      </c>
      <c r="B530" s="21" t="s">
        <v>534</v>
      </c>
      <c r="C530" s="25">
        <v>46107.645833333336</v>
      </c>
      <c r="D530" s="21" t="s">
        <v>10</v>
      </c>
      <c r="E530" s="24">
        <v>5.33</v>
      </c>
      <c r="F530" s="24">
        <v>7.15</v>
      </c>
      <c r="G530" s="24">
        <f>E530-F530</f>
        <v>-1.8200000000000003</v>
      </c>
      <c r="H530" s="21" t="s">
        <v>294</v>
      </c>
      <c r="I530" s="21">
        <v>0</v>
      </c>
      <c r="J530" s="21">
        <v>7</v>
      </c>
      <c r="K530" s="21">
        <v>5</v>
      </c>
      <c r="L530" s="21">
        <v>1</v>
      </c>
      <c r="M530" s="21">
        <v>6</v>
      </c>
      <c r="N530" s="21">
        <v>4</v>
      </c>
      <c r="O530" s="21">
        <v>6</v>
      </c>
      <c r="P530" s="24">
        <f>J530+L530+N530</f>
        <v>12</v>
      </c>
      <c r="Q530" s="24">
        <f>K530+M530+O530</f>
        <v>17</v>
      </c>
      <c r="R530" s="24">
        <v>0.41379310344827586</v>
      </c>
      <c r="S530" s="21" t="s">
        <v>202</v>
      </c>
      <c r="U530" s="21" t="s">
        <v>287</v>
      </c>
      <c r="V530" s="21" t="s">
        <v>286</v>
      </c>
      <c r="W530" s="21">
        <v>3</v>
      </c>
      <c r="X530" s="21" t="s">
        <v>285</v>
      </c>
      <c r="Y530" s="21" t="s">
        <v>318</v>
      </c>
      <c r="Z530" s="21" t="s">
        <v>317</v>
      </c>
      <c r="AA530" s="21" t="s">
        <v>33</v>
      </c>
      <c r="AB530" s="21">
        <v>1</v>
      </c>
      <c r="AD530" s="24">
        <v>6.45</v>
      </c>
      <c r="AE530" s="24">
        <v>6.92</v>
      </c>
      <c r="AF530" s="21" t="s">
        <v>304</v>
      </c>
      <c r="AG530" s="21" t="s">
        <v>303</v>
      </c>
    </row>
    <row r="531" spans="1:33">
      <c r="A531" s="21" t="s">
        <v>33</v>
      </c>
      <c r="B531" s="21" t="s">
        <v>534</v>
      </c>
      <c r="C531" s="25">
        <v>46122.666666666664</v>
      </c>
      <c r="D531" s="21" t="s">
        <v>666</v>
      </c>
      <c r="E531" s="24">
        <v>5.49</v>
      </c>
      <c r="F531" s="24">
        <v>5.59</v>
      </c>
      <c r="G531" s="24">
        <f>E531-F531</f>
        <v>-9.9999999999999645E-2</v>
      </c>
      <c r="H531" s="21" t="s">
        <v>289</v>
      </c>
      <c r="I531" s="21">
        <v>1</v>
      </c>
      <c r="J531" s="21">
        <v>6</v>
      </c>
      <c r="K531" s="21">
        <v>3</v>
      </c>
      <c r="L531" s="21">
        <v>6</v>
      </c>
      <c r="M531" s="21">
        <v>3</v>
      </c>
      <c r="P531" s="24">
        <f>J531+L531+N531</f>
        <v>12</v>
      </c>
      <c r="Q531" s="24">
        <f>K531+M531+O531</f>
        <v>6</v>
      </c>
      <c r="R531" s="24">
        <v>0.66666666666666663</v>
      </c>
      <c r="S531" s="21" t="s">
        <v>591</v>
      </c>
      <c r="U531" s="21" t="s">
        <v>287</v>
      </c>
      <c r="V531" s="21" t="s">
        <v>286</v>
      </c>
      <c r="W531" s="21">
        <v>4</v>
      </c>
      <c r="X531" s="21" t="s">
        <v>285</v>
      </c>
      <c r="Y531" s="21" t="s">
        <v>318</v>
      </c>
      <c r="Z531" s="21" t="s">
        <v>317</v>
      </c>
      <c r="AA531" s="21" t="s">
        <v>33</v>
      </c>
      <c r="AB531" s="21">
        <v>1</v>
      </c>
      <c r="AD531" s="24">
        <v>6.45</v>
      </c>
      <c r="AE531" s="24">
        <v>5.59</v>
      </c>
      <c r="AF531" s="21" t="s">
        <v>304</v>
      </c>
      <c r="AG531" s="21" t="s">
        <v>303</v>
      </c>
    </row>
    <row r="532" spans="1:33">
      <c r="A532" s="21" t="s">
        <v>33</v>
      </c>
      <c r="B532" s="21" t="s">
        <v>534</v>
      </c>
      <c r="C532" s="25">
        <v>46127.666666666664</v>
      </c>
      <c r="D532" s="21" t="s">
        <v>101</v>
      </c>
      <c r="E532" s="24">
        <v>5.48</v>
      </c>
      <c r="F532" s="24">
        <v>6.05</v>
      </c>
      <c r="G532" s="24">
        <f>E532-F532</f>
        <v>-0.5699999999999994</v>
      </c>
      <c r="H532" s="21" t="s">
        <v>289</v>
      </c>
      <c r="I532" s="21">
        <v>1</v>
      </c>
      <c r="J532" s="21">
        <v>6</v>
      </c>
      <c r="K532" s="21">
        <v>4</v>
      </c>
      <c r="L532" s="21">
        <v>6</v>
      </c>
      <c r="M532" s="21">
        <v>4</v>
      </c>
      <c r="P532" s="24">
        <f>J532+L532+N532</f>
        <v>12</v>
      </c>
      <c r="Q532" s="24">
        <f>K532+M532+O532</f>
        <v>8</v>
      </c>
      <c r="R532" s="24">
        <v>0.6</v>
      </c>
      <c r="S532" s="21" t="s">
        <v>98</v>
      </c>
      <c r="U532" s="21" t="s">
        <v>287</v>
      </c>
      <c r="V532" s="21" t="s">
        <v>286</v>
      </c>
      <c r="W532" s="21">
        <v>5</v>
      </c>
      <c r="X532" s="21" t="s">
        <v>285</v>
      </c>
      <c r="Y532" s="21" t="s">
        <v>318</v>
      </c>
      <c r="Z532" s="21" t="s">
        <v>317</v>
      </c>
      <c r="AA532" s="21" t="s">
        <v>33</v>
      </c>
      <c r="AB532" s="21">
        <v>1</v>
      </c>
      <c r="AD532" s="24">
        <v>6.45</v>
      </c>
      <c r="AE532" s="24">
        <v>6.05</v>
      </c>
      <c r="AF532" s="21" t="s">
        <v>304</v>
      </c>
      <c r="AG532" s="21" t="s">
        <v>303</v>
      </c>
    </row>
    <row r="533" spans="1:33">
      <c r="A533" s="21" t="s">
        <v>33</v>
      </c>
      <c r="B533" s="21" t="s">
        <v>534</v>
      </c>
      <c r="C533" s="25">
        <v>46133.666666666664</v>
      </c>
      <c r="D533" s="21" t="s">
        <v>67</v>
      </c>
      <c r="E533" s="24">
        <v>5.53</v>
      </c>
      <c r="F533" s="24">
        <v>5.85</v>
      </c>
      <c r="G533" s="24">
        <f>E533-F533</f>
        <v>-0.3199999999999994</v>
      </c>
      <c r="H533" s="21" t="s">
        <v>294</v>
      </c>
      <c r="I533" s="21">
        <v>0</v>
      </c>
      <c r="J533" s="21">
        <v>1</v>
      </c>
      <c r="K533" s="21">
        <v>6</v>
      </c>
      <c r="L533" s="21">
        <v>6</v>
      </c>
      <c r="M533" s="21">
        <v>2</v>
      </c>
      <c r="N533" s="21">
        <v>5</v>
      </c>
      <c r="O533" s="21">
        <v>7</v>
      </c>
      <c r="P533" s="24">
        <f>J533+L533+N533</f>
        <v>12</v>
      </c>
      <c r="Q533" s="24">
        <f>K533+M533+O533</f>
        <v>15</v>
      </c>
      <c r="R533" s="24">
        <v>0.44444444444444442</v>
      </c>
      <c r="S533" s="21" t="s">
        <v>68</v>
      </c>
      <c r="U533" s="21" t="s">
        <v>287</v>
      </c>
      <c r="V533" s="21" t="s">
        <v>286</v>
      </c>
      <c r="W533" s="21">
        <v>6</v>
      </c>
      <c r="X533" s="21" t="s">
        <v>285</v>
      </c>
      <c r="Y533" s="21" t="s">
        <v>318</v>
      </c>
      <c r="Z533" s="21" t="s">
        <v>317</v>
      </c>
      <c r="AA533" s="21" t="s">
        <v>33</v>
      </c>
      <c r="AB533" s="21">
        <v>1</v>
      </c>
      <c r="AD533" s="24">
        <v>6.45</v>
      </c>
      <c r="AE533" s="24">
        <v>7.1</v>
      </c>
      <c r="AF533" s="21" t="s">
        <v>322</v>
      </c>
      <c r="AG533" s="21" t="s">
        <v>301</v>
      </c>
    </row>
    <row r="534" spans="1:33">
      <c r="A534" s="21" t="s">
        <v>33</v>
      </c>
      <c r="B534" s="21" t="s">
        <v>534</v>
      </c>
      <c r="C534" s="25">
        <v>46141.645833333336</v>
      </c>
      <c r="D534" s="21" t="s">
        <v>34</v>
      </c>
      <c r="E534" s="24">
        <v>5.7</v>
      </c>
      <c r="F534" s="24">
        <v>5.18</v>
      </c>
      <c r="G534" s="24">
        <f>E534-F534</f>
        <v>0.52000000000000046</v>
      </c>
      <c r="H534" s="21" t="s">
        <v>289</v>
      </c>
      <c r="I534" s="21">
        <v>1</v>
      </c>
      <c r="J534" s="21">
        <v>6</v>
      </c>
      <c r="K534" s="21">
        <v>4</v>
      </c>
      <c r="L534" s="21">
        <v>6</v>
      </c>
      <c r="M534" s="21">
        <v>2</v>
      </c>
      <c r="P534" s="24">
        <f>J534+L534+N534</f>
        <v>12</v>
      </c>
      <c r="Q534" s="24">
        <f>K534+M534+O534</f>
        <v>6</v>
      </c>
      <c r="R534" s="24">
        <v>0.66666666666666663</v>
      </c>
      <c r="S534" s="21" t="s">
        <v>35</v>
      </c>
      <c r="U534" s="21" t="s">
        <v>287</v>
      </c>
      <c r="V534" s="21" t="s">
        <v>286</v>
      </c>
      <c r="W534" s="21">
        <v>7</v>
      </c>
      <c r="X534" s="21" t="s">
        <v>285</v>
      </c>
      <c r="Y534" s="21" t="s">
        <v>318</v>
      </c>
      <c r="Z534" s="21" t="s">
        <v>317</v>
      </c>
      <c r="AA534" s="21" t="s">
        <v>33</v>
      </c>
      <c r="AB534" s="21">
        <v>1</v>
      </c>
      <c r="AD534" s="24">
        <v>6.45</v>
      </c>
      <c r="AE534" s="24">
        <v>5.28</v>
      </c>
      <c r="AF534" s="21" t="s">
        <v>322</v>
      </c>
      <c r="AG534" s="21" t="s">
        <v>301</v>
      </c>
    </row>
    <row r="535" spans="1:33">
      <c r="A535" s="21" t="s">
        <v>33</v>
      </c>
      <c r="B535" s="21" t="s">
        <v>534</v>
      </c>
      <c r="C535" s="25">
        <v>46142.645833333336</v>
      </c>
      <c r="D535" s="21" t="s">
        <v>138</v>
      </c>
      <c r="E535" s="24">
        <v>5.7</v>
      </c>
      <c r="F535" s="24">
        <v>7.37</v>
      </c>
      <c r="G535" s="24">
        <f>E535-F535</f>
        <v>-1.67</v>
      </c>
      <c r="H535" s="21" t="s">
        <v>294</v>
      </c>
      <c r="I535" s="21">
        <v>0</v>
      </c>
      <c r="J535" s="21">
        <v>2</v>
      </c>
      <c r="K535" s="21">
        <v>6</v>
      </c>
      <c r="L535" s="21">
        <v>1</v>
      </c>
      <c r="M535" s="21">
        <v>6</v>
      </c>
      <c r="P535" s="24">
        <f>J535+L535+N535</f>
        <v>3</v>
      </c>
      <c r="Q535" s="24">
        <f>K535+M535+O535</f>
        <v>12</v>
      </c>
      <c r="R535" s="24">
        <v>0.2</v>
      </c>
      <c r="S535" s="21" t="s">
        <v>19</v>
      </c>
      <c r="U535" s="21" t="s">
        <v>287</v>
      </c>
      <c r="V535" s="21" t="s">
        <v>286</v>
      </c>
      <c r="W535" s="21">
        <v>8</v>
      </c>
      <c r="X535" s="21" t="s">
        <v>285</v>
      </c>
      <c r="Y535" s="21" t="s">
        <v>318</v>
      </c>
      <c r="Z535" s="21" t="s">
        <v>317</v>
      </c>
      <c r="AA535" s="21" t="s">
        <v>33</v>
      </c>
      <c r="AB535" s="21">
        <v>1</v>
      </c>
      <c r="AD535" s="24">
        <v>6.45</v>
      </c>
      <c r="AE535" s="24">
        <v>7.45</v>
      </c>
      <c r="AF535" s="21" t="s">
        <v>304</v>
      </c>
      <c r="AG535" s="21" t="s">
        <v>303</v>
      </c>
    </row>
    <row r="536" spans="1:33">
      <c r="A536" s="21" t="s">
        <v>33</v>
      </c>
      <c r="B536" s="21" t="s">
        <v>534</v>
      </c>
      <c r="C536" s="25">
        <v>46147.708333333336</v>
      </c>
      <c r="D536" s="21" t="s">
        <v>10</v>
      </c>
      <c r="E536" s="24">
        <v>5.74</v>
      </c>
      <c r="F536" s="24">
        <v>7.14</v>
      </c>
      <c r="G536" s="24">
        <f>E536-F536</f>
        <v>-1.3999999999999995</v>
      </c>
      <c r="H536" s="21" t="s">
        <v>294</v>
      </c>
      <c r="I536" s="21">
        <v>0</v>
      </c>
      <c r="J536" s="21">
        <v>6</v>
      </c>
      <c r="K536" s="21">
        <v>4</v>
      </c>
      <c r="L536" s="21">
        <v>3</v>
      </c>
      <c r="M536" s="21">
        <v>6</v>
      </c>
      <c r="N536" s="21">
        <v>6</v>
      </c>
      <c r="O536" s="21">
        <v>7</v>
      </c>
      <c r="P536" s="24">
        <f>J536+L536+N536</f>
        <v>15</v>
      </c>
      <c r="Q536" s="24">
        <f>K536+M536+O536</f>
        <v>17</v>
      </c>
      <c r="R536" s="24">
        <v>0.45624999999999999</v>
      </c>
      <c r="S536" s="21" t="s">
        <v>3</v>
      </c>
      <c r="U536" s="21" t="s">
        <v>287</v>
      </c>
      <c r="V536" s="21" t="s">
        <v>286</v>
      </c>
      <c r="W536" s="21">
        <v>9</v>
      </c>
      <c r="X536" s="21" t="s">
        <v>285</v>
      </c>
      <c r="Y536" s="21" t="s">
        <v>318</v>
      </c>
      <c r="Z536" s="21" t="s">
        <v>317</v>
      </c>
      <c r="AA536" s="21" t="s">
        <v>33</v>
      </c>
      <c r="AB536" s="21">
        <v>1</v>
      </c>
      <c r="AD536" s="24">
        <v>6.45</v>
      </c>
      <c r="AE536" s="24">
        <v>6.92</v>
      </c>
      <c r="AF536" s="21" t="s">
        <v>304</v>
      </c>
      <c r="AG536" s="21" t="s">
        <v>303</v>
      </c>
    </row>
    <row r="537" spans="1:33">
      <c r="A537" s="21" t="s">
        <v>13</v>
      </c>
      <c r="B537" s="21" t="s">
        <v>607</v>
      </c>
      <c r="C537" s="25">
        <v>46029.662499999999</v>
      </c>
      <c r="D537" s="21" t="s">
        <v>665</v>
      </c>
      <c r="E537" s="24">
        <v>7.52</v>
      </c>
      <c r="F537" s="24">
        <v>1.72</v>
      </c>
      <c r="G537" s="24">
        <f>E537-F537</f>
        <v>5.8</v>
      </c>
      <c r="H537" s="21" t="s">
        <v>289</v>
      </c>
      <c r="I537" s="21">
        <v>1</v>
      </c>
      <c r="J537" s="21">
        <v>6</v>
      </c>
      <c r="K537" s="21">
        <v>0</v>
      </c>
      <c r="L537" s="21">
        <v>6</v>
      </c>
      <c r="M537" s="21">
        <v>0</v>
      </c>
      <c r="P537" s="24">
        <f>J537+L537+N537</f>
        <v>12</v>
      </c>
      <c r="Q537" s="24">
        <f>K537+M537+O537</f>
        <v>0</v>
      </c>
      <c r="R537" s="24">
        <v>1</v>
      </c>
      <c r="S537" s="21" t="s">
        <v>664</v>
      </c>
      <c r="U537" s="21" t="s">
        <v>412</v>
      </c>
      <c r="V537" s="21" t="s">
        <v>286</v>
      </c>
      <c r="W537" s="21">
        <v>0</v>
      </c>
      <c r="X537" s="21" t="s">
        <v>312</v>
      </c>
      <c r="Y537" s="21" t="s">
        <v>318</v>
      </c>
      <c r="Z537" s="21" t="s">
        <v>317</v>
      </c>
      <c r="AA537" s="21" t="s">
        <v>13</v>
      </c>
      <c r="AB537" s="21">
        <v>1</v>
      </c>
      <c r="AD537" s="24">
        <v>7.52</v>
      </c>
      <c r="AE537" s="24">
        <v>1.72</v>
      </c>
      <c r="AF537" s="21" t="s">
        <v>304</v>
      </c>
      <c r="AG537" s="21" t="s">
        <v>303</v>
      </c>
    </row>
    <row r="538" spans="1:33">
      <c r="A538" s="21" t="s">
        <v>13</v>
      </c>
      <c r="B538" s="21" t="s">
        <v>607</v>
      </c>
      <c r="C538" s="25">
        <v>46074</v>
      </c>
      <c r="D538" s="21" t="s">
        <v>600</v>
      </c>
      <c r="E538" s="24">
        <v>7.52</v>
      </c>
      <c r="F538" s="24">
        <v>8.01</v>
      </c>
      <c r="G538" s="24">
        <f>E538-F538</f>
        <v>-0.49000000000000021</v>
      </c>
      <c r="H538" s="21" t="s">
        <v>294</v>
      </c>
      <c r="I538" s="21">
        <v>0</v>
      </c>
      <c r="J538" s="21">
        <v>6</v>
      </c>
      <c r="K538" s="21">
        <v>8</v>
      </c>
      <c r="P538" s="24">
        <f>J538+L538+N538</f>
        <v>6</v>
      </c>
      <c r="Q538" s="24">
        <f>K538+M538+O538</f>
        <v>8</v>
      </c>
      <c r="R538" s="24">
        <v>0.42857142857142855</v>
      </c>
      <c r="S538" s="21" t="s">
        <v>663</v>
      </c>
      <c r="T538" s="21" t="s">
        <v>298</v>
      </c>
      <c r="U538" s="21" t="s">
        <v>292</v>
      </c>
      <c r="V538" s="21" t="s">
        <v>286</v>
      </c>
      <c r="W538" s="21">
        <v>1</v>
      </c>
      <c r="X538" s="21" t="s">
        <v>323</v>
      </c>
      <c r="Y538" s="21" t="s">
        <v>318</v>
      </c>
      <c r="Z538" s="21" t="s">
        <v>317</v>
      </c>
      <c r="AA538" s="21" t="s">
        <v>13</v>
      </c>
      <c r="AB538" s="21">
        <v>1</v>
      </c>
      <c r="AD538" s="24">
        <v>7.52</v>
      </c>
      <c r="AE538" s="24">
        <v>8.01</v>
      </c>
      <c r="AF538" s="21" t="s">
        <v>304</v>
      </c>
      <c r="AG538" s="21" t="s">
        <v>303</v>
      </c>
    </row>
    <row r="539" spans="1:33">
      <c r="A539" s="21" t="s">
        <v>13</v>
      </c>
      <c r="B539" s="21" t="s">
        <v>607</v>
      </c>
      <c r="C539" s="25">
        <v>46101.333333333336</v>
      </c>
      <c r="D539" s="21" t="s">
        <v>42</v>
      </c>
      <c r="E539" s="24">
        <v>7.15</v>
      </c>
      <c r="F539" s="24">
        <v>7.91</v>
      </c>
      <c r="G539" s="24">
        <f>E539-F539</f>
        <v>-0.75999999999999979</v>
      </c>
      <c r="H539" s="21" t="s">
        <v>294</v>
      </c>
      <c r="I539" s="21">
        <v>0</v>
      </c>
      <c r="J539" s="21">
        <v>1</v>
      </c>
      <c r="K539" s="21">
        <v>6</v>
      </c>
      <c r="L539" s="21">
        <v>2</v>
      </c>
      <c r="M539" s="21">
        <v>6</v>
      </c>
      <c r="P539" s="24">
        <f>J539+L539+N539</f>
        <v>3</v>
      </c>
      <c r="Q539" s="24">
        <f>K539+M539+O539</f>
        <v>12</v>
      </c>
      <c r="R539" s="24">
        <v>0.2</v>
      </c>
      <c r="S539" s="21" t="s">
        <v>399</v>
      </c>
      <c r="U539" s="21" t="s">
        <v>287</v>
      </c>
      <c r="V539" s="21" t="s">
        <v>286</v>
      </c>
      <c r="W539" s="21">
        <v>2</v>
      </c>
      <c r="X539" s="21" t="s">
        <v>310</v>
      </c>
      <c r="Y539" s="21" t="s">
        <v>318</v>
      </c>
      <c r="Z539" s="21" t="s">
        <v>317</v>
      </c>
      <c r="AA539" s="21" t="s">
        <v>13</v>
      </c>
      <c r="AB539" s="21">
        <v>1</v>
      </c>
      <c r="AD539" s="24">
        <v>7.52</v>
      </c>
      <c r="AE539" s="24">
        <v>8.3699999999999992</v>
      </c>
      <c r="AF539" s="21" t="s">
        <v>304</v>
      </c>
      <c r="AG539" s="21" t="s">
        <v>303</v>
      </c>
    </row>
    <row r="540" spans="1:33">
      <c r="A540" s="21" t="s">
        <v>13</v>
      </c>
      <c r="B540" s="21" t="s">
        <v>607</v>
      </c>
      <c r="C540" s="25">
        <v>46105.625</v>
      </c>
      <c r="D540" s="21" t="s">
        <v>40</v>
      </c>
      <c r="E540" s="24">
        <v>7.16</v>
      </c>
      <c r="F540" s="24">
        <v>9.61</v>
      </c>
      <c r="G540" s="24">
        <f>E540-F540</f>
        <v>-2.4499999999999993</v>
      </c>
      <c r="H540" s="21" t="s">
        <v>294</v>
      </c>
      <c r="I540" s="21">
        <v>0</v>
      </c>
      <c r="J540" s="21">
        <v>1</v>
      </c>
      <c r="K540" s="21">
        <v>6</v>
      </c>
      <c r="L540" s="21">
        <v>1</v>
      </c>
      <c r="M540" s="21">
        <v>6</v>
      </c>
      <c r="P540" s="24">
        <f>J540+L540+N540</f>
        <v>2</v>
      </c>
      <c r="Q540" s="24">
        <f>K540+M540+O540</f>
        <v>12</v>
      </c>
      <c r="R540" s="24">
        <v>0.14285714285714285</v>
      </c>
      <c r="S540" s="21" t="s">
        <v>215</v>
      </c>
      <c r="U540" s="21" t="s">
        <v>412</v>
      </c>
      <c r="V540" s="21" t="s">
        <v>286</v>
      </c>
      <c r="W540" s="21">
        <v>3</v>
      </c>
      <c r="X540" s="21" t="s">
        <v>285</v>
      </c>
      <c r="Y540" s="21" t="s">
        <v>318</v>
      </c>
      <c r="Z540" s="21" t="s">
        <v>317</v>
      </c>
      <c r="AA540" s="21" t="s">
        <v>13</v>
      </c>
      <c r="AB540" s="21">
        <v>1</v>
      </c>
      <c r="AD540" s="24">
        <v>7.52</v>
      </c>
      <c r="AE540" s="24">
        <v>10.01</v>
      </c>
      <c r="AF540" s="21" t="s">
        <v>304</v>
      </c>
      <c r="AG540" s="21" t="s">
        <v>303</v>
      </c>
    </row>
    <row r="541" spans="1:33">
      <c r="A541" s="21" t="s">
        <v>13</v>
      </c>
      <c r="B541" s="21" t="s">
        <v>607</v>
      </c>
      <c r="C541" s="25">
        <v>46107.666666666664</v>
      </c>
      <c r="D541" s="21" t="s">
        <v>38</v>
      </c>
      <c r="E541" s="24">
        <v>7.16</v>
      </c>
      <c r="F541" s="24">
        <v>10.220000000000001</v>
      </c>
      <c r="G541" s="24">
        <f>E541-F541</f>
        <v>-3.0600000000000005</v>
      </c>
      <c r="H541" s="21" t="s">
        <v>294</v>
      </c>
      <c r="I541" s="21">
        <v>0</v>
      </c>
      <c r="J541" s="21">
        <v>1</v>
      </c>
      <c r="K541" s="21">
        <v>6</v>
      </c>
      <c r="L541" s="21">
        <v>1</v>
      </c>
      <c r="M541" s="21">
        <v>6</v>
      </c>
      <c r="P541" s="24">
        <f>J541+L541+N541</f>
        <v>2</v>
      </c>
      <c r="Q541" s="24">
        <f>K541+M541+O541</f>
        <v>12</v>
      </c>
      <c r="R541" s="24">
        <v>0.14285714285714285</v>
      </c>
      <c r="S541" s="21" t="s">
        <v>200</v>
      </c>
      <c r="U541" s="21" t="s">
        <v>287</v>
      </c>
      <c r="V541" s="21" t="s">
        <v>286</v>
      </c>
      <c r="W541" s="21">
        <v>4</v>
      </c>
      <c r="X541" s="21" t="s">
        <v>285</v>
      </c>
      <c r="Y541" s="21" t="s">
        <v>318</v>
      </c>
      <c r="Z541" s="21" t="s">
        <v>317</v>
      </c>
      <c r="AA541" s="21" t="s">
        <v>13</v>
      </c>
      <c r="AB541" s="21">
        <v>1</v>
      </c>
      <c r="AD541" s="24">
        <v>7.52</v>
      </c>
      <c r="AE541" s="24">
        <v>10.01</v>
      </c>
      <c r="AF541" s="21" t="s">
        <v>304</v>
      </c>
      <c r="AG541" s="21" t="s">
        <v>303</v>
      </c>
    </row>
    <row r="542" spans="1:33">
      <c r="A542" s="21" t="s">
        <v>13</v>
      </c>
      <c r="B542" s="21" t="s">
        <v>607</v>
      </c>
      <c r="C542" s="25">
        <v>46108.645833333336</v>
      </c>
      <c r="D542" s="21" t="s">
        <v>91</v>
      </c>
      <c r="E542" s="24">
        <v>7.16</v>
      </c>
      <c r="F542" s="24">
        <v>5.31</v>
      </c>
      <c r="G542" s="24">
        <f>E542-F542</f>
        <v>1.8500000000000005</v>
      </c>
      <c r="H542" s="21" t="s">
        <v>289</v>
      </c>
      <c r="I542" s="21">
        <v>1</v>
      </c>
      <c r="J542" s="21">
        <v>6</v>
      </c>
      <c r="K542" s="21">
        <v>0</v>
      </c>
      <c r="L542" s="21">
        <v>6</v>
      </c>
      <c r="M542" s="21">
        <v>4</v>
      </c>
      <c r="P542" s="24">
        <f>J542+L542+N542</f>
        <v>12</v>
      </c>
      <c r="Q542" s="24">
        <f>K542+M542+O542</f>
        <v>4</v>
      </c>
      <c r="R542" s="24">
        <v>0.75</v>
      </c>
      <c r="S542" s="21" t="s">
        <v>190</v>
      </c>
      <c r="U542" s="21" t="s">
        <v>287</v>
      </c>
      <c r="V542" s="21" t="s">
        <v>286</v>
      </c>
      <c r="W542" s="21">
        <v>5</v>
      </c>
      <c r="X542" s="21" t="s">
        <v>285</v>
      </c>
      <c r="Y542" s="21" t="s">
        <v>318</v>
      </c>
      <c r="Z542" s="21" t="s">
        <v>317</v>
      </c>
      <c r="AA542" s="21" t="s">
        <v>13</v>
      </c>
      <c r="AB542" s="21">
        <v>1</v>
      </c>
      <c r="AD542" s="24">
        <v>7.52</v>
      </c>
      <c r="AE542" s="24">
        <v>6.61</v>
      </c>
      <c r="AF542" s="21" t="s">
        <v>304</v>
      </c>
      <c r="AG542" s="21" t="s">
        <v>303</v>
      </c>
    </row>
    <row r="543" spans="1:33">
      <c r="A543" s="21" t="s">
        <v>13</v>
      </c>
      <c r="B543" s="21" t="s">
        <v>607</v>
      </c>
      <c r="C543" s="25">
        <v>46113.645833333336</v>
      </c>
      <c r="D543" s="21" t="s">
        <v>141</v>
      </c>
      <c r="E543" s="24">
        <v>7.18</v>
      </c>
      <c r="F543" s="24">
        <v>5.65</v>
      </c>
      <c r="G543" s="24">
        <f>E543-F543</f>
        <v>1.5299999999999994</v>
      </c>
      <c r="H543" s="21" t="s">
        <v>289</v>
      </c>
      <c r="I543" s="21">
        <v>1</v>
      </c>
      <c r="J543" s="21">
        <v>6</v>
      </c>
      <c r="K543" s="21">
        <v>2</v>
      </c>
      <c r="L543" s="21">
        <v>6</v>
      </c>
      <c r="M543" s="21">
        <v>2</v>
      </c>
      <c r="P543" s="24">
        <f>J543+L543+N543</f>
        <v>12</v>
      </c>
      <c r="Q543" s="24">
        <f>K543+M543+O543</f>
        <v>4</v>
      </c>
      <c r="R543" s="24">
        <v>0.75</v>
      </c>
      <c r="S543" s="21" t="s">
        <v>464</v>
      </c>
      <c r="U543" s="21" t="s">
        <v>287</v>
      </c>
      <c r="V543" s="21" t="s">
        <v>286</v>
      </c>
      <c r="W543" s="21">
        <v>6</v>
      </c>
      <c r="X543" s="21" t="s">
        <v>285</v>
      </c>
      <c r="Y543" s="21" t="s">
        <v>318</v>
      </c>
      <c r="Z543" s="21" t="s">
        <v>317</v>
      </c>
      <c r="AA543" s="21" t="s">
        <v>13</v>
      </c>
      <c r="AB543" s="21">
        <v>1</v>
      </c>
      <c r="AD543" s="24">
        <v>7.52</v>
      </c>
      <c r="AE543" s="24">
        <v>5.97</v>
      </c>
      <c r="AF543" s="21" t="s">
        <v>304</v>
      </c>
      <c r="AG543" s="21" t="s">
        <v>303</v>
      </c>
    </row>
    <row r="544" spans="1:33">
      <c r="A544" s="21" t="s">
        <v>13</v>
      </c>
      <c r="B544" s="21" t="s">
        <v>607</v>
      </c>
      <c r="C544" s="25">
        <v>46118.645833333336</v>
      </c>
      <c r="D544" s="21" t="s">
        <v>17</v>
      </c>
      <c r="E544" s="24">
        <v>7.18</v>
      </c>
      <c r="F544" s="24">
        <v>8.42</v>
      </c>
      <c r="G544" s="24">
        <f>E544-F544</f>
        <v>-1.2400000000000002</v>
      </c>
      <c r="H544" s="21" t="s">
        <v>294</v>
      </c>
      <c r="I544" s="21">
        <v>0</v>
      </c>
      <c r="J544" s="21">
        <v>6</v>
      </c>
      <c r="K544" s="21">
        <v>7</v>
      </c>
      <c r="L544" s="21">
        <v>4</v>
      </c>
      <c r="M544" s="21">
        <v>6</v>
      </c>
      <c r="P544" s="24">
        <f>J544+L544+N544</f>
        <v>10</v>
      </c>
      <c r="Q544" s="24">
        <f>K544+M544+O544</f>
        <v>13</v>
      </c>
      <c r="R544" s="24">
        <v>0.45033112582781459</v>
      </c>
      <c r="S544" s="21" t="s">
        <v>168</v>
      </c>
      <c r="U544" s="21" t="s">
        <v>287</v>
      </c>
      <c r="V544" s="21" t="s">
        <v>286</v>
      </c>
      <c r="W544" s="21">
        <v>7</v>
      </c>
      <c r="X544" s="21" t="s">
        <v>285</v>
      </c>
      <c r="Y544" s="21" t="s">
        <v>318</v>
      </c>
      <c r="Z544" s="21" t="s">
        <v>317</v>
      </c>
      <c r="AA544" s="21" t="s">
        <v>13</v>
      </c>
      <c r="AB544" s="21">
        <v>1</v>
      </c>
      <c r="AD544" s="24">
        <v>7.52</v>
      </c>
      <c r="AE544" s="24">
        <v>8.51</v>
      </c>
      <c r="AF544" s="21" t="s">
        <v>304</v>
      </c>
      <c r="AG544" s="21" t="s">
        <v>303</v>
      </c>
    </row>
    <row r="545" spans="1:33">
      <c r="A545" s="21" t="s">
        <v>13</v>
      </c>
      <c r="B545" s="21" t="s">
        <v>607</v>
      </c>
      <c r="C545" s="25">
        <v>46125.645833333336</v>
      </c>
      <c r="D545" s="21" t="s">
        <v>44</v>
      </c>
      <c r="E545" s="24">
        <v>7.2</v>
      </c>
      <c r="F545" s="24">
        <v>8.65</v>
      </c>
      <c r="G545" s="24">
        <f>E545-F545</f>
        <v>-1.4500000000000002</v>
      </c>
      <c r="H545" s="21" t="s">
        <v>294</v>
      </c>
      <c r="I545" s="21">
        <v>0</v>
      </c>
      <c r="J545" s="21">
        <v>4</v>
      </c>
      <c r="K545" s="21">
        <v>6</v>
      </c>
      <c r="L545" s="21">
        <v>4</v>
      </c>
      <c r="M545" s="21">
        <v>6</v>
      </c>
      <c r="P545" s="24">
        <f>J545+L545+N545</f>
        <v>8</v>
      </c>
      <c r="Q545" s="24">
        <f>K545+M545+O545</f>
        <v>12</v>
      </c>
      <c r="R545" s="24">
        <v>0.4</v>
      </c>
      <c r="S545" s="21" t="s">
        <v>118</v>
      </c>
      <c r="U545" s="21" t="s">
        <v>287</v>
      </c>
      <c r="V545" s="21" t="s">
        <v>286</v>
      </c>
      <c r="W545" s="21">
        <v>8</v>
      </c>
      <c r="X545" s="21" t="s">
        <v>285</v>
      </c>
      <c r="Y545" s="21" t="s">
        <v>318</v>
      </c>
      <c r="Z545" s="21" t="s">
        <v>317</v>
      </c>
      <c r="AA545" s="21" t="s">
        <v>13</v>
      </c>
      <c r="AB545" s="21">
        <v>1</v>
      </c>
      <c r="AD545" s="24">
        <v>7.52</v>
      </c>
      <c r="AE545" s="24">
        <v>8.42</v>
      </c>
      <c r="AF545" s="21" t="s">
        <v>304</v>
      </c>
      <c r="AG545" s="21" t="s">
        <v>303</v>
      </c>
    </row>
    <row r="546" spans="1:33">
      <c r="A546" s="21" t="s">
        <v>13</v>
      </c>
      <c r="B546" s="21" t="s">
        <v>607</v>
      </c>
      <c r="C546" s="25">
        <v>46127.645833333336</v>
      </c>
      <c r="D546" s="21" t="s">
        <v>37</v>
      </c>
      <c r="E546" s="24">
        <v>7.22</v>
      </c>
      <c r="F546" s="24">
        <v>10.09</v>
      </c>
      <c r="G546" s="24">
        <f>E546-F546</f>
        <v>-2.87</v>
      </c>
      <c r="H546" s="21" t="s">
        <v>294</v>
      </c>
      <c r="I546" s="21">
        <v>0</v>
      </c>
      <c r="J546" s="21">
        <v>4</v>
      </c>
      <c r="K546" s="21">
        <v>6</v>
      </c>
      <c r="L546" s="21">
        <v>3</v>
      </c>
      <c r="M546" s="21">
        <v>6</v>
      </c>
      <c r="P546" s="24">
        <f>J546+L546+N546</f>
        <v>7</v>
      </c>
      <c r="Q546" s="24">
        <f>K546+M546+O546</f>
        <v>12</v>
      </c>
      <c r="R546" s="24">
        <v>0.36842105263157893</v>
      </c>
      <c r="S546" s="21" t="s">
        <v>95</v>
      </c>
      <c r="U546" s="21" t="s">
        <v>287</v>
      </c>
      <c r="V546" s="21" t="s">
        <v>286</v>
      </c>
      <c r="W546" s="21">
        <v>9</v>
      </c>
      <c r="X546" s="21" t="s">
        <v>285</v>
      </c>
      <c r="Y546" s="21" t="s">
        <v>318</v>
      </c>
      <c r="Z546" s="21" t="s">
        <v>317</v>
      </c>
      <c r="AA546" s="21" t="s">
        <v>13</v>
      </c>
      <c r="AB546" s="21">
        <v>1</v>
      </c>
      <c r="AD546" s="24">
        <v>7.52</v>
      </c>
      <c r="AE546" s="24">
        <v>10.06</v>
      </c>
      <c r="AF546" s="21" t="s">
        <v>302</v>
      </c>
      <c r="AG546" s="21" t="s">
        <v>301</v>
      </c>
    </row>
    <row r="547" spans="1:33">
      <c r="A547" s="21" t="s">
        <v>13</v>
      </c>
      <c r="B547" s="21" t="s">
        <v>607</v>
      </c>
      <c r="C547" s="25">
        <v>46134.625</v>
      </c>
      <c r="D547" s="21" t="s">
        <v>61</v>
      </c>
      <c r="E547" s="24">
        <v>7.23</v>
      </c>
      <c r="F547" s="24">
        <v>6.37</v>
      </c>
      <c r="G547" s="24">
        <f>E547-F547</f>
        <v>0.86000000000000032</v>
      </c>
      <c r="H547" s="21" t="s">
        <v>289</v>
      </c>
      <c r="I547" s="21">
        <v>1</v>
      </c>
      <c r="J547" s="21">
        <v>7</v>
      </c>
      <c r="K547" s="21">
        <v>5</v>
      </c>
      <c r="L547" s="21">
        <v>6</v>
      </c>
      <c r="M547" s="21">
        <v>1</v>
      </c>
      <c r="P547" s="24">
        <f>J547+L547+N547</f>
        <v>13</v>
      </c>
      <c r="Q547" s="24">
        <f>K547+M547+O547</f>
        <v>6</v>
      </c>
      <c r="R547" s="24">
        <v>0.68421052631578949</v>
      </c>
      <c r="S547" s="21" t="s">
        <v>62</v>
      </c>
      <c r="U547" s="21" t="s">
        <v>287</v>
      </c>
      <c r="V547" s="21" t="s">
        <v>286</v>
      </c>
      <c r="W547" s="21">
        <v>10</v>
      </c>
      <c r="X547" s="21" t="s">
        <v>285</v>
      </c>
      <c r="Y547" s="21" t="s">
        <v>318</v>
      </c>
      <c r="Z547" s="21" t="s">
        <v>317</v>
      </c>
      <c r="AA547" s="21" t="s">
        <v>13</v>
      </c>
      <c r="AB547" s="21">
        <v>1</v>
      </c>
      <c r="AD547" s="24">
        <v>7.52</v>
      </c>
      <c r="AE547" s="24">
        <v>6.95</v>
      </c>
      <c r="AF547" s="21" t="s">
        <v>304</v>
      </c>
      <c r="AG547" s="21" t="s">
        <v>303</v>
      </c>
    </row>
    <row r="548" spans="1:33">
      <c r="A548" s="21" t="s">
        <v>13</v>
      </c>
      <c r="B548" s="21" t="s">
        <v>607</v>
      </c>
      <c r="C548" s="25">
        <v>46136.625</v>
      </c>
      <c r="D548" s="21" t="s">
        <v>46</v>
      </c>
      <c r="E548" s="24">
        <v>7.23</v>
      </c>
      <c r="F548" s="24">
        <v>7.56</v>
      </c>
      <c r="G548" s="24">
        <f>E548-F548</f>
        <v>-0.32999999999999918</v>
      </c>
      <c r="H548" s="21" t="s">
        <v>289</v>
      </c>
      <c r="I548" s="21">
        <v>1</v>
      </c>
      <c r="J548" s="21">
        <v>6</v>
      </c>
      <c r="K548" s="21">
        <v>3</v>
      </c>
      <c r="L548" s="21">
        <v>6</v>
      </c>
      <c r="M548" s="21">
        <v>4</v>
      </c>
      <c r="P548" s="24">
        <f>J548+L548+N548</f>
        <v>12</v>
      </c>
      <c r="Q548" s="24">
        <f>K548+M548+O548</f>
        <v>7</v>
      </c>
      <c r="R548" s="24">
        <v>0.63157894736842102</v>
      </c>
      <c r="S548" s="21" t="s">
        <v>51</v>
      </c>
      <c r="U548" s="21" t="s">
        <v>287</v>
      </c>
      <c r="V548" s="21" t="s">
        <v>286</v>
      </c>
      <c r="W548" s="21">
        <v>11</v>
      </c>
      <c r="X548" s="21" t="s">
        <v>285</v>
      </c>
      <c r="Y548" s="21" t="s">
        <v>318</v>
      </c>
      <c r="Z548" s="21" t="s">
        <v>317</v>
      </c>
      <c r="AA548" s="21" t="s">
        <v>13</v>
      </c>
      <c r="AB548" s="21">
        <v>1</v>
      </c>
      <c r="AD548" s="24">
        <v>7.52</v>
      </c>
      <c r="AE548" s="24">
        <v>7.96</v>
      </c>
      <c r="AF548" s="21" t="s">
        <v>304</v>
      </c>
      <c r="AG548" s="21" t="s">
        <v>303</v>
      </c>
    </row>
    <row r="549" spans="1:33">
      <c r="A549" s="21" t="s">
        <v>13</v>
      </c>
      <c r="B549" s="21" t="s">
        <v>607</v>
      </c>
      <c r="C549" s="25">
        <v>46142.645833333336</v>
      </c>
      <c r="D549" s="21" t="s">
        <v>14</v>
      </c>
      <c r="E549" s="24">
        <v>7.26</v>
      </c>
      <c r="F549" s="24">
        <v>6.86</v>
      </c>
      <c r="G549" s="24">
        <f>E549-F549</f>
        <v>0.39999999999999947</v>
      </c>
      <c r="H549" s="21" t="s">
        <v>294</v>
      </c>
      <c r="I549" s="21">
        <v>0</v>
      </c>
      <c r="J549" s="21">
        <v>2</v>
      </c>
      <c r="K549" s="21">
        <v>6</v>
      </c>
      <c r="L549" s="21">
        <v>4</v>
      </c>
      <c r="M549" s="21">
        <v>6</v>
      </c>
      <c r="P549" s="24">
        <f>J549+L549+N549</f>
        <v>6</v>
      </c>
      <c r="Q549" s="24">
        <f>K549+M549+O549</f>
        <v>12</v>
      </c>
      <c r="R549" s="24">
        <v>0.33333333333333331</v>
      </c>
      <c r="S549" s="21" t="s">
        <v>15</v>
      </c>
      <c r="U549" s="21" t="s">
        <v>287</v>
      </c>
      <c r="V549" s="21" t="s">
        <v>286</v>
      </c>
      <c r="W549" s="21">
        <v>12</v>
      </c>
      <c r="X549" s="21" t="s">
        <v>285</v>
      </c>
      <c r="Y549" s="21" t="s">
        <v>318</v>
      </c>
      <c r="Z549" s="21" t="s">
        <v>317</v>
      </c>
      <c r="AA549" s="21" t="s">
        <v>13</v>
      </c>
      <c r="AB549" s="21">
        <v>1</v>
      </c>
      <c r="AD549" s="24">
        <v>7.52</v>
      </c>
      <c r="AE549" s="24">
        <v>8.06</v>
      </c>
      <c r="AF549" s="21" t="s">
        <v>304</v>
      </c>
      <c r="AG549" s="21" t="s">
        <v>303</v>
      </c>
    </row>
    <row r="550" spans="1:33">
      <c r="A550" s="21" t="s">
        <v>396</v>
      </c>
      <c r="B550" s="21" t="s">
        <v>660</v>
      </c>
      <c r="C550" s="25">
        <v>46092.645833333336</v>
      </c>
      <c r="D550" s="21" t="s">
        <v>438</v>
      </c>
      <c r="E550" s="24">
        <v>2.46</v>
      </c>
      <c r="F550" s="24">
        <v>2.86</v>
      </c>
      <c r="G550" s="24">
        <f>E550-F550</f>
        <v>-0.39999999999999991</v>
      </c>
      <c r="H550" s="21" t="s">
        <v>289</v>
      </c>
      <c r="I550" s="21">
        <v>1</v>
      </c>
      <c r="J550" s="21">
        <v>6</v>
      </c>
      <c r="K550" s="21">
        <v>3</v>
      </c>
      <c r="L550" s="21">
        <v>6</v>
      </c>
      <c r="M550" s="21">
        <v>3</v>
      </c>
      <c r="P550" s="24">
        <f>J550+L550+N550</f>
        <v>12</v>
      </c>
      <c r="Q550" s="24">
        <f>K550+M550+O550</f>
        <v>6</v>
      </c>
      <c r="R550" s="24">
        <v>0.66666666666666663</v>
      </c>
      <c r="S550" s="21" t="s">
        <v>508</v>
      </c>
      <c r="U550" s="21" t="s">
        <v>287</v>
      </c>
      <c r="V550" s="21" t="s">
        <v>286</v>
      </c>
      <c r="W550" s="21">
        <v>0</v>
      </c>
      <c r="X550" s="21" t="s">
        <v>312</v>
      </c>
      <c r="Y550" s="21" t="s">
        <v>284</v>
      </c>
      <c r="Z550" s="21" t="s">
        <v>283</v>
      </c>
      <c r="AA550" s="21" t="s">
        <v>396</v>
      </c>
      <c r="AB550" s="21">
        <v>1</v>
      </c>
      <c r="AD550" s="24">
        <v>3.47</v>
      </c>
      <c r="AE550" s="24">
        <v>2.86</v>
      </c>
      <c r="AF550" s="21" t="s">
        <v>302</v>
      </c>
      <c r="AG550" s="21" t="s">
        <v>301</v>
      </c>
    </row>
    <row r="551" spans="1:33">
      <c r="A551" s="21" t="s">
        <v>396</v>
      </c>
      <c r="B551" s="21" t="s">
        <v>660</v>
      </c>
      <c r="C551" s="25">
        <v>46094.645833333336</v>
      </c>
      <c r="D551" s="21" t="s">
        <v>9</v>
      </c>
      <c r="E551" s="24">
        <v>2.46</v>
      </c>
      <c r="F551" s="24">
        <v>7.53</v>
      </c>
      <c r="G551" s="24">
        <f>E551-F551</f>
        <v>-5.07</v>
      </c>
      <c r="H551" s="21" t="s">
        <v>294</v>
      </c>
      <c r="I551" s="21">
        <v>0</v>
      </c>
      <c r="J551" s="21">
        <v>0</v>
      </c>
      <c r="K551" s="21">
        <v>6</v>
      </c>
      <c r="L551" s="21">
        <v>0</v>
      </c>
      <c r="M551" s="21">
        <v>6</v>
      </c>
      <c r="P551" s="24">
        <f>J551+L551+N551</f>
        <v>0</v>
      </c>
      <c r="Q551" s="24">
        <f>K551+M551+O551</f>
        <v>12</v>
      </c>
      <c r="R551" s="24">
        <v>0</v>
      </c>
      <c r="S551" s="21" t="s">
        <v>446</v>
      </c>
      <c r="U551" s="21" t="s">
        <v>287</v>
      </c>
      <c r="V551" s="21" t="s">
        <v>286</v>
      </c>
      <c r="W551" s="21">
        <v>1</v>
      </c>
      <c r="X551" s="21" t="s">
        <v>323</v>
      </c>
      <c r="Y551" s="21" t="s">
        <v>284</v>
      </c>
      <c r="Z551" s="21" t="s">
        <v>283</v>
      </c>
      <c r="AA551" s="21" t="s">
        <v>396</v>
      </c>
      <c r="AB551" s="21">
        <v>1</v>
      </c>
      <c r="AD551" s="24">
        <v>3.47</v>
      </c>
      <c r="AE551" s="24">
        <v>7.81</v>
      </c>
      <c r="AF551" s="21" t="s">
        <v>304</v>
      </c>
      <c r="AG551" s="21" t="s">
        <v>303</v>
      </c>
    </row>
    <row r="552" spans="1:33">
      <c r="A552" s="21" t="s">
        <v>396</v>
      </c>
      <c r="B552" s="21" t="s">
        <v>660</v>
      </c>
      <c r="C552" s="25">
        <v>46105</v>
      </c>
      <c r="D552" s="21" t="s">
        <v>134</v>
      </c>
      <c r="E552" s="24">
        <v>2.52</v>
      </c>
      <c r="F552" s="24">
        <v>5.41</v>
      </c>
      <c r="G552" s="24">
        <f>E552-F552</f>
        <v>-2.89</v>
      </c>
      <c r="H552" s="21" t="s">
        <v>294</v>
      </c>
      <c r="I552" s="21">
        <v>0</v>
      </c>
      <c r="J552" s="21">
        <v>1</v>
      </c>
      <c r="K552" s="21">
        <v>6</v>
      </c>
      <c r="L552" s="21">
        <v>0</v>
      </c>
      <c r="M552" s="21">
        <v>6</v>
      </c>
      <c r="P552" s="24">
        <f>J552+L552+N552</f>
        <v>1</v>
      </c>
      <c r="Q552" s="24">
        <f>K552+M552+O552</f>
        <v>12</v>
      </c>
      <c r="R552" s="24">
        <v>7.6923076923076927E-2</v>
      </c>
      <c r="S552" s="21" t="s">
        <v>662</v>
      </c>
      <c r="U552" s="21" t="s">
        <v>287</v>
      </c>
      <c r="V552" s="21" t="s">
        <v>286</v>
      </c>
      <c r="W552" s="21">
        <v>2</v>
      </c>
      <c r="X552" s="21" t="s">
        <v>310</v>
      </c>
      <c r="Y552" s="21" t="s">
        <v>284</v>
      </c>
      <c r="Z552" s="21" t="s">
        <v>283</v>
      </c>
      <c r="AA552" s="21" t="s">
        <v>396</v>
      </c>
      <c r="AB552" s="21">
        <v>1</v>
      </c>
      <c r="AD552" s="24">
        <v>3.47</v>
      </c>
      <c r="AE552" s="24">
        <v>5.98</v>
      </c>
      <c r="AF552" s="21" t="s">
        <v>304</v>
      </c>
      <c r="AG552" s="21" t="s">
        <v>303</v>
      </c>
    </row>
    <row r="553" spans="1:33">
      <c r="A553" s="21" t="s">
        <v>396</v>
      </c>
      <c r="B553" s="21" t="s">
        <v>660</v>
      </c>
      <c r="C553" s="25">
        <v>46108.333333333336</v>
      </c>
      <c r="D553" s="21" t="s">
        <v>203</v>
      </c>
      <c r="E553" s="24">
        <v>2.52</v>
      </c>
      <c r="F553" s="24">
        <v>4.9800000000000004</v>
      </c>
      <c r="G553" s="24">
        <f>E553-F553</f>
        <v>-2.4600000000000004</v>
      </c>
      <c r="H553" s="21" t="s">
        <v>294</v>
      </c>
      <c r="I553" s="21">
        <v>0</v>
      </c>
      <c r="J553" s="21">
        <v>0</v>
      </c>
      <c r="K553" s="21">
        <v>6</v>
      </c>
      <c r="L553" s="21">
        <v>0</v>
      </c>
      <c r="M553" s="21">
        <v>6</v>
      </c>
      <c r="P553" s="24">
        <f>J553+L553+N553</f>
        <v>0</v>
      </c>
      <c r="Q553" s="24">
        <f>K553+M553+O553</f>
        <v>12</v>
      </c>
      <c r="R553" s="24">
        <v>0</v>
      </c>
      <c r="S553" s="21" t="s">
        <v>395</v>
      </c>
      <c r="U553" s="21" t="s">
        <v>287</v>
      </c>
      <c r="V553" s="21" t="s">
        <v>286</v>
      </c>
      <c r="W553" s="21">
        <v>3</v>
      </c>
      <c r="X553" s="21" t="s">
        <v>285</v>
      </c>
      <c r="Y553" s="21" t="s">
        <v>284</v>
      </c>
      <c r="Z553" s="21" t="s">
        <v>283</v>
      </c>
      <c r="AA553" s="21" t="s">
        <v>396</v>
      </c>
      <c r="AB553" s="21">
        <v>1</v>
      </c>
      <c r="AD553" s="24">
        <v>3.47</v>
      </c>
      <c r="AE553" s="24">
        <v>6.03</v>
      </c>
      <c r="AF553" s="21" t="s">
        <v>304</v>
      </c>
      <c r="AG553" s="21" t="s">
        <v>303</v>
      </c>
    </row>
    <row r="554" spans="1:33">
      <c r="A554" s="21" t="s">
        <v>396</v>
      </c>
      <c r="B554" s="21" t="s">
        <v>660</v>
      </c>
      <c r="C554" s="25">
        <v>46118.604166666664</v>
      </c>
      <c r="D554" s="21" t="s">
        <v>251</v>
      </c>
      <c r="E554" s="24">
        <v>2.59</v>
      </c>
      <c r="F554" s="24">
        <v>5.33</v>
      </c>
      <c r="G554" s="24">
        <f>E554-F554</f>
        <v>-2.74</v>
      </c>
      <c r="H554" s="21" t="s">
        <v>294</v>
      </c>
      <c r="I554" s="21">
        <v>0</v>
      </c>
      <c r="J554" s="21">
        <v>1</v>
      </c>
      <c r="K554" s="21">
        <v>6</v>
      </c>
      <c r="L554" s="21">
        <v>3</v>
      </c>
      <c r="M554" s="21">
        <v>6</v>
      </c>
      <c r="P554" s="24">
        <f>J554+L554+N554</f>
        <v>4</v>
      </c>
      <c r="Q554" s="24">
        <f>K554+M554+O554</f>
        <v>12</v>
      </c>
      <c r="R554" s="24">
        <v>0.25</v>
      </c>
      <c r="S554" s="21" t="s">
        <v>661</v>
      </c>
      <c r="U554" s="21" t="s">
        <v>287</v>
      </c>
      <c r="V554" s="21" t="s">
        <v>286</v>
      </c>
      <c r="W554" s="21">
        <v>4</v>
      </c>
      <c r="X554" s="21" t="s">
        <v>285</v>
      </c>
      <c r="Y554" s="21" t="s">
        <v>284</v>
      </c>
      <c r="Z554" s="21" t="s">
        <v>283</v>
      </c>
      <c r="AA554" s="21" t="s">
        <v>396</v>
      </c>
      <c r="AB554" s="21">
        <v>1</v>
      </c>
      <c r="AD554" s="24">
        <v>3.47</v>
      </c>
      <c r="AE554" s="24">
        <v>5.33</v>
      </c>
      <c r="AF554" s="21" t="s">
        <v>304</v>
      </c>
      <c r="AG554" s="21" t="s">
        <v>303</v>
      </c>
    </row>
    <row r="555" spans="1:33">
      <c r="A555" s="21" t="s">
        <v>396</v>
      </c>
      <c r="B555" s="21" t="s">
        <v>660</v>
      </c>
      <c r="C555" s="25">
        <v>46126.645833333336</v>
      </c>
      <c r="D555" s="21" t="s">
        <v>67</v>
      </c>
      <c r="E555" s="24">
        <v>2.68</v>
      </c>
      <c r="F555" s="24">
        <v>5.76</v>
      </c>
      <c r="G555" s="24">
        <f>E555-F555</f>
        <v>-3.0799999999999996</v>
      </c>
      <c r="H555" s="21" t="s">
        <v>294</v>
      </c>
      <c r="I555" s="21">
        <v>0</v>
      </c>
      <c r="J555" s="21">
        <v>1</v>
      </c>
      <c r="K555" s="21">
        <v>6</v>
      </c>
      <c r="L555" s="21">
        <v>1</v>
      </c>
      <c r="M555" s="21">
        <v>6</v>
      </c>
      <c r="P555" s="24">
        <f>J555+L555+N555</f>
        <v>2</v>
      </c>
      <c r="Q555" s="24">
        <f>K555+M555+O555</f>
        <v>12</v>
      </c>
      <c r="R555" s="24">
        <v>0.14285714285714285</v>
      </c>
      <c r="S555" s="21" t="s">
        <v>320</v>
      </c>
      <c r="U555" s="21" t="s">
        <v>287</v>
      </c>
      <c r="V555" s="21" t="s">
        <v>286</v>
      </c>
      <c r="W555" s="21">
        <v>5</v>
      </c>
      <c r="X555" s="21" t="s">
        <v>285</v>
      </c>
      <c r="Y555" s="21" t="s">
        <v>284</v>
      </c>
      <c r="Z555" s="21" t="s">
        <v>283</v>
      </c>
      <c r="AA555" s="21" t="s">
        <v>396</v>
      </c>
      <c r="AB555" s="21">
        <v>1</v>
      </c>
      <c r="AD555" s="24">
        <v>3.47</v>
      </c>
      <c r="AE555" s="24">
        <v>6.73</v>
      </c>
      <c r="AF555" s="21" t="s">
        <v>304</v>
      </c>
      <c r="AG555" s="21" t="s">
        <v>303</v>
      </c>
    </row>
    <row r="556" spans="1:33">
      <c r="A556" s="21" t="s">
        <v>396</v>
      </c>
      <c r="B556" s="21" t="s">
        <v>660</v>
      </c>
      <c r="C556" s="25">
        <v>46127.645833333336</v>
      </c>
      <c r="D556" s="21" t="s">
        <v>46</v>
      </c>
      <c r="E556" s="24">
        <v>2.68</v>
      </c>
      <c r="F556" s="24">
        <v>7.41</v>
      </c>
      <c r="G556" s="24">
        <f>E556-F556</f>
        <v>-4.7300000000000004</v>
      </c>
      <c r="H556" s="21" t="s">
        <v>294</v>
      </c>
      <c r="I556" s="21">
        <v>0</v>
      </c>
      <c r="J556" s="21">
        <v>1</v>
      </c>
      <c r="K556" s="21">
        <v>6</v>
      </c>
      <c r="L556" s="21">
        <v>0</v>
      </c>
      <c r="M556" s="21">
        <v>6</v>
      </c>
      <c r="P556" s="24">
        <f>J556+L556+N556</f>
        <v>1</v>
      </c>
      <c r="Q556" s="24">
        <f>K556+M556+O556</f>
        <v>12</v>
      </c>
      <c r="R556" s="24">
        <v>7.6923076923076927E-2</v>
      </c>
      <c r="S556" s="21" t="s">
        <v>416</v>
      </c>
      <c r="U556" s="21" t="s">
        <v>287</v>
      </c>
      <c r="V556" s="21" t="s">
        <v>286</v>
      </c>
      <c r="W556" s="21">
        <v>6</v>
      </c>
      <c r="X556" s="21" t="s">
        <v>285</v>
      </c>
      <c r="Y556" s="21" t="s">
        <v>284</v>
      </c>
      <c r="Z556" s="21" t="s">
        <v>283</v>
      </c>
      <c r="AA556" s="21" t="s">
        <v>396</v>
      </c>
      <c r="AB556" s="21">
        <v>1</v>
      </c>
      <c r="AD556" s="24">
        <v>3.47</v>
      </c>
      <c r="AE556" s="24">
        <v>7.82</v>
      </c>
      <c r="AF556" s="21" t="s">
        <v>302</v>
      </c>
      <c r="AG556" s="21" t="s">
        <v>301</v>
      </c>
    </row>
    <row r="557" spans="1:33">
      <c r="A557" s="21" t="s">
        <v>396</v>
      </c>
      <c r="B557" s="21" t="s">
        <v>660</v>
      </c>
      <c r="C557" s="25">
        <v>46133.645833333336</v>
      </c>
      <c r="D557" s="21" t="s">
        <v>90</v>
      </c>
      <c r="E557" s="24">
        <v>2.65</v>
      </c>
      <c r="F557" s="24">
        <v>6.23</v>
      </c>
      <c r="G557" s="24">
        <f>E557-F557</f>
        <v>-3.5800000000000005</v>
      </c>
      <c r="H557" s="21" t="s">
        <v>294</v>
      </c>
      <c r="I557" s="21">
        <v>0</v>
      </c>
      <c r="J557" s="21">
        <v>1</v>
      </c>
      <c r="K557" s="21">
        <v>6</v>
      </c>
      <c r="L557" s="21">
        <v>1</v>
      </c>
      <c r="M557" s="21">
        <v>6</v>
      </c>
      <c r="P557" s="24">
        <f>J557+L557+N557</f>
        <v>2</v>
      </c>
      <c r="Q557" s="24">
        <f>K557+M557+O557</f>
        <v>12</v>
      </c>
      <c r="R557" s="24">
        <v>0.14285714285714285</v>
      </c>
      <c r="S557" s="21" t="s">
        <v>74</v>
      </c>
      <c r="U557" s="21" t="s">
        <v>287</v>
      </c>
      <c r="V557" s="21" t="s">
        <v>286</v>
      </c>
      <c r="W557" s="21">
        <v>7</v>
      </c>
      <c r="X557" s="21" t="s">
        <v>285</v>
      </c>
      <c r="Y557" s="21" t="s">
        <v>284</v>
      </c>
      <c r="Z557" s="21" t="s">
        <v>283</v>
      </c>
      <c r="AA557" s="21" t="s">
        <v>396</v>
      </c>
      <c r="AB557" s="21">
        <v>1</v>
      </c>
      <c r="AD557" s="24">
        <v>3.47</v>
      </c>
      <c r="AE557" s="24">
        <v>6.31</v>
      </c>
      <c r="AF557" s="21" t="s">
        <v>302</v>
      </c>
      <c r="AG557" s="21" t="s">
        <v>301</v>
      </c>
    </row>
    <row r="558" spans="1:33">
      <c r="A558" s="21" t="s">
        <v>42</v>
      </c>
      <c r="B558" s="21" t="s">
        <v>386</v>
      </c>
      <c r="C558" s="25">
        <v>46101.333333333336</v>
      </c>
      <c r="D558" s="21" t="s">
        <v>13</v>
      </c>
      <c r="E558" s="24">
        <v>7.91</v>
      </c>
      <c r="F558" s="24">
        <v>7.15</v>
      </c>
      <c r="G558" s="24">
        <f>E558-F558</f>
        <v>0.75999999999999979</v>
      </c>
      <c r="H558" s="21" t="s">
        <v>289</v>
      </c>
      <c r="I558" s="21">
        <v>1</v>
      </c>
      <c r="J558" s="21">
        <v>6</v>
      </c>
      <c r="K558" s="21">
        <v>1</v>
      </c>
      <c r="L558" s="21">
        <v>6</v>
      </c>
      <c r="M558" s="21">
        <v>2</v>
      </c>
      <c r="P558" s="24">
        <f>J558+L558+N558</f>
        <v>12</v>
      </c>
      <c r="Q558" s="24">
        <f>K558+M558+O558</f>
        <v>3</v>
      </c>
      <c r="R558" s="24">
        <v>0.8</v>
      </c>
      <c r="S558" s="21" t="s">
        <v>399</v>
      </c>
      <c r="U558" s="21" t="s">
        <v>287</v>
      </c>
      <c r="V558" s="21" t="s">
        <v>286</v>
      </c>
      <c r="W558" s="21">
        <v>0</v>
      </c>
      <c r="X558" s="21" t="s">
        <v>312</v>
      </c>
      <c r="Y558" s="21" t="s">
        <v>284</v>
      </c>
      <c r="Z558" s="21" t="s">
        <v>283</v>
      </c>
      <c r="AA558" s="21" t="s">
        <v>42</v>
      </c>
      <c r="AB558" s="21">
        <v>1</v>
      </c>
      <c r="AD558" s="24">
        <v>8.24</v>
      </c>
      <c r="AE558" s="24">
        <v>7.46</v>
      </c>
      <c r="AF558" s="21" t="s">
        <v>304</v>
      </c>
      <c r="AG558" s="21" t="s">
        <v>303</v>
      </c>
    </row>
    <row r="559" spans="1:33">
      <c r="A559" s="21" t="s">
        <v>42</v>
      </c>
      <c r="B559" s="21" t="s">
        <v>386</v>
      </c>
      <c r="C559" s="25">
        <v>46106</v>
      </c>
      <c r="D559" s="21" t="s">
        <v>140</v>
      </c>
      <c r="E559" s="24">
        <v>7.96</v>
      </c>
      <c r="F559" s="24">
        <v>6.07</v>
      </c>
      <c r="G559" s="24">
        <f>E559-F559</f>
        <v>1.8899999999999997</v>
      </c>
      <c r="H559" s="21" t="s">
        <v>289</v>
      </c>
      <c r="I559" s="21">
        <v>1</v>
      </c>
      <c r="J559" s="21">
        <v>6</v>
      </c>
      <c r="K559" s="21">
        <v>4</v>
      </c>
      <c r="L559" s="21">
        <v>6</v>
      </c>
      <c r="M559" s="21">
        <v>0</v>
      </c>
      <c r="P559" s="24">
        <f>J559+L559+N559</f>
        <v>12</v>
      </c>
      <c r="Q559" s="24">
        <f>K559+M559+O559</f>
        <v>4</v>
      </c>
      <c r="R559" s="24">
        <v>0.75</v>
      </c>
      <c r="S559" s="21" t="s">
        <v>204</v>
      </c>
      <c r="U559" s="21" t="s">
        <v>287</v>
      </c>
      <c r="V559" s="21" t="s">
        <v>286</v>
      </c>
      <c r="W559" s="21">
        <v>1</v>
      </c>
      <c r="X559" s="21" t="s">
        <v>323</v>
      </c>
      <c r="Y559" s="21" t="s">
        <v>284</v>
      </c>
      <c r="Z559" s="21" t="s">
        <v>283</v>
      </c>
      <c r="AA559" s="21" t="s">
        <v>42</v>
      </c>
      <c r="AB559" s="21">
        <v>1</v>
      </c>
      <c r="AD559" s="24">
        <v>8.24</v>
      </c>
      <c r="AE559" s="24">
        <v>5.74</v>
      </c>
      <c r="AF559" s="21" t="s">
        <v>304</v>
      </c>
      <c r="AG559" s="21" t="s">
        <v>303</v>
      </c>
    </row>
    <row r="560" spans="1:33">
      <c r="A560" s="21" t="s">
        <v>42</v>
      </c>
      <c r="B560" s="21" t="s">
        <v>386</v>
      </c>
      <c r="C560" s="25">
        <v>46107.645833333336</v>
      </c>
      <c r="D560" s="21" t="s">
        <v>163</v>
      </c>
      <c r="E560" s="24">
        <v>7.96</v>
      </c>
      <c r="F560" s="24">
        <v>4.3499999999999996</v>
      </c>
      <c r="G560" s="24">
        <f>E560-F560</f>
        <v>3.6100000000000003</v>
      </c>
      <c r="H560" s="21" t="s">
        <v>289</v>
      </c>
      <c r="I560" s="21">
        <v>1</v>
      </c>
      <c r="J560" s="21">
        <v>6</v>
      </c>
      <c r="K560" s="21">
        <v>0</v>
      </c>
      <c r="L560" s="21">
        <v>6</v>
      </c>
      <c r="M560" s="21">
        <v>2</v>
      </c>
      <c r="P560" s="24">
        <f>J560+L560+N560</f>
        <v>12</v>
      </c>
      <c r="Q560" s="24">
        <f>K560+M560+O560</f>
        <v>2</v>
      </c>
      <c r="R560" s="24">
        <v>0.8571428571428571</v>
      </c>
      <c r="S560" s="21" t="s">
        <v>397</v>
      </c>
      <c r="U560" s="21" t="s">
        <v>287</v>
      </c>
      <c r="V560" s="21" t="s">
        <v>286</v>
      </c>
      <c r="W560" s="21">
        <v>2</v>
      </c>
      <c r="X560" s="21" t="s">
        <v>310</v>
      </c>
      <c r="Y560" s="21" t="s">
        <v>284</v>
      </c>
      <c r="Z560" s="21" t="s">
        <v>283</v>
      </c>
      <c r="AA560" s="21" t="s">
        <v>42</v>
      </c>
      <c r="AB560" s="21">
        <v>1</v>
      </c>
      <c r="AD560" s="24">
        <v>8.24</v>
      </c>
      <c r="AE560" s="24">
        <v>4.3499999999999996</v>
      </c>
      <c r="AF560" s="21" t="s">
        <v>304</v>
      </c>
      <c r="AG560" s="21" t="s">
        <v>303</v>
      </c>
    </row>
    <row r="561" spans="1:33">
      <c r="A561" s="21" t="s">
        <v>42</v>
      </c>
      <c r="B561" s="21" t="s">
        <v>386</v>
      </c>
      <c r="C561" s="25">
        <v>46108.333333333336</v>
      </c>
      <c r="D561" s="21" t="s">
        <v>76</v>
      </c>
      <c r="E561" s="24">
        <v>7.96</v>
      </c>
      <c r="F561" s="24">
        <v>5.08</v>
      </c>
      <c r="G561" s="24">
        <f>E561-F561</f>
        <v>2.88</v>
      </c>
      <c r="H561" s="21" t="s">
        <v>289</v>
      </c>
      <c r="I561" s="21">
        <v>1</v>
      </c>
      <c r="J561" s="21">
        <v>6</v>
      </c>
      <c r="K561" s="21">
        <v>0</v>
      </c>
      <c r="L561" s="21">
        <v>6</v>
      </c>
      <c r="M561" s="21">
        <v>0</v>
      </c>
      <c r="P561" s="24">
        <f>J561+L561+N561</f>
        <v>12</v>
      </c>
      <c r="Q561" s="24">
        <f>K561+M561+O561</f>
        <v>0</v>
      </c>
      <c r="R561" s="24">
        <v>1</v>
      </c>
      <c r="S561" s="21" t="s">
        <v>395</v>
      </c>
      <c r="U561" s="21" t="s">
        <v>287</v>
      </c>
      <c r="V561" s="21" t="s">
        <v>286</v>
      </c>
      <c r="W561" s="21">
        <v>3</v>
      </c>
      <c r="X561" s="21" t="s">
        <v>285</v>
      </c>
      <c r="Y561" s="21" t="s">
        <v>284</v>
      </c>
      <c r="Z561" s="21" t="s">
        <v>283</v>
      </c>
      <c r="AA561" s="21" t="s">
        <v>42</v>
      </c>
      <c r="AB561" s="21">
        <v>1</v>
      </c>
      <c r="AD561" s="24">
        <v>8.24</v>
      </c>
      <c r="AE561" s="24">
        <v>5.08</v>
      </c>
      <c r="AF561" s="21" t="s">
        <v>304</v>
      </c>
      <c r="AG561" s="21" t="s">
        <v>303</v>
      </c>
    </row>
    <row r="562" spans="1:33">
      <c r="A562" s="21" t="s">
        <v>42</v>
      </c>
      <c r="B562" s="21" t="s">
        <v>386</v>
      </c>
      <c r="C562" s="25">
        <v>46119.333333333336</v>
      </c>
      <c r="D562" s="21" t="s">
        <v>145</v>
      </c>
      <c r="E562" s="24">
        <v>8</v>
      </c>
      <c r="F562" s="24">
        <v>8.15</v>
      </c>
      <c r="G562" s="24">
        <f>E562-F562</f>
        <v>-0.15000000000000036</v>
      </c>
      <c r="H562" s="21" t="s">
        <v>294</v>
      </c>
      <c r="I562" s="21">
        <v>0</v>
      </c>
      <c r="J562" s="21">
        <v>0</v>
      </c>
      <c r="K562" s="21">
        <v>6</v>
      </c>
      <c r="L562" s="21">
        <v>1</v>
      </c>
      <c r="M562" s="21">
        <v>6</v>
      </c>
      <c r="P562" s="24">
        <f>J562+L562+N562</f>
        <v>1</v>
      </c>
      <c r="Q562" s="24">
        <f>K562+M562+O562</f>
        <v>12</v>
      </c>
      <c r="R562" s="24">
        <v>7.6923076923076927E-2</v>
      </c>
      <c r="S562" s="21" t="s">
        <v>160</v>
      </c>
      <c r="U562" s="21" t="s">
        <v>287</v>
      </c>
      <c r="V562" s="21" t="s">
        <v>286</v>
      </c>
      <c r="W562" s="21">
        <v>4</v>
      </c>
      <c r="X562" s="21" t="s">
        <v>285</v>
      </c>
      <c r="Y562" s="21" t="s">
        <v>284</v>
      </c>
      <c r="Z562" s="21" t="s">
        <v>283</v>
      </c>
      <c r="AA562" s="21" t="s">
        <v>42</v>
      </c>
      <c r="AB562" s="21">
        <v>1</v>
      </c>
      <c r="AD562" s="24">
        <v>8.24</v>
      </c>
      <c r="AE562" s="24">
        <v>8.41</v>
      </c>
      <c r="AF562" s="21" t="s">
        <v>304</v>
      </c>
      <c r="AG562" s="21" t="s">
        <v>303</v>
      </c>
    </row>
    <row r="563" spans="1:33">
      <c r="A563" s="21" t="s">
        <v>42</v>
      </c>
      <c r="B563" s="21" t="s">
        <v>386</v>
      </c>
      <c r="C563" s="25">
        <v>46120.333333333336</v>
      </c>
      <c r="D563" s="21" t="s">
        <v>154</v>
      </c>
      <c r="E563" s="24">
        <v>8</v>
      </c>
      <c r="F563" s="24">
        <v>6.29</v>
      </c>
      <c r="G563" s="24">
        <f>E563-F563</f>
        <v>1.71</v>
      </c>
      <c r="H563" s="21" t="s">
        <v>289</v>
      </c>
      <c r="I563" s="21">
        <v>1</v>
      </c>
      <c r="J563" s="21">
        <v>6</v>
      </c>
      <c r="K563" s="21">
        <v>2</v>
      </c>
      <c r="L563" s="21">
        <v>6</v>
      </c>
      <c r="M563" s="21">
        <v>2</v>
      </c>
      <c r="P563" s="24">
        <f>J563+L563+N563</f>
        <v>12</v>
      </c>
      <c r="Q563" s="24">
        <f>K563+M563+O563</f>
        <v>4</v>
      </c>
      <c r="R563" s="24">
        <v>0.75</v>
      </c>
      <c r="S563" s="21" t="s">
        <v>393</v>
      </c>
      <c r="U563" s="21" t="s">
        <v>287</v>
      </c>
      <c r="V563" s="21" t="s">
        <v>286</v>
      </c>
      <c r="W563" s="21">
        <v>5</v>
      </c>
      <c r="X563" s="21" t="s">
        <v>285</v>
      </c>
      <c r="Y563" s="21" t="s">
        <v>284</v>
      </c>
      <c r="Z563" s="21" t="s">
        <v>283</v>
      </c>
      <c r="AA563" s="21" t="s">
        <v>42</v>
      </c>
      <c r="AB563" s="21">
        <v>1</v>
      </c>
      <c r="AD563" s="24">
        <v>8.24</v>
      </c>
      <c r="AE563" s="24">
        <v>6.74</v>
      </c>
      <c r="AF563" s="21" t="s">
        <v>304</v>
      </c>
      <c r="AG563" s="21" t="s">
        <v>303</v>
      </c>
    </row>
    <row r="564" spans="1:33">
      <c r="A564" s="21" t="s">
        <v>42</v>
      </c>
      <c r="B564" s="21" t="s">
        <v>386</v>
      </c>
      <c r="C564" s="25">
        <v>46125.333333333336</v>
      </c>
      <c r="D564" s="21" t="s">
        <v>427</v>
      </c>
      <c r="E564" s="24">
        <v>8</v>
      </c>
      <c r="F564" s="24">
        <v>2.37</v>
      </c>
      <c r="G564" s="24">
        <f>E564-F564</f>
        <v>5.63</v>
      </c>
      <c r="H564" s="21" t="s">
        <v>289</v>
      </c>
      <c r="I564" s="21">
        <v>1</v>
      </c>
      <c r="J564" s="21">
        <v>6</v>
      </c>
      <c r="K564" s="21">
        <v>0</v>
      </c>
      <c r="L564" s="21">
        <v>6</v>
      </c>
      <c r="M564" s="21">
        <v>0</v>
      </c>
      <c r="P564" s="24">
        <f>J564+L564+N564</f>
        <v>12</v>
      </c>
      <c r="Q564" s="24">
        <f>K564+M564+O564</f>
        <v>0</v>
      </c>
      <c r="R564" s="24">
        <v>1</v>
      </c>
      <c r="S564" s="21" t="s">
        <v>390</v>
      </c>
      <c r="U564" s="21" t="s">
        <v>287</v>
      </c>
      <c r="V564" s="21" t="s">
        <v>286</v>
      </c>
      <c r="W564" s="21">
        <v>6</v>
      </c>
      <c r="X564" s="21" t="s">
        <v>285</v>
      </c>
      <c r="Y564" s="21" t="s">
        <v>284</v>
      </c>
      <c r="Z564" s="21" t="s">
        <v>283</v>
      </c>
      <c r="AA564" s="21" t="s">
        <v>42</v>
      </c>
      <c r="AB564" s="21">
        <v>1</v>
      </c>
      <c r="AD564" s="24">
        <v>8.24</v>
      </c>
      <c r="AE564" s="24">
        <v>2.5099999999999998</v>
      </c>
      <c r="AF564" s="21" t="s">
        <v>304</v>
      </c>
      <c r="AG564" s="21" t="s">
        <v>303</v>
      </c>
    </row>
    <row r="565" spans="1:33">
      <c r="A565" s="21" t="s">
        <v>42</v>
      </c>
      <c r="B565" s="21" t="s">
        <v>386</v>
      </c>
      <c r="C565" s="25">
        <v>46127.333333333336</v>
      </c>
      <c r="D565" s="21" t="s">
        <v>70</v>
      </c>
      <c r="E565" s="24">
        <v>7.84</v>
      </c>
      <c r="F565" s="24">
        <v>7.81</v>
      </c>
      <c r="G565" s="24">
        <f>E565-F565</f>
        <v>3.0000000000000249E-2</v>
      </c>
      <c r="H565" s="21" t="s">
        <v>289</v>
      </c>
      <c r="I565" s="21">
        <v>1</v>
      </c>
      <c r="J565" s="21">
        <v>6</v>
      </c>
      <c r="K565" s="21">
        <v>1</v>
      </c>
      <c r="L565" s="21">
        <v>6</v>
      </c>
      <c r="M565" s="21">
        <v>1</v>
      </c>
      <c r="P565" s="24">
        <f>J565+L565+N565</f>
        <v>12</v>
      </c>
      <c r="Q565" s="24">
        <f>K565+M565+O565</f>
        <v>2</v>
      </c>
      <c r="R565" s="24">
        <v>0.8571428571428571</v>
      </c>
      <c r="S565" s="21" t="s">
        <v>100</v>
      </c>
      <c r="U565" s="21" t="s">
        <v>287</v>
      </c>
      <c r="V565" s="21" t="s">
        <v>286</v>
      </c>
      <c r="W565" s="21">
        <v>7</v>
      </c>
      <c r="X565" s="21" t="s">
        <v>285</v>
      </c>
      <c r="Y565" s="21" t="s">
        <v>284</v>
      </c>
      <c r="Z565" s="21" t="s">
        <v>283</v>
      </c>
      <c r="AA565" s="21" t="s">
        <v>42</v>
      </c>
      <c r="AB565" s="21">
        <v>1</v>
      </c>
      <c r="AD565" s="24">
        <v>8.24</v>
      </c>
      <c r="AE565" s="24">
        <v>7.22</v>
      </c>
      <c r="AF565" s="21" t="s">
        <v>304</v>
      </c>
      <c r="AG565" s="21" t="s">
        <v>303</v>
      </c>
    </row>
    <row r="566" spans="1:33">
      <c r="A566" s="21" t="s">
        <v>42</v>
      </c>
      <c r="B566" s="21" t="s">
        <v>386</v>
      </c>
      <c r="C566" s="25">
        <v>46129.645833333336</v>
      </c>
      <c r="D566" s="21" t="s">
        <v>422</v>
      </c>
      <c r="E566" s="24">
        <v>7.84</v>
      </c>
      <c r="F566" s="24">
        <v>9.02</v>
      </c>
      <c r="G566" s="24">
        <f>E566-F566</f>
        <v>-1.1799999999999997</v>
      </c>
      <c r="H566" s="21" t="s">
        <v>294</v>
      </c>
      <c r="I566" s="21">
        <v>0</v>
      </c>
      <c r="J566" s="21">
        <v>4</v>
      </c>
      <c r="K566" s="21">
        <v>6</v>
      </c>
      <c r="L566" s="21">
        <v>2</v>
      </c>
      <c r="M566" s="21">
        <v>6</v>
      </c>
      <c r="P566" s="24">
        <f>J566+L566+N566</f>
        <v>6</v>
      </c>
      <c r="Q566" s="24">
        <f>K566+M566+O566</f>
        <v>12</v>
      </c>
      <c r="R566" s="24">
        <v>0.33333333333333331</v>
      </c>
      <c r="S566" s="21" t="s">
        <v>388</v>
      </c>
      <c r="U566" s="21" t="s">
        <v>287</v>
      </c>
      <c r="V566" s="21" t="s">
        <v>286</v>
      </c>
      <c r="W566" s="21">
        <v>8</v>
      </c>
      <c r="X566" s="21" t="s">
        <v>285</v>
      </c>
      <c r="Y566" s="21" t="s">
        <v>284</v>
      </c>
      <c r="Z566" s="21" t="s">
        <v>283</v>
      </c>
      <c r="AA566" s="21" t="s">
        <v>42</v>
      </c>
      <c r="AB566" s="21">
        <v>1</v>
      </c>
      <c r="AD566" s="24">
        <v>8.24</v>
      </c>
      <c r="AE566" s="24">
        <v>8.98</v>
      </c>
      <c r="AF566" s="21" t="s">
        <v>322</v>
      </c>
      <c r="AG566" s="21" t="s">
        <v>301</v>
      </c>
    </row>
    <row r="567" spans="1:33">
      <c r="A567" s="21" t="s">
        <v>42</v>
      </c>
      <c r="B567" s="21" t="s">
        <v>386</v>
      </c>
      <c r="C567" s="25">
        <v>46139.645833333336</v>
      </c>
      <c r="D567" s="21" t="s">
        <v>91</v>
      </c>
      <c r="E567" s="24">
        <v>7.67</v>
      </c>
      <c r="F567" s="24">
        <v>6.09</v>
      </c>
      <c r="G567" s="24">
        <f>E567-F567</f>
        <v>1.58</v>
      </c>
      <c r="H567" s="21" t="s">
        <v>289</v>
      </c>
      <c r="I567" s="21">
        <v>1</v>
      </c>
      <c r="J567" s="21">
        <v>7</v>
      </c>
      <c r="K567" s="21">
        <v>5</v>
      </c>
      <c r="L567" s="21">
        <v>6</v>
      </c>
      <c r="M567" s="21">
        <v>0</v>
      </c>
      <c r="P567" s="24">
        <f>J567+L567+N567</f>
        <v>13</v>
      </c>
      <c r="Q567" s="24">
        <f>K567+M567+O567</f>
        <v>5</v>
      </c>
      <c r="R567" s="24">
        <v>0.72222222222222221</v>
      </c>
      <c r="S567" s="21" t="s">
        <v>387</v>
      </c>
      <c r="U567" s="21" t="s">
        <v>287</v>
      </c>
      <c r="V567" s="21" t="s">
        <v>286</v>
      </c>
      <c r="W567" s="21">
        <v>9</v>
      </c>
      <c r="X567" s="21" t="s">
        <v>285</v>
      </c>
      <c r="Y567" s="21" t="s">
        <v>284</v>
      </c>
      <c r="Z567" s="21" t="s">
        <v>283</v>
      </c>
      <c r="AA567" s="21" t="s">
        <v>42</v>
      </c>
      <c r="AB567" s="21">
        <v>1</v>
      </c>
      <c r="AD567" s="24">
        <v>8.24</v>
      </c>
      <c r="AE567" s="24">
        <v>6.44</v>
      </c>
      <c r="AF567" s="21" t="s">
        <v>322</v>
      </c>
      <c r="AG567" s="21" t="s">
        <v>301</v>
      </c>
    </row>
    <row r="568" spans="1:33">
      <c r="A568" s="21" t="s">
        <v>42</v>
      </c>
      <c r="B568" s="21" t="s">
        <v>386</v>
      </c>
      <c r="C568" s="25">
        <v>46140.333333333336</v>
      </c>
      <c r="D568" s="21" t="s">
        <v>46</v>
      </c>
      <c r="E568" s="24">
        <v>7.69</v>
      </c>
      <c r="F568" s="24">
        <v>7.65</v>
      </c>
      <c r="G568" s="24">
        <f>E568-F568</f>
        <v>4.0000000000000036E-2</v>
      </c>
      <c r="H568" s="21" t="s">
        <v>289</v>
      </c>
      <c r="I568" s="21">
        <v>1</v>
      </c>
      <c r="J568" s="21">
        <v>6</v>
      </c>
      <c r="K568" s="21">
        <v>1</v>
      </c>
      <c r="L568" s="21">
        <v>6</v>
      </c>
      <c r="M568" s="21">
        <v>0</v>
      </c>
      <c r="P568" s="24">
        <f>J568+L568+N568</f>
        <v>12</v>
      </c>
      <c r="Q568" s="24">
        <f>K568+M568+O568</f>
        <v>1</v>
      </c>
      <c r="R568" s="24">
        <v>0.92307692307692313</v>
      </c>
      <c r="S568" s="21" t="s">
        <v>47</v>
      </c>
      <c r="U568" s="21" t="s">
        <v>287</v>
      </c>
      <c r="V568" s="21" t="s">
        <v>286</v>
      </c>
      <c r="W568" s="21">
        <v>10</v>
      </c>
      <c r="X568" s="21" t="s">
        <v>285</v>
      </c>
      <c r="Y568" s="21" t="s">
        <v>284</v>
      </c>
      <c r="Z568" s="21" t="s">
        <v>283</v>
      </c>
      <c r="AA568" s="21" t="s">
        <v>42</v>
      </c>
      <c r="AB568" s="21">
        <v>1</v>
      </c>
      <c r="AD568" s="24">
        <v>8.24</v>
      </c>
      <c r="AE568" s="24">
        <v>7.82</v>
      </c>
      <c r="AF568" s="21" t="s">
        <v>302</v>
      </c>
      <c r="AG568" s="21" t="s">
        <v>301</v>
      </c>
    </row>
    <row r="569" spans="1:33">
      <c r="A569" s="21" t="s">
        <v>42</v>
      </c>
      <c r="B569" s="21" t="s">
        <v>386</v>
      </c>
      <c r="C569" s="25">
        <v>46141.572916666664</v>
      </c>
      <c r="D569" s="21" t="s">
        <v>18</v>
      </c>
      <c r="E569" s="24">
        <v>7.69</v>
      </c>
      <c r="F569" s="24">
        <v>8.18</v>
      </c>
      <c r="G569" s="24">
        <f>E569-F569</f>
        <v>-0.48999999999999932</v>
      </c>
      <c r="H569" s="21" t="s">
        <v>294</v>
      </c>
      <c r="I569" s="21">
        <v>0</v>
      </c>
      <c r="J569" s="21">
        <v>2</v>
      </c>
      <c r="K569" s="21">
        <v>6</v>
      </c>
      <c r="L569" s="21">
        <v>6</v>
      </c>
      <c r="M569" s="21">
        <v>3</v>
      </c>
      <c r="N569" s="21">
        <v>0</v>
      </c>
      <c r="O569" s="21">
        <v>1</v>
      </c>
      <c r="P569" s="24">
        <f>J569+L569+N569</f>
        <v>8</v>
      </c>
      <c r="Q569" s="24">
        <f>K569+M569+O569</f>
        <v>10</v>
      </c>
      <c r="R569" s="24">
        <v>0.11851851851851852</v>
      </c>
      <c r="S569" s="21" t="s">
        <v>29</v>
      </c>
      <c r="T569" s="21" t="s">
        <v>298</v>
      </c>
      <c r="U569" s="21" t="s">
        <v>292</v>
      </c>
      <c r="V569" s="21" t="s">
        <v>286</v>
      </c>
      <c r="W569" s="21">
        <v>11</v>
      </c>
      <c r="X569" s="21" t="s">
        <v>285</v>
      </c>
      <c r="Y569" s="21" t="s">
        <v>284</v>
      </c>
      <c r="Z569" s="21" t="s">
        <v>283</v>
      </c>
      <c r="AA569" s="21" t="s">
        <v>42</v>
      </c>
      <c r="AB569" s="21">
        <v>1</v>
      </c>
      <c r="AD569" s="24">
        <v>8.24</v>
      </c>
      <c r="AE569" s="24">
        <v>8.6</v>
      </c>
      <c r="AF569" s="21" t="s">
        <v>302</v>
      </c>
      <c r="AG569" s="21" t="s">
        <v>301</v>
      </c>
    </row>
    <row r="570" spans="1:33">
      <c r="A570" s="21" t="s">
        <v>150</v>
      </c>
      <c r="B570" s="21" t="s">
        <v>407</v>
      </c>
      <c r="C570" s="25">
        <v>46095.645833333336</v>
      </c>
      <c r="D570" s="21" t="s">
        <v>138</v>
      </c>
      <c r="E570" s="24">
        <v>4.53</v>
      </c>
      <c r="F570" s="24">
        <v>7.68</v>
      </c>
      <c r="G570" s="24">
        <f>E570-F570</f>
        <v>-3.1499999999999995</v>
      </c>
      <c r="H570" s="21" t="s">
        <v>294</v>
      </c>
      <c r="I570" s="21">
        <v>0</v>
      </c>
      <c r="J570" s="21">
        <v>0</v>
      </c>
      <c r="K570" s="21">
        <v>6</v>
      </c>
      <c r="L570" s="21">
        <v>0</v>
      </c>
      <c r="M570" s="21">
        <v>6</v>
      </c>
      <c r="P570" s="24">
        <f>J570+L570+N570</f>
        <v>0</v>
      </c>
      <c r="Q570" s="24">
        <f>K570+M570+O570</f>
        <v>12</v>
      </c>
      <c r="R570" s="24">
        <v>0</v>
      </c>
      <c r="S570" s="21" t="s">
        <v>409</v>
      </c>
      <c r="U570" s="21" t="s">
        <v>287</v>
      </c>
      <c r="V570" s="21" t="s">
        <v>286</v>
      </c>
      <c r="W570" s="21">
        <v>0</v>
      </c>
      <c r="X570" s="21" t="s">
        <v>312</v>
      </c>
      <c r="Y570" s="21" t="s">
        <v>603</v>
      </c>
      <c r="Z570" s="21" t="s">
        <v>602</v>
      </c>
      <c r="AA570" s="21" t="s">
        <v>150</v>
      </c>
      <c r="AB570" s="21">
        <v>1</v>
      </c>
      <c r="AD570" s="24">
        <v>4.53</v>
      </c>
      <c r="AE570" s="24">
        <v>7.68</v>
      </c>
      <c r="AF570" s="21" t="s">
        <v>304</v>
      </c>
      <c r="AG570" s="21" t="s">
        <v>303</v>
      </c>
    </row>
    <row r="571" spans="1:33">
      <c r="A571" s="21" t="s">
        <v>150</v>
      </c>
      <c r="B571" s="21" t="s">
        <v>407</v>
      </c>
      <c r="C571" s="25">
        <v>46098.645833333336</v>
      </c>
      <c r="D571" s="21" t="s">
        <v>659</v>
      </c>
      <c r="E571" s="24">
        <v>4.53</v>
      </c>
      <c r="F571" s="24">
        <v>2.61</v>
      </c>
      <c r="G571" s="24">
        <f>E571-F571</f>
        <v>1.9200000000000004</v>
      </c>
      <c r="H571" s="21" t="s">
        <v>289</v>
      </c>
      <c r="I571" s="21">
        <v>1</v>
      </c>
      <c r="J571" s="21">
        <v>6</v>
      </c>
      <c r="K571" s="21">
        <v>1</v>
      </c>
      <c r="L571" s="21">
        <v>6</v>
      </c>
      <c r="M571" s="21">
        <v>2</v>
      </c>
      <c r="P571" s="24">
        <f>J571+L571+N571</f>
        <v>12</v>
      </c>
      <c r="Q571" s="24">
        <f>K571+M571+O571</f>
        <v>3</v>
      </c>
      <c r="R571" s="24">
        <v>0.8</v>
      </c>
      <c r="S571" s="21" t="s">
        <v>408</v>
      </c>
      <c r="U571" s="21" t="s">
        <v>287</v>
      </c>
      <c r="V571" s="21" t="s">
        <v>286</v>
      </c>
      <c r="W571" s="21">
        <v>1</v>
      </c>
      <c r="X571" s="21" t="s">
        <v>323</v>
      </c>
      <c r="Y571" s="21" t="s">
        <v>603</v>
      </c>
      <c r="Z571" s="21" t="s">
        <v>602</v>
      </c>
      <c r="AA571" s="21" t="s">
        <v>150</v>
      </c>
      <c r="AB571" s="21">
        <v>1</v>
      </c>
      <c r="AD571" s="24">
        <v>4.53</v>
      </c>
      <c r="AE571" s="24">
        <v>2.61</v>
      </c>
      <c r="AF571" s="21" t="s">
        <v>302</v>
      </c>
      <c r="AG571" s="21" t="s">
        <v>301</v>
      </c>
    </row>
    <row r="572" spans="1:33">
      <c r="A572" s="21" t="s">
        <v>150</v>
      </c>
      <c r="B572" s="21" t="s">
        <v>407</v>
      </c>
      <c r="C572" s="25">
        <v>46119.333333333336</v>
      </c>
      <c r="D572" s="21" t="s">
        <v>658</v>
      </c>
      <c r="E572" s="24">
        <v>4.53</v>
      </c>
      <c r="F572" s="24">
        <v>3.34</v>
      </c>
      <c r="G572" s="24">
        <f>E572-F572</f>
        <v>1.1900000000000004</v>
      </c>
      <c r="H572" s="21" t="s">
        <v>289</v>
      </c>
      <c r="I572" s="21">
        <v>1</v>
      </c>
      <c r="J572" s="21">
        <v>6</v>
      </c>
      <c r="K572" s="21">
        <v>0</v>
      </c>
      <c r="L572" s="21">
        <v>6</v>
      </c>
      <c r="M572" s="21">
        <v>1</v>
      </c>
      <c r="P572" s="24">
        <f>J572+L572+N572</f>
        <v>12</v>
      </c>
      <c r="Q572" s="24">
        <f>K572+M572+O572</f>
        <v>1</v>
      </c>
      <c r="R572" s="24">
        <v>0.92307692307692313</v>
      </c>
      <c r="S572" s="21" t="s">
        <v>160</v>
      </c>
      <c r="U572" s="21" t="s">
        <v>287</v>
      </c>
      <c r="V572" s="21" t="s">
        <v>286</v>
      </c>
      <c r="W572" s="21">
        <v>2</v>
      </c>
      <c r="X572" s="21" t="s">
        <v>310</v>
      </c>
      <c r="Y572" s="21" t="s">
        <v>603</v>
      </c>
      <c r="Z572" s="21" t="s">
        <v>602</v>
      </c>
      <c r="AA572" s="21" t="s">
        <v>150</v>
      </c>
      <c r="AB572" s="21">
        <v>1</v>
      </c>
      <c r="AD572" s="24">
        <v>4.53</v>
      </c>
      <c r="AE572" s="24">
        <v>3.34</v>
      </c>
      <c r="AF572" s="21" t="s">
        <v>302</v>
      </c>
      <c r="AG572" s="21" t="s">
        <v>301</v>
      </c>
    </row>
    <row r="573" spans="1:33">
      <c r="A573" s="21" t="s">
        <v>21</v>
      </c>
      <c r="B573" s="21" t="s">
        <v>499</v>
      </c>
      <c r="C573" s="25">
        <v>46031</v>
      </c>
      <c r="D573" s="21" t="s">
        <v>78</v>
      </c>
      <c r="E573" s="24">
        <v>8.39</v>
      </c>
      <c r="F573" s="24">
        <v>9.9700000000000006</v>
      </c>
      <c r="G573" s="24">
        <f>E573-F573</f>
        <v>-1.58</v>
      </c>
      <c r="H573" s="21" t="s">
        <v>294</v>
      </c>
      <c r="I573" s="21">
        <v>0</v>
      </c>
      <c r="J573" s="21">
        <v>0</v>
      </c>
      <c r="K573" s="21">
        <v>6</v>
      </c>
      <c r="L573" s="21">
        <v>1</v>
      </c>
      <c r="M573" s="21">
        <v>6</v>
      </c>
      <c r="P573" s="24">
        <f>J573+L573+N573</f>
        <v>1</v>
      </c>
      <c r="Q573" s="24">
        <f>K573+M573+O573</f>
        <v>12</v>
      </c>
      <c r="R573" s="24">
        <v>7.6923076923076927E-2</v>
      </c>
      <c r="S573" s="21" t="s">
        <v>452</v>
      </c>
      <c r="T573" s="21" t="s">
        <v>298</v>
      </c>
      <c r="U573" s="21" t="s">
        <v>292</v>
      </c>
      <c r="V573" s="21" t="s">
        <v>286</v>
      </c>
      <c r="W573" s="21">
        <v>0</v>
      </c>
      <c r="X573" s="21" t="s">
        <v>312</v>
      </c>
      <c r="Y573" s="21" t="s">
        <v>284</v>
      </c>
      <c r="Z573" s="21" t="s">
        <v>283</v>
      </c>
      <c r="AA573" s="21" t="s">
        <v>21</v>
      </c>
      <c r="AB573" s="21">
        <v>1</v>
      </c>
      <c r="AD573" s="24">
        <v>8.39</v>
      </c>
      <c r="AE573" s="24">
        <v>9.9700000000000006</v>
      </c>
      <c r="AF573" s="21" t="s">
        <v>304</v>
      </c>
      <c r="AG573" s="21" t="s">
        <v>341</v>
      </c>
    </row>
    <row r="574" spans="1:33">
      <c r="A574" s="21" t="s">
        <v>21</v>
      </c>
      <c r="B574" s="21" t="s">
        <v>499</v>
      </c>
      <c r="C574" s="25">
        <v>46031</v>
      </c>
      <c r="D574" s="21" t="s">
        <v>583</v>
      </c>
      <c r="E574" s="24">
        <v>8.39</v>
      </c>
      <c r="F574" s="24">
        <v>10.33</v>
      </c>
      <c r="G574" s="24">
        <f>E574-F574</f>
        <v>-1.9399999999999995</v>
      </c>
      <c r="H574" s="21" t="s">
        <v>294</v>
      </c>
      <c r="I574" s="21">
        <v>0</v>
      </c>
      <c r="J574" s="21">
        <v>2</v>
      </c>
      <c r="K574" s="21">
        <v>6</v>
      </c>
      <c r="L574" s="21">
        <v>0</v>
      </c>
      <c r="M574" s="21">
        <v>6</v>
      </c>
      <c r="P574" s="24">
        <f>J574+L574+N574</f>
        <v>2</v>
      </c>
      <c r="Q574" s="24">
        <f>K574+M574+O574</f>
        <v>12</v>
      </c>
      <c r="R574" s="24">
        <v>0.14285714285714285</v>
      </c>
      <c r="S574" s="21" t="s">
        <v>452</v>
      </c>
      <c r="T574" s="21" t="s">
        <v>451</v>
      </c>
      <c r="U574" s="21" t="s">
        <v>292</v>
      </c>
      <c r="V574" s="21" t="s">
        <v>286</v>
      </c>
      <c r="W574" s="21">
        <v>0</v>
      </c>
      <c r="X574" s="21" t="s">
        <v>312</v>
      </c>
      <c r="Y574" s="21" t="s">
        <v>284</v>
      </c>
      <c r="Z574" s="21" t="s">
        <v>283</v>
      </c>
      <c r="AA574" s="21" t="s">
        <v>21</v>
      </c>
      <c r="AB574" s="21">
        <v>1</v>
      </c>
      <c r="AD574" s="24">
        <v>8.39</v>
      </c>
      <c r="AE574" s="24">
        <v>10.33</v>
      </c>
      <c r="AF574" s="21" t="s">
        <v>302</v>
      </c>
      <c r="AG574" s="21" t="s">
        <v>301</v>
      </c>
    </row>
    <row r="575" spans="1:33">
      <c r="A575" s="21" t="s">
        <v>21</v>
      </c>
      <c r="B575" s="21" t="s">
        <v>499</v>
      </c>
      <c r="C575" s="25">
        <v>46095</v>
      </c>
      <c r="D575" s="21" t="s">
        <v>243</v>
      </c>
      <c r="E575" s="24">
        <v>8.73</v>
      </c>
      <c r="F575" s="24">
        <v>8.17</v>
      </c>
      <c r="G575" s="24">
        <f>E575-F575</f>
        <v>0.5600000000000005</v>
      </c>
      <c r="H575" s="21" t="s">
        <v>294</v>
      </c>
      <c r="I575" s="21">
        <v>0</v>
      </c>
      <c r="J575" s="21">
        <v>6</v>
      </c>
      <c r="K575" s="21">
        <v>7</v>
      </c>
      <c r="L575" s="21">
        <v>1</v>
      </c>
      <c r="M575" s="21">
        <v>6</v>
      </c>
      <c r="P575" s="24">
        <f>J575+L575+N575</f>
        <v>7</v>
      </c>
      <c r="Q575" s="24">
        <f>K575+M575+O575</f>
        <v>13</v>
      </c>
      <c r="R575" s="24">
        <v>0.4391891891891892</v>
      </c>
      <c r="S575" s="21" t="s">
        <v>241</v>
      </c>
      <c r="T575" s="21" t="s">
        <v>296</v>
      </c>
      <c r="U575" s="21" t="s">
        <v>292</v>
      </c>
      <c r="V575" s="21" t="s">
        <v>286</v>
      </c>
      <c r="W575" s="21">
        <v>2</v>
      </c>
      <c r="X575" s="21" t="s">
        <v>310</v>
      </c>
      <c r="Y575" s="21" t="s">
        <v>284</v>
      </c>
      <c r="Z575" s="21" t="s">
        <v>283</v>
      </c>
      <c r="AA575" s="21" t="s">
        <v>21</v>
      </c>
      <c r="AB575" s="21">
        <v>1</v>
      </c>
      <c r="AD575" s="24">
        <v>8.39</v>
      </c>
      <c r="AE575" s="24">
        <v>8.17</v>
      </c>
      <c r="AF575" s="21" t="s">
        <v>304</v>
      </c>
      <c r="AG575" s="21" t="s">
        <v>303</v>
      </c>
    </row>
    <row r="576" spans="1:33">
      <c r="A576" s="21" t="s">
        <v>21</v>
      </c>
      <c r="B576" s="21" t="s">
        <v>499</v>
      </c>
      <c r="C576" s="25">
        <v>46095</v>
      </c>
      <c r="D576" s="21" t="s">
        <v>657</v>
      </c>
      <c r="E576" s="24">
        <v>8.73</v>
      </c>
      <c r="F576" s="24">
        <v>7.99</v>
      </c>
      <c r="G576" s="24">
        <f>E576-F576</f>
        <v>0.74000000000000021</v>
      </c>
      <c r="H576" s="21" t="s">
        <v>289</v>
      </c>
      <c r="I576" s="21">
        <v>1</v>
      </c>
      <c r="J576" s="21">
        <v>6</v>
      </c>
      <c r="K576" s="21">
        <v>1</v>
      </c>
      <c r="L576" s="21">
        <v>6</v>
      </c>
      <c r="M576" s="21">
        <v>1</v>
      </c>
      <c r="P576" s="24">
        <f>J576+L576+N576</f>
        <v>12</v>
      </c>
      <c r="Q576" s="24">
        <f>K576+M576+O576</f>
        <v>2</v>
      </c>
      <c r="R576" s="24">
        <v>0.8571428571428571</v>
      </c>
      <c r="S576" s="21" t="s">
        <v>241</v>
      </c>
      <c r="T576" s="21" t="s">
        <v>297</v>
      </c>
      <c r="U576" s="21" t="s">
        <v>292</v>
      </c>
      <c r="V576" s="21" t="s">
        <v>286</v>
      </c>
      <c r="W576" s="21">
        <v>2</v>
      </c>
      <c r="X576" s="21" t="s">
        <v>310</v>
      </c>
      <c r="Y576" s="21" t="s">
        <v>284</v>
      </c>
      <c r="Z576" s="21" t="s">
        <v>283</v>
      </c>
      <c r="AA576" s="21" t="s">
        <v>21</v>
      </c>
      <c r="AB576" s="21">
        <v>1</v>
      </c>
      <c r="AD576" s="24">
        <v>8.39</v>
      </c>
      <c r="AE576" s="24">
        <v>7.99</v>
      </c>
      <c r="AF576" s="21" t="s">
        <v>304</v>
      </c>
      <c r="AG576" s="21" t="s">
        <v>303</v>
      </c>
    </row>
    <row r="577" spans="1:33">
      <c r="A577" s="21" t="s">
        <v>21</v>
      </c>
      <c r="B577" s="21" t="s">
        <v>499</v>
      </c>
      <c r="C577" s="25">
        <v>46095.645833333336</v>
      </c>
      <c r="D577" s="21" t="s">
        <v>394</v>
      </c>
      <c r="E577" s="24">
        <v>8.73</v>
      </c>
      <c r="F577" s="24">
        <v>4.43</v>
      </c>
      <c r="G577" s="24">
        <f>E577-F577</f>
        <v>4.3000000000000007</v>
      </c>
      <c r="H577" s="21" t="s">
        <v>289</v>
      </c>
      <c r="I577" s="21">
        <v>1</v>
      </c>
      <c r="J577" s="21">
        <v>6</v>
      </c>
      <c r="K577" s="21">
        <v>0</v>
      </c>
      <c r="L577" s="21">
        <v>6</v>
      </c>
      <c r="M577" s="21">
        <v>1</v>
      </c>
      <c r="P577" s="24">
        <f>J577+L577+N577</f>
        <v>12</v>
      </c>
      <c r="Q577" s="24">
        <f>K577+M577+O577</f>
        <v>1</v>
      </c>
      <c r="R577" s="24">
        <v>0.92307692307692313</v>
      </c>
      <c r="S577" s="21" t="s">
        <v>409</v>
      </c>
      <c r="U577" s="21" t="s">
        <v>287</v>
      </c>
      <c r="V577" s="21" t="s">
        <v>286</v>
      </c>
      <c r="W577" s="21">
        <v>4</v>
      </c>
      <c r="X577" s="21" t="s">
        <v>285</v>
      </c>
      <c r="Y577" s="21" t="s">
        <v>284</v>
      </c>
      <c r="Z577" s="21" t="s">
        <v>283</v>
      </c>
      <c r="AA577" s="21" t="s">
        <v>21</v>
      </c>
      <c r="AB577" s="21">
        <v>1</v>
      </c>
      <c r="AD577" s="24">
        <v>8.39</v>
      </c>
      <c r="AE577" s="24">
        <v>5.95</v>
      </c>
      <c r="AF577" s="21" t="s">
        <v>304</v>
      </c>
      <c r="AG577" s="21" t="s">
        <v>303</v>
      </c>
    </row>
    <row r="578" spans="1:33">
      <c r="A578" s="21" t="s">
        <v>21</v>
      </c>
      <c r="B578" s="21" t="s">
        <v>499</v>
      </c>
      <c r="C578" s="25">
        <v>46099.645833333336</v>
      </c>
      <c r="D578" s="21" t="s">
        <v>401</v>
      </c>
      <c r="E578" s="24">
        <v>8.75</v>
      </c>
      <c r="F578" s="24">
        <v>4.7300000000000004</v>
      </c>
      <c r="G578" s="24">
        <f>E578-F578</f>
        <v>4.0199999999999996</v>
      </c>
      <c r="H578" s="21" t="s">
        <v>289</v>
      </c>
      <c r="I578" s="21">
        <v>1</v>
      </c>
      <c r="J578" s="21">
        <v>6</v>
      </c>
      <c r="K578" s="21">
        <v>1</v>
      </c>
      <c r="L578" s="21">
        <v>6</v>
      </c>
      <c r="M578" s="21">
        <v>1</v>
      </c>
      <c r="P578" s="24">
        <f>J578+L578+N578</f>
        <v>12</v>
      </c>
      <c r="Q578" s="24">
        <f>K578+M578+O578</f>
        <v>2</v>
      </c>
      <c r="R578" s="24">
        <v>0.8571428571428571</v>
      </c>
      <c r="S578" s="21" t="s">
        <v>530</v>
      </c>
      <c r="U578" s="21" t="s">
        <v>287</v>
      </c>
      <c r="V578" s="21" t="s">
        <v>286</v>
      </c>
      <c r="W578" s="21">
        <v>5</v>
      </c>
      <c r="X578" s="21" t="s">
        <v>285</v>
      </c>
      <c r="Y578" s="21" t="s">
        <v>284</v>
      </c>
      <c r="Z578" s="21" t="s">
        <v>283</v>
      </c>
      <c r="AA578" s="21" t="s">
        <v>21</v>
      </c>
      <c r="AB578" s="21">
        <v>1</v>
      </c>
      <c r="AD578" s="24">
        <v>8.39</v>
      </c>
      <c r="AE578" s="24">
        <v>4.7300000000000004</v>
      </c>
      <c r="AF578" s="21" t="s">
        <v>535</v>
      </c>
      <c r="AG578" s="21" t="s">
        <v>301</v>
      </c>
    </row>
    <row r="579" spans="1:33">
      <c r="A579" s="21" t="s">
        <v>21</v>
      </c>
      <c r="B579" s="21" t="s">
        <v>499</v>
      </c>
      <c r="C579" s="25">
        <v>46105.645833333336</v>
      </c>
      <c r="D579" s="21" t="s">
        <v>251</v>
      </c>
      <c r="E579" s="24">
        <v>8.8000000000000007</v>
      </c>
      <c r="F579" s="24">
        <v>5.33</v>
      </c>
      <c r="G579" s="24">
        <f>E579-F579</f>
        <v>3.4700000000000006</v>
      </c>
      <c r="H579" s="21" t="s">
        <v>289</v>
      </c>
      <c r="I579" s="21">
        <v>1</v>
      </c>
      <c r="J579" s="21">
        <v>6</v>
      </c>
      <c r="K579" s="21">
        <v>0</v>
      </c>
      <c r="L579" s="21">
        <v>6</v>
      </c>
      <c r="M579" s="21">
        <v>0</v>
      </c>
      <c r="P579" s="24">
        <f>J579+L579+N579</f>
        <v>12</v>
      </c>
      <c r="Q579" s="24">
        <f>K579+M579+O579</f>
        <v>0</v>
      </c>
      <c r="R579" s="24">
        <v>1</v>
      </c>
      <c r="S579" s="21" t="s">
        <v>502</v>
      </c>
      <c r="U579" s="21" t="s">
        <v>287</v>
      </c>
      <c r="V579" s="21" t="s">
        <v>286</v>
      </c>
      <c r="W579" s="21">
        <v>6</v>
      </c>
      <c r="X579" s="21" t="s">
        <v>285</v>
      </c>
      <c r="Y579" s="21" t="s">
        <v>284</v>
      </c>
      <c r="Z579" s="21" t="s">
        <v>283</v>
      </c>
      <c r="AA579" s="21" t="s">
        <v>21</v>
      </c>
      <c r="AB579" s="21">
        <v>1</v>
      </c>
      <c r="AD579" s="24">
        <v>8.39</v>
      </c>
      <c r="AE579" s="24">
        <v>5.33</v>
      </c>
      <c r="AF579" s="21" t="s">
        <v>535</v>
      </c>
      <c r="AG579" s="21" t="s">
        <v>301</v>
      </c>
    </row>
    <row r="580" spans="1:33">
      <c r="A580" s="21" t="s">
        <v>21</v>
      </c>
      <c r="B580" s="21" t="s">
        <v>499</v>
      </c>
      <c r="C580" s="25">
        <v>46118.645833333336</v>
      </c>
      <c r="D580" s="21" t="s">
        <v>26</v>
      </c>
      <c r="E580" s="24">
        <v>8.86</v>
      </c>
      <c r="F580" s="24">
        <v>6.79</v>
      </c>
      <c r="G580" s="24">
        <f>E580-F580</f>
        <v>2.0699999999999994</v>
      </c>
      <c r="H580" s="21" t="s">
        <v>289</v>
      </c>
      <c r="I580" s="21">
        <v>1</v>
      </c>
      <c r="J580" s="21">
        <v>6</v>
      </c>
      <c r="K580" s="21">
        <v>4</v>
      </c>
      <c r="L580" s="21">
        <v>6</v>
      </c>
      <c r="M580" s="21">
        <v>3</v>
      </c>
      <c r="P580" s="24">
        <f>J580+L580+N580</f>
        <v>12</v>
      </c>
      <c r="Q580" s="24">
        <f>K580+M580+O580</f>
        <v>7</v>
      </c>
      <c r="R580" s="24">
        <v>0.63157894736842102</v>
      </c>
      <c r="S580" s="21" t="s">
        <v>168</v>
      </c>
      <c r="U580" s="21" t="s">
        <v>287</v>
      </c>
      <c r="V580" s="21" t="s">
        <v>286</v>
      </c>
      <c r="W580" s="21">
        <v>7</v>
      </c>
      <c r="X580" s="21" t="s">
        <v>285</v>
      </c>
      <c r="Y580" s="21" t="s">
        <v>284</v>
      </c>
      <c r="Z580" s="21" t="s">
        <v>283</v>
      </c>
      <c r="AA580" s="21" t="s">
        <v>21</v>
      </c>
      <c r="AB580" s="21">
        <v>1</v>
      </c>
      <c r="AD580" s="24">
        <v>8.39</v>
      </c>
      <c r="AE580" s="24">
        <v>7.98</v>
      </c>
      <c r="AF580" s="21" t="s">
        <v>322</v>
      </c>
      <c r="AG580" s="21" t="s">
        <v>301</v>
      </c>
    </row>
    <row r="581" spans="1:33">
      <c r="A581" s="21" t="s">
        <v>21</v>
      </c>
      <c r="B581" s="21" t="s">
        <v>499</v>
      </c>
      <c r="C581" s="25">
        <v>46119.645833333336</v>
      </c>
      <c r="D581" s="21" t="s">
        <v>656</v>
      </c>
      <c r="E581" s="24">
        <v>8.9600000000000009</v>
      </c>
      <c r="F581" s="24">
        <v>5.41</v>
      </c>
      <c r="G581" s="24">
        <f>E581-F581</f>
        <v>3.5500000000000007</v>
      </c>
      <c r="H581" s="21" t="s">
        <v>289</v>
      </c>
      <c r="I581" s="21">
        <v>1</v>
      </c>
      <c r="J581" s="21">
        <v>6</v>
      </c>
      <c r="K581" s="21">
        <v>0</v>
      </c>
      <c r="L581" s="21">
        <v>6</v>
      </c>
      <c r="M581" s="21">
        <v>0</v>
      </c>
      <c r="P581" s="24">
        <f>J581+L581+N581</f>
        <v>12</v>
      </c>
      <c r="Q581" s="24">
        <f>K581+M581+O581</f>
        <v>0</v>
      </c>
      <c r="R581" s="24">
        <v>1</v>
      </c>
      <c r="S581" s="21" t="s">
        <v>500</v>
      </c>
      <c r="U581" s="21" t="s">
        <v>287</v>
      </c>
      <c r="V581" s="21" t="s">
        <v>286</v>
      </c>
      <c r="W581" s="21">
        <v>8</v>
      </c>
      <c r="X581" s="21" t="s">
        <v>285</v>
      </c>
      <c r="Y581" s="21" t="s">
        <v>284</v>
      </c>
      <c r="Z581" s="21" t="s">
        <v>283</v>
      </c>
      <c r="AA581" s="21" t="s">
        <v>21</v>
      </c>
      <c r="AB581" s="21">
        <v>1</v>
      </c>
      <c r="AD581" s="24">
        <v>8.39</v>
      </c>
      <c r="AE581" s="24">
        <v>5.41</v>
      </c>
      <c r="AF581" s="21" t="s">
        <v>322</v>
      </c>
      <c r="AG581" s="21" t="s">
        <v>301</v>
      </c>
    </row>
    <row r="582" spans="1:33">
      <c r="A582" s="21" t="s">
        <v>21</v>
      </c>
      <c r="B582" s="21" t="s">
        <v>499</v>
      </c>
      <c r="C582" s="25">
        <v>46125.645833333336</v>
      </c>
      <c r="D582" s="21" t="s">
        <v>181</v>
      </c>
      <c r="E582" s="24">
        <v>8.9600000000000009</v>
      </c>
      <c r="F582" s="24">
        <v>5.99</v>
      </c>
      <c r="G582" s="24">
        <f>E582-F582</f>
        <v>2.9700000000000006</v>
      </c>
      <c r="H582" s="21" t="s">
        <v>289</v>
      </c>
      <c r="I582" s="21">
        <v>1</v>
      </c>
      <c r="J582" s="21">
        <v>6</v>
      </c>
      <c r="K582" s="21">
        <v>0</v>
      </c>
      <c r="L582" s="21">
        <v>6</v>
      </c>
      <c r="M582" s="21">
        <v>2</v>
      </c>
      <c r="P582" s="24">
        <f>J582+L582+N582</f>
        <v>12</v>
      </c>
      <c r="Q582" s="24">
        <f>K582+M582+O582</f>
        <v>2</v>
      </c>
      <c r="R582" s="24">
        <v>0.8571428571428571</v>
      </c>
      <c r="S582" s="21" t="s">
        <v>417</v>
      </c>
      <c r="U582" s="21" t="s">
        <v>287</v>
      </c>
      <c r="V582" s="21" t="s">
        <v>286</v>
      </c>
      <c r="W582" s="21">
        <v>9</v>
      </c>
      <c r="X582" s="21" t="s">
        <v>285</v>
      </c>
      <c r="Y582" s="21" t="s">
        <v>284</v>
      </c>
      <c r="Z582" s="21" t="s">
        <v>283</v>
      </c>
      <c r="AA582" s="21" t="s">
        <v>21</v>
      </c>
      <c r="AB582" s="21">
        <v>1</v>
      </c>
      <c r="AD582" s="24">
        <v>8.39</v>
      </c>
      <c r="AE582" s="24">
        <v>6.07</v>
      </c>
      <c r="AF582" s="21" t="s">
        <v>535</v>
      </c>
      <c r="AG582" s="21" t="s">
        <v>301</v>
      </c>
    </row>
    <row r="583" spans="1:33">
      <c r="A583" s="21" t="s">
        <v>21</v>
      </c>
      <c r="B583" s="21" t="s">
        <v>499</v>
      </c>
      <c r="C583" s="25">
        <v>46126.645833333336</v>
      </c>
      <c r="D583" s="21" t="s">
        <v>90</v>
      </c>
      <c r="E583" s="24">
        <v>8.9600000000000009</v>
      </c>
      <c r="F583" s="24">
        <v>6.39</v>
      </c>
      <c r="G583" s="24">
        <f>E583-F583</f>
        <v>2.5700000000000012</v>
      </c>
      <c r="H583" s="21" t="s">
        <v>289</v>
      </c>
      <c r="I583" s="21">
        <v>1</v>
      </c>
      <c r="J583" s="21">
        <v>6</v>
      </c>
      <c r="K583" s="21">
        <v>0</v>
      </c>
      <c r="L583" s="21">
        <v>6</v>
      </c>
      <c r="M583" s="21">
        <v>0</v>
      </c>
      <c r="P583" s="24">
        <f>J583+L583+N583</f>
        <v>12</v>
      </c>
      <c r="Q583" s="24">
        <f>K583+M583+O583</f>
        <v>0</v>
      </c>
      <c r="R583" s="24">
        <v>1</v>
      </c>
      <c r="S583" s="21" t="s">
        <v>486</v>
      </c>
      <c r="U583" s="21" t="s">
        <v>287</v>
      </c>
      <c r="V583" s="21" t="s">
        <v>286</v>
      </c>
      <c r="W583" s="21">
        <v>10</v>
      </c>
      <c r="X583" s="21" t="s">
        <v>285</v>
      </c>
      <c r="Y583" s="21" t="s">
        <v>284</v>
      </c>
      <c r="Z583" s="21" t="s">
        <v>283</v>
      </c>
      <c r="AA583" s="21" t="s">
        <v>21</v>
      </c>
      <c r="AB583" s="21">
        <v>1</v>
      </c>
      <c r="AD583" s="24">
        <v>8.39</v>
      </c>
      <c r="AE583" s="24">
        <v>6.31</v>
      </c>
      <c r="AF583" s="21" t="s">
        <v>535</v>
      </c>
      <c r="AG583" s="21" t="s">
        <v>301</v>
      </c>
    </row>
    <row r="584" spans="1:33">
      <c r="A584" s="21" t="s">
        <v>21</v>
      </c>
      <c r="B584" s="21" t="s">
        <v>499</v>
      </c>
      <c r="C584" s="25">
        <v>46141.586111111108</v>
      </c>
      <c r="D584" s="21" t="s">
        <v>28</v>
      </c>
      <c r="E584" s="24">
        <v>8.8000000000000007</v>
      </c>
      <c r="F584" s="24">
        <v>8.31</v>
      </c>
      <c r="G584" s="24">
        <f>E584-F584</f>
        <v>0.49000000000000021</v>
      </c>
      <c r="H584" s="21" t="s">
        <v>294</v>
      </c>
      <c r="I584" s="21">
        <v>0</v>
      </c>
      <c r="J584" s="21">
        <v>3</v>
      </c>
      <c r="K584" s="21">
        <v>6</v>
      </c>
      <c r="L584" s="21">
        <v>5</v>
      </c>
      <c r="M584" s="21">
        <v>7</v>
      </c>
      <c r="P584" s="24">
        <f>J584+L584+N584</f>
        <v>8</v>
      </c>
      <c r="Q584" s="24">
        <f>K584+M584+O584</f>
        <v>13</v>
      </c>
      <c r="R584" s="24">
        <v>0.38095238095238093</v>
      </c>
      <c r="S584" s="21" t="s">
        <v>29</v>
      </c>
      <c r="T584" s="21" t="s">
        <v>297</v>
      </c>
      <c r="U584" s="21" t="s">
        <v>292</v>
      </c>
      <c r="V584" s="21" t="s">
        <v>286</v>
      </c>
      <c r="W584" s="21">
        <v>11</v>
      </c>
      <c r="X584" s="21" t="s">
        <v>285</v>
      </c>
      <c r="Y584" s="21" t="s">
        <v>284</v>
      </c>
      <c r="Z584" s="21" t="s">
        <v>283</v>
      </c>
      <c r="AA584" s="21" t="s">
        <v>21</v>
      </c>
      <c r="AB584" s="21">
        <v>1</v>
      </c>
      <c r="AD584" s="24">
        <v>8.39</v>
      </c>
      <c r="AE584" s="24">
        <v>8.4700000000000006</v>
      </c>
      <c r="AF584" s="21" t="s">
        <v>535</v>
      </c>
      <c r="AG584" s="21" t="s">
        <v>301</v>
      </c>
    </row>
    <row r="585" spans="1:33">
      <c r="A585" s="21" t="s">
        <v>349</v>
      </c>
      <c r="B585" s="21" t="s">
        <v>655</v>
      </c>
      <c r="C585" s="25">
        <v>46092.645833333336</v>
      </c>
      <c r="D585" s="21" t="s">
        <v>34</v>
      </c>
      <c r="E585" s="24">
        <v>4.22</v>
      </c>
      <c r="F585" s="24">
        <v>4.8</v>
      </c>
      <c r="G585" s="24">
        <f>E585-F585</f>
        <v>-0.58000000000000007</v>
      </c>
      <c r="H585" s="21" t="s">
        <v>294</v>
      </c>
      <c r="I585" s="21">
        <v>0</v>
      </c>
      <c r="J585" s="21">
        <v>0</v>
      </c>
      <c r="K585" s="21">
        <v>6</v>
      </c>
      <c r="L585" s="21">
        <v>0</v>
      </c>
      <c r="M585" s="21">
        <v>6</v>
      </c>
      <c r="P585" s="24">
        <f>J585+L585+N585</f>
        <v>0</v>
      </c>
      <c r="Q585" s="24">
        <f>K585+M585+O585</f>
        <v>12</v>
      </c>
      <c r="R585" s="24">
        <v>0</v>
      </c>
      <c r="S585" s="21" t="s">
        <v>308</v>
      </c>
      <c r="U585" s="21" t="s">
        <v>287</v>
      </c>
      <c r="V585" s="21" t="s">
        <v>286</v>
      </c>
      <c r="W585" s="21">
        <v>0</v>
      </c>
      <c r="X585" s="21" t="s">
        <v>312</v>
      </c>
      <c r="Y585" s="21" t="s">
        <v>326</v>
      </c>
      <c r="Z585" s="21" t="s">
        <v>325</v>
      </c>
      <c r="AA585" s="21" t="s">
        <v>349</v>
      </c>
      <c r="AB585" s="21">
        <v>1</v>
      </c>
      <c r="AD585" s="24">
        <v>4.22</v>
      </c>
      <c r="AE585" s="24">
        <v>5.28</v>
      </c>
      <c r="AF585" s="21" t="s">
        <v>535</v>
      </c>
      <c r="AG585" s="21" t="s">
        <v>301</v>
      </c>
    </row>
    <row r="586" spans="1:33">
      <c r="A586" s="21" t="s">
        <v>349</v>
      </c>
      <c r="B586" s="21" t="s">
        <v>655</v>
      </c>
      <c r="C586" s="25">
        <v>46094.625</v>
      </c>
      <c r="D586" s="21" t="s">
        <v>165</v>
      </c>
      <c r="E586" s="24">
        <v>4.22</v>
      </c>
      <c r="F586" s="24">
        <v>5.54</v>
      </c>
      <c r="G586" s="24">
        <f>E586-F586</f>
        <v>-1.3200000000000003</v>
      </c>
      <c r="H586" s="21" t="s">
        <v>294</v>
      </c>
      <c r="I586" s="21">
        <v>0</v>
      </c>
      <c r="J586" s="21">
        <v>1</v>
      </c>
      <c r="K586" s="21">
        <v>6</v>
      </c>
      <c r="L586" s="21">
        <v>0</v>
      </c>
      <c r="M586" s="21">
        <v>6</v>
      </c>
      <c r="P586" s="24">
        <f>J586+L586+N586</f>
        <v>1</v>
      </c>
      <c r="Q586" s="24">
        <f>K586+M586+O586</f>
        <v>12</v>
      </c>
      <c r="R586" s="24">
        <v>7.6923076923076927E-2</v>
      </c>
      <c r="S586" s="21" t="s">
        <v>348</v>
      </c>
      <c r="U586" s="21" t="s">
        <v>287</v>
      </c>
      <c r="V586" s="21" t="s">
        <v>286</v>
      </c>
      <c r="W586" s="21">
        <v>1</v>
      </c>
      <c r="X586" s="21" t="s">
        <v>323</v>
      </c>
      <c r="Y586" s="21" t="s">
        <v>326</v>
      </c>
      <c r="Z586" s="21" t="s">
        <v>325</v>
      </c>
      <c r="AA586" s="21" t="s">
        <v>349</v>
      </c>
      <c r="AB586" s="21">
        <v>1</v>
      </c>
      <c r="AD586" s="24">
        <v>4.22</v>
      </c>
      <c r="AE586" s="24">
        <v>6.17</v>
      </c>
      <c r="AF586" s="21" t="s">
        <v>322</v>
      </c>
      <c r="AG586" s="21" t="s">
        <v>301</v>
      </c>
    </row>
    <row r="587" spans="1:33">
      <c r="A587" s="21" t="s">
        <v>349</v>
      </c>
      <c r="B587" s="21" t="s">
        <v>655</v>
      </c>
      <c r="C587" s="25">
        <v>46111.645833333336</v>
      </c>
      <c r="D587" s="21" t="s">
        <v>345</v>
      </c>
      <c r="E587" s="24">
        <v>4.22</v>
      </c>
      <c r="F587" s="24">
        <v>4.38</v>
      </c>
      <c r="G587" s="24">
        <f>E587-F587</f>
        <v>-0.16000000000000014</v>
      </c>
      <c r="H587" s="21" t="s">
        <v>289</v>
      </c>
      <c r="I587" s="21">
        <v>1</v>
      </c>
      <c r="J587" s="21">
        <v>1</v>
      </c>
      <c r="K587" s="21">
        <v>6</v>
      </c>
      <c r="L587" s="21">
        <v>6</v>
      </c>
      <c r="M587" s="21">
        <v>2</v>
      </c>
      <c r="N587" s="21">
        <v>6</v>
      </c>
      <c r="O587" s="21">
        <v>4</v>
      </c>
      <c r="P587" s="24">
        <f>J587+L587+N587</f>
        <v>13</v>
      </c>
      <c r="Q587" s="24">
        <f>K587+M587+O587</f>
        <v>12</v>
      </c>
      <c r="R587" s="24">
        <v>0.52</v>
      </c>
      <c r="S587" s="21" t="s">
        <v>614</v>
      </c>
      <c r="U587" s="21" t="s">
        <v>287</v>
      </c>
      <c r="V587" s="21" t="s">
        <v>286</v>
      </c>
      <c r="W587" s="21">
        <v>2</v>
      </c>
      <c r="X587" s="21" t="s">
        <v>310</v>
      </c>
      <c r="Y587" s="21" t="s">
        <v>326</v>
      </c>
      <c r="Z587" s="21" t="s">
        <v>325</v>
      </c>
      <c r="AA587" s="21" t="s">
        <v>349</v>
      </c>
      <c r="AB587" s="21">
        <v>1</v>
      </c>
      <c r="AD587" s="24">
        <v>4.22</v>
      </c>
      <c r="AE587" s="24">
        <v>4.38</v>
      </c>
      <c r="AF587" s="21" t="s">
        <v>322</v>
      </c>
      <c r="AG587" s="21" t="s">
        <v>301</v>
      </c>
    </row>
    <row r="588" spans="1:33">
      <c r="A588" s="21" t="s">
        <v>349</v>
      </c>
      <c r="B588" s="21" t="s">
        <v>655</v>
      </c>
      <c r="C588" s="25">
        <v>46112.645833333336</v>
      </c>
      <c r="D588" s="21" t="s">
        <v>475</v>
      </c>
      <c r="E588" s="24">
        <v>4.22</v>
      </c>
      <c r="F588" s="24">
        <v>3.26</v>
      </c>
      <c r="G588" s="24">
        <f>E588-F588</f>
        <v>0.96</v>
      </c>
      <c r="H588" s="21" t="s">
        <v>289</v>
      </c>
      <c r="I588" s="21">
        <v>1</v>
      </c>
      <c r="J588" s="21">
        <v>6</v>
      </c>
      <c r="K588" s="21">
        <v>2</v>
      </c>
      <c r="L588" s="21">
        <v>6</v>
      </c>
      <c r="M588" s="21">
        <v>3</v>
      </c>
      <c r="P588" s="24">
        <f>J588+L588+N588</f>
        <v>12</v>
      </c>
      <c r="Q588" s="24">
        <f>K588+M588+O588</f>
        <v>5</v>
      </c>
      <c r="R588" s="24">
        <v>0.70588235294117652</v>
      </c>
      <c r="S588" s="21" t="s">
        <v>523</v>
      </c>
      <c r="U588" s="21" t="s">
        <v>287</v>
      </c>
      <c r="V588" s="21" t="s">
        <v>286</v>
      </c>
      <c r="W588" s="21">
        <v>3</v>
      </c>
      <c r="X588" s="21" t="s">
        <v>285</v>
      </c>
      <c r="Y588" s="21" t="s">
        <v>326</v>
      </c>
      <c r="Z588" s="21" t="s">
        <v>325</v>
      </c>
      <c r="AA588" s="21" t="s">
        <v>349</v>
      </c>
      <c r="AB588" s="21">
        <v>1</v>
      </c>
      <c r="AD588" s="24">
        <v>4.22</v>
      </c>
      <c r="AE588" s="24">
        <v>3.26</v>
      </c>
      <c r="AF588" s="21" t="s">
        <v>322</v>
      </c>
      <c r="AG588" s="21" t="s">
        <v>301</v>
      </c>
    </row>
    <row r="589" spans="1:33">
      <c r="A589" s="21" t="s">
        <v>349</v>
      </c>
      <c r="B589" s="21" t="s">
        <v>655</v>
      </c>
      <c r="C589" s="25">
        <v>46119.645833333336</v>
      </c>
      <c r="D589" s="21" t="s">
        <v>131</v>
      </c>
      <c r="E589" s="24">
        <v>4.22</v>
      </c>
      <c r="F589" s="24">
        <v>5.9</v>
      </c>
      <c r="G589" s="24">
        <f>E589-F589</f>
        <v>-1.6800000000000006</v>
      </c>
      <c r="H589" s="21" t="s">
        <v>294</v>
      </c>
      <c r="I589" s="21">
        <v>0</v>
      </c>
      <c r="J589" s="21">
        <v>0</v>
      </c>
      <c r="K589" s="21">
        <v>6</v>
      </c>
      <c r="L589" s="21">
        <v>2</v>
      </c>
      <c r="M589" s="21">
        <v>6</v>
      </c>
      <c r="P589" s="24">
        <f>J589+L589+N589</f>
        <v>2</v>
      </c>
      <c r="Q589" s="24">
        <f>K589+M589+O589</f>
        <v>12</v>
      </c>
      <c r="R589" s="24">
        <v>0.14285714285714285</v>
      </c>
      <c r="S589" s="21" t="s">
        <v>378</v>
      </c>
      <c r="U589" s="21" t="s">
        <v>287</v>
      </c>
      <c r="V589" s="21" t="s">
        <v>286</v>
      </c>
      <c r="W589" s="21">
        <v>4</v>
      </c>
      <c r="X589" s="21" t="s">
        <v>285</v>
      </c>
      <c r="Y589" s="21" t="s">
        <v>326</v>
      </c>
      <c r="Z589" s="21" t="s">
        <v>325</v>
      </c>
      <c r="AA589" s="21" t="s">
        <v>349</v>
      </c>
      <c r="AB589" s="21">
        <v>1</v>
      </c>
      <c r="AD589" s="24">
        <v>4.22</v>
      </c>
      <c r="AE589" s="24">
        <v>5.95</v>
      </c>
      <c r="AF589" s="21" t="s">
        <v>322</v>
      </c>
      <c r="AG589" s="21" t="s">
        <v>301</v>
      </c>
    </row>
    <row r="590" spans="1:33">
      <c r="A590" s="21" t="s">
        <v>349</v>
      </c>
      <c r="B590" s="21" t="s">
        <v>655</v>
      </c>
      <c r="C590" s="25">
        <v>46121.625</v>
      </c>
      <c r="D590" s="21" t="s">
        <v>114</v>
      </c>
      <c r="E590" s="24">
        <v>4.22</v>
      </c>
      <c r="F590" s="24">
        <v>7.74</v>
      </c>
      <c r="G590" s="24">
        <f>E590-F590</f>
        <v>-3.5200000000000005</v>
      </c>
      <c r="H590" s="21" t="s">
        <v>294</v>
      </c>
      <c r="I590" s="21">
        <v>0</v>
      </c>
      <c r="J590" s="21">
        <v>0</v>
      </c>
      <c r="K590" s="21">
        <v>6</v>
      </c>
      <c r="L590" s="21">
        <v>0</v>
      </c>
      <c r="M590" s="21">
        <v>6</v>
      </c>
      <c r="P590" s="24">
        <f>J590+L590+N590</f>
        <v>0</v>
      </c>
      <c r="Q590" s="24">
        <f>K590+M590+O590</f>
        <v>12</v>
      </c>
      <c r="R590" s="24">
        <v>0</v>
      </c>
      <c r="S590" s="21" t="s">
        <v>382</v>
      </c>
      <c r="U590" s="21" t="s">
        <v>287</v>
      </c>
      <c r="V590" s="21" t="s">
        <v>286</v>
      </c>
      <c r="W590" s="21">
        <v>5</v>
      </c>
      <c r="X590" s="21" t="s">
        <v>285</v>
      </c>
      <c r="Y590" s="21" t="s">
        <v>326</v>
      </c>
      <c r="Z590" s="21" t="s">
        <v>325</v>
      </c>
      <c r="AA590" s="21" t="s">
        <v>349</v>
      </c>
      <c r="AB590" s="21">
        <v>1</v>
      </c>
      <c r="AD590" s="24">
        <v>4.22</v>
      </c>
      <c r="AE590" s="24">
        <v>8.2799999999999994</v>
      </c>
      <c r="AF590" s="21" t="s">
        <v>302</v>
      </c>
      <c r="AG590" s="21" t="s">
        <v>301</v>
      </c>
    </row>
    <row r="591" spans="1:33">
      <c r="A591" s="21" t="s">
        <v>349</v>
      </c>
      <c r="B591" s="21" t="s">
        <v>655</v>
      </c>
      <c r="C591" s="25">
        <v>46122.645833333336</v>
      </c>
      <c r="D591" s="21" t="s">
        <v>2</v>
      </c>
      <c r="E591" s="24">
        <v>4.22</v>
      </c>
      <c r="F591" s="24">
        <v>7.52</v>
      </c>
      <c r="G591" s="24">
        <f>E591-F591</f>
        <v>-3.3</v>
      </c>
      <c r="H591" s="21" t="s">
        <v>294</v>
      </c>
      <c r="I591" s="21">
        <v>0</v>
      </c>
      <c r="J591" s="21">
        <v>2</v>
      </c>
      <c r="K591" s="21">
        <v>6</v>
      </c>
      <c r="L591" s="21">
        <v>0</v>
      </c>
      <c r="M591" s="21">
        <v>6</v>
      </c>
      <c r="P591" s="24">
        <f>J591+L591+N591</f>
        <v>2</v>
      </c>
      <c r="Q591" s="24">
        <f>K591+M591+O591</f>
        <v>12</v>
      </c>
      <c r="R591" s="24">
        <v>0.14285714285714285</v>
      </c>
      <c r="S591" s="21" t="s">
        <v>476</v>
      </c>
      <c r="U591" s="21" t="s">
        <v>287</v>
      </c>
      <c r="V591" s="21" t="s">
        <v>286</v>
      </c>
      <c r="W591" s="21">
        <v>6</v>
      </c>
      <c r="X591" s="21" t="s">
        <v>285</v>
      </c>
      <c r="Y591" s="21" t="s">
        <v>326</v>
      </c>
      <c r="Z591" s="21" t="s">
        <v>325</v>
      </c>
      <c r="AA591" s="21" t="s">
        <v>349</v>
      </c>
      <c r="AB591" s="21">
        <v>1</v>
      </c>
      <c r="AD591" s="24">
        <v>4.22</v>
      </c>
      <c r="AE591" s="24">
        <v>7.1</v>
      </c>
      <c r="AF591" s="21" t="s">
        <v>302</v>
      </c>
      <c r="AG591" s="21" t="s">
        <v>301</v>
      </c>
    </row>
    <row r="592" spans="1:33">
      <c r="A592" s="21" t="s">
        <v>441</v>
      </c>
      <c r="B592" s="21" t="s">
        <v>639</v>
      </c>
      <c r="C592" s="25">
        <v>46094.666666666664</v>
      </c>
      <c r="D592" s="21" t="s">
        <v>38</v>
      </c>
      <c r="E592" s="24">
        <v>3.25</v>
      </c>
      <c r="F592" s="24">
        <v>10.11</v>
      </c>
      <c r="G592" s="24">
        <f>E592-F592</f>
        <v>-6.8599999999999994</v>
      </c>
      <c r="H592" s="21" t="s">
        <v>294</v>
      </c>
      <c r="I592" s="21">
        <v>0</v>
      </c>
      <c r="J592" s="21">
        <v>0</v>
      </c>
      <c r="K592" s="21">
        <v>6</v>
      </c>
      <c r="L592" s="21">
        <v>0</v>
      </c>
      <c r="M592" s="21">
        <v>6</v>
      </c>
      <c r="P592" s="24">
        <f>J592+L592+N592</f>
        <v>0</v>
      </c>
      <c r="Q592" s="24">
        <f>K592+M592+O592</f>
        <v>12</v>
      </c>
      <c r="R592" s="24">
        <v>0</v>
      </c>
      <c r="S592" s="21" t="s">
        <v>538</v>
      </c>
      <c r="U592" s="21" t="s">
        <v>287</v>
      </c>
      <c r="V592" s="21" t="s">
        <v>286</v>
      </c>
      <c r="W592" s="21">
        <v>0</v>
      </c>
      <c r="X592" s="21" t="s">
        <v>312</v>
      </c>
      <c r="Y592" s="21" t="s">
        <v>326</v>
      </c>
      <c r="Z592" s="21" t="s">
        <v>325</v>
      </c>
      <c r="AA592" s="21" t="s">
        <v>441</v>
      </c>
      <c r="AB592" s="21">
        <v>1</v>
      </c>
      <c r="AD592" s="24">
        <v>3.25</v>
      </c>
      <c r="AE592" s="24">
        <v>10.01</v>
      </c>
      <c r="AF592" s="21" t="s">
        <v>302</v>
      </c>
      <c r="AG592" s="21" t="s">
        <v>301</v>
      </c>
    </row>
    <row r="593" spans="1:33">
      <c r="A593" s="21" t="s">
        <v>441</v>
      </c>
      <c r="B593" s="21" t="s">
        <v>639</v>
      </c>
      <c r="C593" s="25">
        <v>46098.645833333336</v>
      </c>
      <c r="D593" s="21" t="s">
        <v>654</v>
      </c>
      <c r="E593" s="24">
        <v>3.25</v>
      </c>
      <c r="F593" s="24">
        <v>4.04</v>
      </c>
      <c r="G593" s="24">
        <f>E593-F593</f>
        <v>-0.79</v>
      </c>
      <c r="H593" s="21" t="s">
        <v>294</v>
      </c>
      <c r="I593" s="21">
        <v>0</v>
      </c>
      <c r="J593" s="21">
        <v>0</v>
      </c>
      <c r="K593" s="21">
        <v>6</v>
      </c>
      <c r="L593" s="21">
        <v>0</v>
      </c>
      <c r="M593" s="21">
        <v>6</v>
      </c>
      <c r="P593" s="24">
        <f>J593+L593+N593</f>
        <v>0</v>
      </c>
      <c r="Q593" s="24">
        <f>K593+M593+O593</f>
        <v>12</v>
      </c>
      <c r="R593" s="24">
        <v>0</v>
      </c>
      <c r="S593" s="21" t="s">
        <v>653</v>
      </c>
      <c r="U593" s="21" t="s">
        <v>287</v>
      </c>
      <c r="V593" s="21" t="s">
        <v>286</v>
      </c>
      <c r="W593" s="21">
        <v>1</v>
      </c>
      <c r="X593" s="21" t="s">
        <v>323</v>
      </c>
      <c r="Y593" s="21" t="s">
        <v>326</v>
      </c>
      <c r="Z593" s="21" t="s">
        <v>325</v>
      </c>
      <c r="AA593" s="21" t="s">
        <v>441</v>
      </c>
      <c r="AB593" s="21">
        <v>1</v>
      </c>
      <c r="AD593" s="24">
        <v>3.25</v>
      </c>
      <c r="AE593" s="24">
        <v>4.04</v>
      </c>
      <c r="AF593" s="21" t="s">
        <v>302</v>
      </c>
      <c r="AG593" s="21" t="s">
        <v>301</v>
      </c>
    </row>
    <row r="594" spans="1:33">
      <c r="A594" s="21" t="s">
        <v>441</v>
      </c>
      <c r="B594" s="21" t="s">
        <v>639</v>
      </c>
      <c r="C594" s="25">
        <v>46099.645833333336</v>
      </c>
      <c r="D594" s="21" t="s">
        <v>652</v>
      </c>
      <c r="E594" s="24">
        <v>3.25</v>
      </c>
      <c r="F594" s="24">
        <v>4.63</v>
      </c>
      <c r="G594" s="24">
        <f>E594-F594</f>
        <v>-1.38</v>
      </c>
      <c r="H594" s="21" t="s">
        <v>294</v>
      </c>
      <c r="I594" s="21">
        <v>0</v>
      </c>
      <c r="J594" s="21">
        <v>5</v>
      </c>
      <c r="K594" s="21">
        <v>7</v>
      </c>
      <c r="L594" s="21">
        <v>0</v>
      </c>
      <c r="M594" s="21">
        <v>6</v>
      </c>
      <c r="P594" s="24">
        <f>J594+L594+N594</f>
        <v>5</v>
      </c>
      <c r="Q594" s="24">
        <f>K594+M594+O594</f>
        <v>13</v>
      </c>
      <c r="R594" s="24">
        <v>0.27777777777777779</v>
      </c>
      <c r="S594" s="21" t="s">
        <v>651</v>
      </c>
      <c r="U594" s="21" t="s">
        <v>287</v>
      </c>
      <c r="V594" s="21" t="s">
        <v>286</v>
      </c>
      <c r="W594" s="21">
        <v>2</v>
      </c>
      <c r="X594" s="21" t="s">
        <v>310</v>
      </c>
      <c r="Y594" s="21" t="s">
        <v>326</v>
      </c>
      <c r="Z594" s="21" t="s">
        <v>325</v>
      </c>
      <c r="AA594" s="21" t="s">
        <v>441</v>
      </c>
      <c r="AB594" s="21">
        <v>1</v>
      </c>
      <c r="AD594" s="24">
        <v>3.25</v>
      </c>
      <c r="AE594" s="24">
        <v>4.63</v>
      </c>
      <c r="AF594" s="21" t="s">
        <v>304</v>
      </c>
      <c r="AG594" s="21" t="s">
        <v>303</v>
      </c>
    </row>
    <row r="595" spans="1:33">
      <c r="A595" s="21" t="s">
        <v>441</v>
      </c>
      <c r="B595" s="21" t="s">
        <v>639</v>
      </c>
      <c r="C595" s="25">
        <v>46106.645833333336</v>
      </c>
      <c r="D595" s="21" t="s">
        <v>381</v>
      </c>
      <c r="E595" s="24">
        <v>3.25</v>
      </c>
      <c r="F595" s="24">
        <v>5.41</v>
      </c>
      <c r="G595" s="24">
        <f>E595-F595</f>
        <v>-2.16</v>
      </c>
      <c r="H595" s="21" t="s">
        <v>294</v>
      </c>
      <c r="I595" s="21">
        <v>0</v>
      </c>
      <c r="J595" s="21">
        <v>1</v>
      </c>
      <c r="K595" s="21">
        <v>6</v>
      </c>
      <c r="L595" s="21">
        <v>1</v>
      </c>
      <c r="M595" s="21">
        <v>6</v>
      </c>
      <c r="P595" s="24">
        <f>J595+L595+N595</f>
        <v>2</v>
      </c>
      <c r="Q595" s="24">
        <f>K595+M595+O595</f>
        <v>12</v>
      </c>
      <c r="R595" s="24">
        <v>0.14285714285714285</v>
      </c>
      <c r="S595" s="21" t="s">
        <v>650</v>
      </c>
      <c r="U595" s="21" t="s">
        <v>287</v>
      </c>
      <c r="V595" s="21" t="s">
        <v>286</v>
      </c>
      <c r="W595" s="21">
        <v>3</v>
      </c>
      <c r="X595" s="21" t="s">
        <v>285</v>
      </c>
      <c r="Y595" s="21" t="s">
        <v>326</v>
      </c>
      <c r="Z595" s="21" t="s">
        <v>325</v>
      </c>
      <c r="AA595" s="21" t="s">
        <v>441</v>
      </c>
      <c r="AB595" s="21">
        <v>1</v>
      </c>
      <c r="AD595" s="24">
        <v>3.25</v>
      </c>
      <c r="AE595" s="24">
        <v>5.41</v>
      </c>
      <c r="AF595" s="21" t="s">
        <v>302</v>
      </c>
      <c r="AG595" s="21" t="s">
        <v>301</v>
      </c>
    </row>
    <row r="596" spans="1:33">
      <c r="A596" s="21" t="s">
        <v>441</v>
      </c>
      <c r="B596" s="21" t="s">
        <v>639</v>
      </c>
      <c r="C596" s="25">
        <v>46107.645833333336</v>
      </c>
      <c r="D596" s="21" t="s">
        <v>578</v>
      </c>
      <c r="E596" s="24">
        <v>3.25</v>
      </c>
      <c r="F596" s="24">
        <v>5.53</v>
      </c>
      <c r="G596" s="24">
        <f>E596-F596</f>
        <v>-2.2800000000000002</v>
      </c>
      <c r="H596" s="21" t="s">
        <v>294</v>
      </c>
      <c r="I596" s="21">
        <v>0</v>
      </c>
      <c r="J596" s="21">
        <v>0</v>
      </c>
      <c r="K596" s="21">
        <v>6</v>
      </c>
      <c r="L596" s="21">
        <v>0</v>
      </c>
      <c r="M596" s="21">
        <v>6</v>
      </c>
      <c r="P596" s="24">
        <f>J596+L596+N596</f>
        <v>0</v>
      </c>
      <c r="Q596" s="24">
        <f>K596+M596+O596</f>
        <v>12</v>
      </c>
      <c r="R596" s="24">
        <v>0</v>
      </c>
      <c r="S596" s="21" t="s">
        <v>649</v>
      </c>
      <c r="U596" s="21" t="s">
        <v>287</v>
      </c>
      <c r="V596" s="21" t="s">
        <v>286</v>
      </c>
      <c r="W596" s="21">
        <v>4</v>
      </c>
      <c r="X596" s="21" t="s">
        <v>285</v>
      </c>
      <c r="Y596" s="21" t="s">
        <v>326</v>
      </c>
      <c r="Z596" s="21" t="s">
        <v>325</v>
      </c>
      <c r="AA596" s="21" t="s">
        <v>441</v>
      </c>
      <c r="AB596" s="21">
        <v>1</v>
      </c>
      <c r="AD596" s="24">
        <v>3.25</v>
      </c>
      <c r="AE596" s="24">
        <v>5.53</v>
      </c>
      <c r="AF596" s="21" t="s">
        <v>304</v>
      </c>
      <c r="AG596" s="21" t="s">
        <v>303</v>
      </c>
    </row>
    <row r="597" spans="1:33">
      <c r="A597" s="21" t="s">
        <v>441</v>
      </c>
      <c r="B597" s="21" t="s">
        <v>639</v>
      </c>
      <c r="C597" s="25">
        <v>46113.645833333336</v>
      </c>
      <c r="D597" s="21" t="s">
        <v>648</v>
      </c>
      <c r="E597" s="24">
        <v>3.96</v>
      </c>
      <c r="F597" s="24">
        <v>3.68</v>
      </c>
      <c r="G597" s="24">
        <f>E597-F597</f>
        <v>0.2799999999999998</v>
      </c>
      <c r="H597" s="21" t="s">
        <v>294</v>
      </c>
      <c r="I597" s="21">
        <v>0</v>
      </c>
      <c r="J597" s="21">
        <v>2</v>
      </c>
      <c r="K597" s="21">
        <v>6</v>
      </c>
      <c r="L597" s="21">
        <v>0</v>
      </c>
      <c r="M597" s="21">
        <v>6</v>
      </c>
      <c r="P597" s="24">
        <f>J597+L597+N597</f>
        <v>2</v>
      </c>
      <c r="Q597" s="24">
        <f>K597+M597+O597</f>
        <v>12</v>
      </c>
      <c r="R597" s="24">
        <v>0.14285714285714285</v>
      </c>
      <c r="S597" s="21" t="s">
        <v>647</v>
      </c>
      <c r="U597" s="21" t="s">
        <v>287</v>
      </c>
      <c r="V597" s="21" t="s">
        <v>286</v>
      </c>
      <c r="W597" s="21">
        <v>5</v>
      </c>
      <c r="X597" s="21" t="s">
        <v>285</v>
      </c>
      <c r="Y597" s="21" t="s">
        <v>326</v>
      </c>
      <c r="Z597" s="21" t="s">
        <v>325</v>
      </c>
      <c r="AA597" s="21" t="s">
        <v>441</v>
      </c>
      <c r="AB597" s="21">
        <v>1</v>
      </c>
      <c r="AD597" s="24">
        <v>3.25</v>
      </c>
      <c r="AE597" s="24">
        <v>3.68</v>
      </c>
      <c r="AF597" s="21" t="s">
        <v>322</v>
      </c>
      <c r="AG597" s="21" t="s">
        <v>301</v>
      </c>
    </row>
    <row r="598" spans="1:33">
      <c r="A598" s="21" t="s">
        <v>441</v>
      </c>
      <c r="B598" s="21" t="s">
        <v>639</v>
      </c>
      <c r="C598" s="25">
        <v>46119.645833333336</v>
      </c>
      <c r="D598" s="21" t="s">
        <v>646</v>
      </c>
      <c r="E598" s="24">
        <v>3.77</v>
      </c>
      <c r="F598" s="24">
        <v>3.01</v>
      </c>
      <c r="G598" s="24">
        <f>E598-F598</f>
        <v>0.76000000000000023</v>
      </c>
      <c r="H598" s="21" t="s">
        <v>289</v>
      </c>
      <c r="I598" s="21">
        <v>1</v>
      </c>
      <c r="J598" s="21">
        <v>6</v>
      </c>
      <c r="K598" s="21">
        <v>2</v>
      </c>
      <c r="L598" s="21">
        <v>6</v>
      </c>
      <c r="M598" s="21">
        <v>4</v>
      </c>
      <c r="P598" s="24">
        <f>J598+L598+N598</f>
        <v>12</v>
      </c>
      <c r="Q598" s="24">
        <f>K598+M598+O598</f>
        <v>6</v>
      </c>
      <c r="R598" s="24">
        <v>0.66666666666666663</v>
      </c>
      <c r="S598" s="21" t="s">
        <v>645</v>
      </c>
      <c r="U598" s="21" t="s">
        <v>287</v>
      </c>
      <c r="V598" s="21" t="s">
        <v>286</v>
      </c>
      <c r="W598" s="21">
        <v>6</v>
      </c>
      <c r="X598" s="21" t="s">
        <v>285</v>
      </c>
      <c r="Y598" s="21" t="s">
        <v>326</v>
      </c>
      <c r="Z598" s="21" t="s">
        <v>325</v>
      </c>
      <c r="AA598" s="21" t="s">
        <v>441</v>
      </c>
      <c r="AB598" s="21">
        <v>1</v>
      </c>
      <c r="AD598" s="24">
        <v>3.25</v>
      </c>
      <c r="AE598" s="24">
        <v>3.01</v>
      </c>
      <c r="AF598" s="21" t="s">
        <v>535</v>
      </c>
      <c r="AG598" s="21" t="s">
        <v>301</v>
      </c>
    </row>
    <row r="599" spans="1:33">
      <c r="A599" s="21" t="s">
        <v>441</v>
      </c>
      <c r="B599" s="21" t="s">
        <v>639</v>
      </c>
      <c r="C599" s="25">
        <v>46121.645833333336</v>
      </c>
      <c r="D599" s="21" t="s">
        <v>644</v>
      </c>
      <c r="E599" s="24">
        <v>3.77</v>
      </c>
      <c r="F599" s="24">
        <v>2.56</v>
      </c>
      <c r="G599" s="24">
        <f>E599-F599</f>
        <v>1.21</v>
      </c>
      <c r="H599" s="21" t="s">
        <v>289</v>
      </c>
      <c r="I599" s="21">
        <v>1</v>
      </c>
      <c r="J599" s="21">
        <v>6</v>
      </c>
      <c r="K599" s="21">
        <v>2</v>
      </c>
      <c r="L599" s="21">
        <v>6</v>
      </c>
      <c r="M599" s="21">
        <v>3</v>
      </c>
      <c r="P599" s="24">
        <f>J599+L599+N599</f>
        <v>12</v>
      </c>
      <c r="Q599" s="24">
        <f>K599+M599+O599</f>
        <v>5</v>
      </c>
      <c r="R599" s="24">
        <v>0.70588235294117652</v>
      </c>
      <c r="S599" s="21" t="s">
        <v>643</v>
      </c>
      <c r="U599" s="21" t="s">
        <v>287</v>
      </c>
      <c r="V599" s="21" t="s">
        <v>286</v>
      </c>
      <c r="W599" s="21">
        <v>7</v>
      </c>
      <c r="X599" s="21" t="s">
        <v>285</v>
      </c>
      <c r="Y599" s="21" t="s">
        <v>326</v>
      </c>
      <c r="Z599" s="21" t="s">
        <v>325</v>
      </c>
      <c r="AA599" s="21" t="s">
        <v>441</v>
      </c>
      <c r="AB599" s="21">
        <v>1</v>
      </c>
      <c r="AD599" s="24">
        <v>3.25</v>
      </c>
      <c r="AE599" s="24">
        <v>2.56</v>
      </c>
      <c r="AF599" s="21" t="s">
        <v>322</v>
      </c>
      <c r="AG599" s="21" t="s">
        <v>301</v>
      </c>
    </row>
    <row r="600" spans="1:33">
      <c r="A600" s="21" t="s">
        <v>441</v>
      </c>
      <c r="B600" s="21" t="s">
        <v>639</v>
      </c>
      <c r="C600" s="25">
        <v>46127.645833333336</v>
      </c>
      <c r="D600" s="21" t="s">
        <v>585</v>
      </c>
      <c r="E600" s="24">
        <v>3.52</v>
      </c>
      <c r="F600" s="24">
        <v>4.4400000000000004</v>
      </c>
      <c r="G600" s="24">
        <f>E600-F600</f>
        <v>-0.92000000000000037</v>
      </c>
      <c r="H600" s="21" t="s">
        <v>294</v>
      </c>
      <c r="I600" s="21">
        <v>0</v>
      </c>
      <c r="J600" s="21">
        <v>1</v>
      </c>
      <c r="K600" s="21">
        <v>6</v>
      </c>
      <c r="L600" s="21">
        <v>1</v>
      </c>
      <c r="M600" s="21">
        <v>6</v>
      </c>
      <c r="P600" s="24">
        <f>J600+L600+N600</f>
        <v>2</v>
      </c>
      <c r="Q600" s="24">
        <f>K600+M600+O600</f>
        <v>12</v>
      </c>
      <c r="R600" s="24">
        <v>0.14285714285714285</v>
      </c>
      <c r="S600" s="21" t="s">
        <v>642</v>
      </c>
      <c r="U600" s="21" t="s">
        <v>287</v>
      </c>
      <c r="V600" s="21" t="s">
        <v>286</v>
      </c>
      <c r="W600" s="21">
        <v>8</v>
      </c>
      <c r="X600" s="21" t="s">
        <v>285</v>
      </c>
      <c r="Y600" s="21" t="s">
        <v>326</v>
      </c>
      <c r="Z600" s="21" t="s">
        <v>325</v>
      </c>
      <c r="AA600" s="21" t="s">
        <v>441</v>
      </c>
      <c r="AB600" s="21">
        <v>1</v>
      </c>
      <c r="AD600" s="24">
        <v>3.25</v>
      </c>
      <c r="AE600" s="24">
        <v>4.4400000000000004</v>
      </c>
      <c r="AF600" s="21" t="s">
        <v>535</v>
      </c>
      <c r="AG600" s="21" t="s">
        <v>301</v>
      </c>
    </row>
    <row r="601" spans="1:33">
      <c r="A601" s="21" t="s">
        <v>441</v>
      </c>
      <c r="B601" s="21" t="s">
        <v>639</v>
      </c>
      <c r="C601" s="25">
        <v>46132.645833333336</v>
      </c>
      <c r="D601" s="21" t="s">
        <v>37</v>
      </c>
      <c r="E601" s="24">
        <v>3.52</v>
      </c>
      <c r="F601" s="24">
        <v>10.09</v>
      </c>
      <c r="G601" s="24">
        <f>E601-F601</f>
        <v>-6.57</v>
      </c>
      <c r="H601" s="21" t="s">
        <v>294</v>
      </c>
      <c r="I601" s="21">
        <v>0</v>
      </c>
      <c r="J601" s="21">
        <v>0</v>
      </c>
      <c r="K601" s="21">
        <v>6</v>
      </c>
      <c r="L601" s="21">
        <v>0</v>
      </c>
      <c r="M601" s="21">
        <v>6</v>
      </c>
      <c r="P601" s="24">
        <f>J601+L601+N601</f>
        <v>0</v>
      </c>
      <c r="Q601" s="24">
        <f>K601+M601+O601</f>
        <v>12</v>
      </c>
      <c r="R601" s="24">
        <v>0</v>
      </c>
      <c r="S601" s="21" t="s">
        <v>440</v>
      </c>
      <c r="U601" s="21" t="s">
        <v>287</v>
      </c>
      <c r="V601" s="21" t="s">
        <v>286</v>
      </c>
      <c r="W601" s="21">
        <v>9</v>
      </c>
      <c r="X601" s="21" t="s">
        <v>285</v>
      </c>
      <c r="Y601" s="21" t="s">
        <v>326</v>
      </c>
      <c r="Z601" s="21" t="s">
        <v>325</v>
      </c>
      <c r="AA601" s="21" t="s">
        <v>441</v>
      </c>
      <c r="AB601" s="21">
        <v>1</v>
      </c>
      <c r="AD601" s="24">
        <v>3.25</v>
      </c>
      <c r="AE601" s="24">
        <v>10.06</v>
      </c>
      <c r="AF601" s="21" t="s">
        <v>322</v>
      </c>
      <c r="AG601" s="21" t="s">
        <v>301</v>
      </c>
    </row>
    <row r="602" spans="1:33">
      <c r="A602" s="21" t="s">
        <v>441</v>
      </c>
      <c r="B602" s="21" t="s">
        <v>639</v>
      </c>
      <c r="C602" s="25">
        <v>46135.645833333336</v>
      </c>
      <c r="D602" s="21" t="s">
        <v>641</v>
      </c>
      <c r="E602" s="24">
        <v>3.53</v>
      </c>
      <c r="F602" s="24">
        <v>4.46</v>
      </c>
      <c r="G602" s="24">
        <f>E602-F602</f>
        <v>-0.93000000000000016</v>
      </c>
      <c r="H602" s="21" t="s">
        <v>294</v>
      </c>
      <c r="I602" s="21">
        <v>0</v>
      </c>
      <c r="J602" s="21">
        <v>2</v>
      </c>
      <c r="K602" s="21">
        <v>6</v>
      </c>
      <c r="L602" s="21">
        <v>5</v>
      </c>
      <c r="M602" s="21">
        <v>7</v>
      </c>
      <c r="P602" s="24">
        <f>J602+L602+N602</f>
        <v>7</v>
      </c>
      <c r="Q602" s="24">
        <f>K602+M602+O602</f>
        <v>13</v>
      </c>
      <c r="R602" s="24">
        <v>0.35</v>
      </c>
      <c r="S602" s="21" t="s">
        <v>640</v>
      </c>
      <c r="U602" s="21" t="s">
        <v>287</v>
      </c>
      <c r="V602" s="21" t="s">
        <v>286</v>
      </c>
      <c r="W602" s="21">
        <v>10</v>
      </c>
      <c r="X602" s="21" t="s">
        <v>285</v>
      </c>
      <c r="Y602" s="21" t="s">
        <v>326</v>
      </c>
      <c r="Z602" s="21" t="s">
        <v>325</v>
      </c>
      <c r="AA602" s="21" t="s">
        <v>441</v>
      </c>
      <c r="AB602" s="21">
        <v>1</v>
      </c>
      <c r="AD602" s="24">
        <v>3.25</v>
      </c>
      <c r="AE602" s="24">
        <v>4.46</v>
      </c>
      <c r="AF602" s="21" t="s">
        <v>535</v>
      </c>
      <c r="AG602" s="21" t="s">
        <v>301</v>
      </c>
    </row>
    <row r="603" spans="1:33">
      <c r="A603" s="21" t="s">
        <v>441</v>
      </c>
      <c r="B603" s="21" t="s">
        <v>639</v>
      </c>
      <c r="C603" s="25">
        <v>46141.479166666664</v>
      </c>
      <c r="D603" s="21" t="s">
        <v>14</v>
      </c>
      <c r="E603" s="24">
        <v>3.42</v>
      </c>
      <c r="F603" s="24">
        <v>6.86</v>
      </c>
      <c r="G603" s="24">
        <f>E603-F603</f>
        <v>-3.4400000000000004</v>
      </c>
      <c r="H603" s="21" t="s">
        <v>294</v>
      </c>
      <c r="I603" s="21">
        <v>0</v>
      </c>
      <c r="J603" s="21">
        <v>0</v>
      </c>
      <c r="K603" s="21">
        <v>6</v>
      </c>
      <c r="L603" s="21">
        <v>0</v>
      </c>
      <c r="M603" s="21">
        <v>6</v>
      </c>
      <c r="P603" s="24">
        <f>J603+L603+N603</f>
        <v>0</v>
      </c>
      <c r="Q603" s="24">
        <f>K603+M603+O603</f>
        <v>12</v>
      </c>
      <c r="R603" s="24">
        <v>0</v>
      </c>
      <c r="S603" s="21" t="s">
        <v>474</v>
      </c>
      <c r="U603" s="21" t="s">
        <v>287</v>
      </c>
      <c r="V603" s="21" t="s">
        <v>286</v>
      </c>
      <c r="W603" s="21">
        <v>11</v>
      </c>
      <c r="X603" s="21" t="s">
        <v>285</v>
      </c>
      <c r="Y603" s="21" t="s">
        <v>326</v>
      </c>
      <c r="Z603" s="21" t="s">
        <v>325</v>
      </c>
      <c r="AA603" s="21" t="s">
        <v>441</v>
      </c>
      <c r="AB603" s="21">
        <v>1</v>
      </c>
      <c r="AD603" s="24">
        <v>3.25</v>
      </c>
      <c r="AE603" s="24">
        <v>8.06</v>
      </c>
      <c r="AF603" s="21" t="s">
        <v>535</v>
      </c>
      <c r="AG603" s="21" t="s">
        <v>301</v>
      </c>
    </row>
    <row r="604" spans="1:33">
      <c r="A604" s="21" t="s">
        <v>171</v>
      </c>
      <c r="B604" s="21" t="s">
        <v>329</v>
      </c>
      <c r="C604" s="25">
        <v>46092.645833333336</v>
      </c>
      <c r="D604" s="21" t="s">
        <v>638</v>
      </c>
      <c r="E604" s="24">
        <v>5.3</v>
      </c>
      <c r="F604" s="24">
        <v>4.82</v>
      </c>
      <c r="G604" s="24">
        <f>E604-F604</f>
        <v>0.47999999999999954</v>
      </c>
      <c r="H604" s="21" t="s">
        <v>289</v>
      </c>
      <c r="I604" s="21">
        <v>1</v>
      </c>
      <c r="J604" s="21">
        <v>6</v>
      </c>
      <c r="K604" s="21">
        <v>3</v>
      </c>
      <c r="L604" s="21">
        <v>6</v>
      </c>
      <c r="M604" s="21">
        <v>4</v>
      </c>
      <c r="P604" s="24">
        <f>J604+L604+N604</f>
        <v>12</v>
      </c>
      <c r="Q604" s="24">
        <f>K604+M604+O604</f>
        <v>7</v>
      </c>
      <c r="R604" s="24">
        <v>0.63157894736842102</v>
      </c>
      <c r="S604" s="21" t="s">
        <v>637</v>
      </c>
      <c r="U604" s="21" t="s">
        <v>287</v>
      </c>
      <c r="V604" s="21" t="s">
        <v>286</v>
      </c>
      <c r="W604" s="21">
        <v>0</v>
      </c>
      <c r="X604" s="21" t="s">
        <v>312</v>
      </c>
      <c r="Y604" s="21" t="s">
        <v>326</v>
      </c>
      <c r="Z604" s="21" t="s">
        <v>325</v>
      </c>
      <c r="AA604" s="21" t="s">
        <v>171</v>
      </c>
      <c r="AB604" s="21">
        <v>1</v>
      </c>
      <c r="AD604" s="24">
        <v>5.3</v>
      </c>
      <c r="AE604" s="24">
        <v>4.82</v>
      </c>
      <c r="AF604" s="21" t="s">
        <v>535</v>
      </c>
      <c r="AG604" s="21" t="s">
        <v>301</v>
      </c>
    </row>
    <row r="605" spans="1:33">
      <c r="A605" s="21" t="s">
        <v>171</v>
      </c>
      <c r="B605" s="21" t="s">
        <v>329</v>
      </c>
      <c r="C605" s="25">
        <v>46098.645833333336</v>
      </c>
      <c r="D605" s="21" t="s">
        <v>14</v>
      </c>
      <c r="E605" s="24">
        <v>5.3</v>
      </c>
      <c r="F605" s="24">
        <v>6.64</v>
      </c>
      <c r="G605" s="24">
        <f>E605-F605</f>
        <v>-1.3399999999999999</v>
      </c>
      <c r="H605" s="21" t="s">
        <v>294</v>
      </c>
      <c r="I605" s="21">
        <v>0</v>
      </c>
      <c r="J605" s="21">
        <v>1</v>
      </c>
      <c r="K605" s="21">
        <v>6</v>
      </c>
      <c r="L605" s="21">
        <v>1</v>
      </c>
      <c r="M605" s="21">
        <v>6</v>
      </c>
      <c r="P605" s="24">
        <f>J605+L605+N605</f>
        <v>2</v>
      </c>
      <c r="Q605" s="24">
        <f>K605+M605+O605</f>
        <v>12</v>
      </c>
      <c r="R605" s="24">
        <v>0.14285714285714285</v>
      </c>
      <c r="S605" s="21" t="s">
        <v>334</v>
      </c>
      <c r="U605" s="21" t="s">
        <v>287</v>
      </c>
      <c r="V605" s="21" t="s">
        <v>286</v>
      </c>
      <c r="W605" s="21">
        <v>1</v>
      </c>
      <c r="X605" s="21" t="s">
        <v>323</v>
      </c>
      <c r="Y605" s="21" t="s">
        <v>326</v>
      </c>
      <c r="Z605" s="21" t="s">
        <v>325</v>
      </c>
      <c r="AA605" s="21" t="s">
        <v>171</v>
      </c>
      <c r="AB605" s="21">
        <v>1</v>
      </c>
      <c r="AD605" s="24">
        <v>5.3</v>
      </c>
      <c r="AE605" s="24">
        <v>8.06</v>
      </c>
      <c r="AF605" s="21" t="s">
        <v>322</v>
      </c>
      <c r="AG605" s="21" t="s">
        <v>301</v>
      </c>
    </row>
    <row r="606" spans="1:33">
      <c r="A606" s="21" t="s">
        <v>171</v>
      </c>
      <c r="B606" s="21" t="s">
        <v>329</v>
      </c>
      <c r="C606" s="25">
        <v>46099.645833333336</v>
      </c>
      <c r="D606" s="21" t="s">
        <v>636</v>
      </c>
      <c r="E606" s="24">
        <v>5.3</v>
      </c>
      <c r="F606" s="24">
        <v>4.87</v>
      </c>
      <c r="G606" s="24">
        <f>E606-F606</f>
        <v>0.42999999999999972</v>
      </c>
      <c r="H606" s="21" t="s">
        <v>289</v>
      </c>
      <c r="I606" s="21">
        <v>1</v>
      </c>
      <c r="J606" s="21">
        <v>6</v>
      </c>
      <c r="K606" s="21">
        <v>3</v>
      </c>
      <c r="L606" s="21">
        <v>6</v>
      </c>
      <c r="M606" s="21">
        <v>2</v>
      </c>
      <c r="P606" s="24">
        <f>J606+L606+N606</f>
        <v>12</v>
      </c>
      <c r="Q606" s="24">
        <f>K606+M606+O606</f>
        <v>5</v>
      </c>
      <c r="R606" s="24">
        <v>0.70588235294117652</v>
      </c>
      <c r="S606" s="21" t="s">
        <v>229</v>
      </c>
      <c r="U606" s="21" t="s">
        <v>287</v>
      </c>
      <c r="V606" s="21" t="s">
        <v>286</v>
      </c>
      <c r="W606" s="21">
        <v>2</v>
      </c>
      <c r="X606" s="21" t="s">
        <v>310</v>
      </c>
      <c r="Y606" s="21" t="s">
        <v>326</v>
      </c>
      <c r="Z606" s="21" t="s">
        <v>325</v>
      </c>
      <c r="AA606" s="21" t="s">
        <v>171</v>
      </c>
      <c r="AB606" s="21">
        <v>1</v>
      </c>
      <c r="AD606" s="24">
        <v>5.3</v>
      </c>
      <c r="AE606" s="24">
        <v>4.87</v>
      </c>
      <c r="AF606" s="21" t="s">
        <v>322</v>
      </c>
      <c r="AG606" s="21" t="s">
        <v>301</v>
      </c>
    </row>
    <row r="607" spans="1:33">
      <c r="A607" s="21" t="s">
        <v>171</v>
      </c>
      <c r="B607" s="21" t="s">
        <v>329</v>
      </c>
      <c r="C607" s="25">
        <v>46101.645833333336</v>
      </c>
      <c r="D607" s="21" t="s">
        <v>165</v>
      </c>
      <c r="E607" s="24">
        <v>5.3</v>
      </c>
      <c r="F607" s="24">
        <v>5.54</v>
      </c>
      <c r="G607" s="24">
        <f>E607-F607</f>
        <v>-0.24000000000000021</v>
      </c>
      <c r="H607" s="21" t="s">
        <v>294</v>
      </c>
      <c r="I607" s="21">
        <v>0</v>
      </c>
      <c r="J607" s="21">
        <v>4</v>
      </c>
      <c r="K607" s="21">
        <v>6</v>
      </c>
      <c r="L607" s="21">
        <v>6</v>
      </c>
      <c r="M607" s="21">
        <v>4</v>
      </c>
      <c r="N607" s="21">
        <v>5</v>
      </c>
      <c r="O607" s="21">
        <v>7</v>
      </c>
      <c r="P607" s="24">
        <f>J607+L607+N607</f>
        <v>15</v>
      </c>
      <c r="Q607" s="24">
        <f>K607+M607+O607</f>
        <v>17</v>
      </c>
      <c r="R607" s="24">
        <v>0.46875</v>
      </c>
      <c r="S607" s="21" t="s">
        <v>346</v>
      </c>
      <c r="U607" s="21" t="s">
        <v>287</v>
      </c>
      <c r="V607" s="21" t="s">
        <v>286</v>
      </c>
      <c r="W607" s="21">
        <v>3</v>
      </c>
      <c r="X607" s="21" t="s">
        <v>285</v>
      </c>
      <c r="Y607" s="21" t="s">
        <v>326</v>
      </c>
      <c r="Z607" s="21" t="s">
        <v>325</v>
      </c>
      <c r="AA607" s="21" t="s">
        <v>171</v>
      </c>
      <c r="AB607" s="21">
        <v>1</v>
      </c>
      <c r="AD607" s="24">
        <v>5.3</v>
      </c>
      <c r="AE607" s="24">
        <v>6.17</v>
      </c>
      <c r="AF607" s="21" t="s">
        <v>322</v>
      </c>
      <c r="AG607" s="21" t="s">
        <v>301</v>
      </c>
    </row>
    <row r="608" spans="1:33">
      <c r="A608" s="21" t="s">
        <v>171</v>
      </c>
      <c r="B608" s="21" t="s">
        <v>329</v>
      </c>
      <c r="C608" s="25">
        <v>46106.645833333336</v>
      </c>
      <c r="D608" s="21" t="s">
        <v>635</v>
      </c>
      <c r="E608" s="24">
        <v>5.3</v>
      </c>
      <c r="F608" s="24">
        <v>4.6100000000000003</v>
      </c>
      <c r="G608" s="24">
        <f>E608-F608</f>
        <v>0.6899999999999995</v>
      </c>
      <c r="H608" s="21" t="s">
        <v>289</v>
      </c>
      <c r="I608" s="21">
        <v>1</v>
      </c>
      <c r="J608" s="21">
        <v>7</v>
      </c>
      <c r="K608" s="21">
        <v>5</v>
      </c>
      <c r="L608" s="21">
        <v>6</v>
      </c>
      <c r="M608" s="21">
        <v>1</v>
      </c>
      <c r="P608" s="24">
        <f>J608+L608+N608</f>
        <v>13</v>
      </c>
      <c r="Q608" s="24">
        <f>K608+M608+O608</f>
        <v>6</v>
      </c>
      <c r="R608" s="24">
        <v>0.68421052631578949</v>
      </c>
      <c r="S608" s="21" t="s">
        <v>332</v>
      </c>
      <c r="U608" s="21" t="s">
        <v>287</v>
      </c>
      <c r="V608" s="21" t="s">
        <v>286</v>
      </c>
      <c r="W608" s="21">
        <v>4</v>
      </c>
      <c r="X608" s="21" t="s">
        <v>285</v>
      </c>
      <c r="Y608" s="21" t="s">
        <v>326</v>
      </c>
      <c r="Z608" s="21" t="s">
        <v>325</v>
      </c>
      <c r="AA608" s="21" t="s">
        <v>171</v>
      </c>
      <c r="AB608" s="21">
        <v>1</v>
      </c>
      <c r="AD608" s="24">
        <v>5.3</v>
      </c>
      <c r="AE608" s="24">
        <v>4.6100000000000003</v>
      </c>
      <c r="AF608" s="21" t="s">
        <v>304</v>
      </c>
      <c r="AG608" s="21" t="s">
        <v>303</v>
      </c>
    </row>
    <row r="609" spans="1:33">
      <c r="A609" s="21" t="s">
        <v>171</v>
      </c>
      <c r="B609" s="21" t="s">
        <v>329</v>
      </c>
      <c r="C609" s="25">
        <v>46111.645833333336</v>
      </c>
      <c r="D609" s="21" t="s">
        <v>114</v>
      </c>
      <c r="E609" s="24">
        <v>5.3</v>
      </c>
      <c r="F609" s="24">
        <v>7.68</v>
      </c>
      <c r="G609" s="24">
        <f>E609-F609</f>
        <v>-2.38</v>
      </c>
      <c r="H609" s="21" t="s">
        <v>294</v>
      </c>
      <c r="I609" s="26">
        <v>0</v>
      </c>
      <c r="J609" s="26">
        <v>1</v>
      </c>
      <c r="K609" s="26">
        <v>6</v>
      </c>
      <c r="L609" s="26">
        <v>1</v>
      </c>
      <c r="M609" s="26">
        <v>6</v>
      </c>
      <c r="N609" s="26"/>
      <c r="P609" s="24">
        <f>J609+L609+N609</f>
        <v>2</v>
      </c>
      <c r="Q609" s="24">
        <f>K609+M609+O609</f>
        <v>12</v>
      </c>
      <c r="R609" s="24">
        <v>0.14285714285714285</v>
      </c>
      <c r="S609" s="21" t="s">
        <v>331</v>
      </c>
      <c r="U609" s="21" t="s">
        <v>287</v>
      </c>
      <c r="V609" s="21" t="s">
        <v>286</v>
      </c>
      <c r="W609" s="21">
        <v>5</v>
      </c>
      <c r="X609" s="21" t="s">
        <v>285</v>
      </c>
      <c r="Y609" s="21" t="s">
        <v>326</v>
      </c>
      <c r="Z609" s="21" t="s">
        <v>325</v>
      </c>
      <c r="AA609" s="21" t="s">
        <v>171</v>
      </c>
      <c r="AB609" s="21">
        <v>1</v>
      </c>
      <c r="AD609" s="24">
        <v>5.3</v>
      </c>
      <c r="AE609" s="24">
        <v>8.2799999999999994</v>
      </c>
      <c r="AF609" s="21" t="s">
        <v>302</v>
      </c>
      <c r="AG609" s="21" t="s">
        <v>301</v>
      </c>
    </row>
    <row r="610" spans="1:33">
      <c r="A610" s="21" t="s">
        <v>171</v>
      </c>
      <c r="B610" s="21" t="s">
        <v>329</v>
      </c>
      <c r="C610" s="25">
        <v>46118.645833333336</v>
      </c>
      <c r="D610" s="21" t="s">
        <v>170</v>
      </c>
      <c r="E610" s="24">
        <v>5.3</v>
      </c>
      <c r="F610" s="24">
        <v>5.34</v>
      </c>
      <c r="G610" s="24">
        <f>E610-F610</f>
        <v>-4.0000000000000036E-2</v>
      </c>
      <c r="H610" s="21" t="s">
        <v>294</v>
      </c>
      <c r="I610" s="21">
        <v>0</v>
      </c>
      <c r="J610" s="21">
        <v>0</v>
      </c>
      <c r="K610" s="21">
        <v>6</v>
      </c>
      <c r="L610" s="21">
        <v>3</v>
      </c>
      <c r="M610" s="21">
        <v>6</v>
      </c>
      <c r="P610" s="24">
        <f>J610+L610+N610</f>
        <v>3</v>
      </c>
      <c r="Q610" s="24">
        <f>K610+M610+O610</f>
        <v>12</v>
      </c>
      <c r="R610" s="24">
        <v>0.2</v>
      </c>
      <c r="S610" s="21" t="s">
        <v>172</v>
      </c>
      <c r="U610" s="21" t="s">
        <v>287</v>
      </c>
      <c r="V610" s="21" t="s">
        <v>286</v>
      </c>
      <c r="W610" s="21">
        <v>6</v>
      </c>
      <c r="X610" s="21" t="s">
        <v>285</v>
      </c>
      <c r="Y610" s="21" t="s">
        <v>326</v>
      </c>
      <c r="Z610" s="21" t="s">
        <v>325</v>
      </c>
      <c r="AA610" s="21" t="s">
        <v>171</v>
      </c>
      <c r="AB610" s="21">
        <v>1</v>
      </c>
      <c r="AD610" s="24">
        <v>5.3</v>
      </c>
      <c r="AE610" s="24">
        <v>6.27</v>
      </c>
      <c r="AF610" s="21" t="s">
        <v>304</v>
      </c>
      <c r="AG610" s="21" t="s">
        <v>303</v>
      </c>
    </row>
    <row r="611" spans="1:33">
      <c r="A611" s="21" t="s">
        <v>171</v>
      </c>
      <c r="B611" s="21" t="s">
        <v>329</v>
      </c>
      <c r="C611" s="25">
        <v>46120.645833333336</v>
      </c>
      <c r="D611" s="21" t="s">
        <v>525</v>
      </c>
      <c r="E611" s="24">
        <v>5.3</v>
      </c>
      <c r="F611" s="24">
        <v>3.5</v>
      </c>
      <c r="G611" s="24">
        <f>E611-F611</f>
        <v>1.7999999999999998</v>
      </c>
      <c r="H611" s="21" t="s">
        <v>289</v>
      </c>
      <c r="I611" s="21">
        <v>1</v>
      </c>
      <c r="J611" s="21">
        <v>6</v>
      </c>
      <c r="K611" s="21">
        <v>1</v>
      </c>
      <c r="L611" s="21">
        <v>6</v>
      </c>
      <c r="M611" s="21">
        <v>1</v>
      </c>
      <c r="P611" s="24">
        <f>J611+L611+N611</f>
        <v>12</v>
      </c>
      <c r="Q611" s="24">
        <f>K611+M611+O611</f>
        <v>2</v>
      </c>
      <c r="R611" s="24">
        <v>0.8571428571428571</v>
      </c>
      <c r="S611" s="21" t="s">
        <v>330</v>
      </c>
      <c r="U611" s="21" t="s">
        <v>287</v>
      </c>
      <c r="V611" s="21" t="s">
        <v>286</v>
      </c>
      <c r="W611" s="21">
        <v>7</v>
      </c>
      <c r="X611" s="21" t="s">
        <v>285</v>
      </c>
      <c r="Y611" s="21" t="s">
        <v>326</v>
      </c>
      <c r="Z611" s="21" t="s">
        <v>325</v>
      </c>
      <c r="AA611" s="21" t="s">
        <v>171</v>
      </c>
      <c r="AB611" s="21">
        <v>1</v>
      </c>
      <c r="AD611" s="24">
        <v>5.3</v>
      </c>
      <c r="AE611" s="24">
        <v>3.89</v>
      </c>
      <c r="AF611" s="21" t="s">
        <v>302</v>
      </c>
      <c r="AG611" s="21" t="s">
        <v>301</v>
      </c>
    </row>
    <row r="612" spans="1:33">
      <c r="A612" s="21" t="s">
        <v>171</v>
      </c>
      <c r="B612" s="21" t="s">
        <v>329</v>
      </c>
      <c r="C612" s="25">
        <v>46121.645833333336</v>
      </c>
      <c r="D612" s="21" t="s">
        <v>634</v>
      </c>
      <c r="E612" s="24">
        <v>5.3</v>
      </c>
      <c r="F612" s="24">
        <v>5.32</v>
      </c>
      <c r="G612" s="24">
        <f>E612-F612</f>
        <v>-2.0000000000000462E-2</v>
      </c>
      <c r="H612" s="21" t="s">
        <v>294</v>
      </c>
      <c r="I612" s="21">
        <v>0</v>
      </c>
      <c r="J612" s="21">
        <v>7</v>
      </c>
      <c r="K612" s="21">
        <v>6</v>
      </c>
      <c r="L612" s="21">
        <v>6</v>
      </c>
      <c r="M612" s="21">
        <v>7</v>
      </c>
      <c r="N612" s="21">
        <v>6</v>
      </c>
      <c r="O612" s="21">
        <v>7</v>
      </c>
      <c r="P612" s="24">
        <f>J612+L612+N612</f>
        <v>19</v>
      </c>
      <c r="Q612" s="24">
        <f>K612+M612+O612</f>
        <v>20</v>
      </c>
      <c r="R612" s="24">
        <v>0.4859154929577465</v>
      </c>
      <c r="S612" s="21" t="s">
        <v>633</v>
      </c>
      <c r="U612" s="21" t="s">
        <v>287</v>
      </c>
      <c r="V612" s="21" t="s">
        <v>286</v>
      </c>
      <c r="W612" s="21">
        <v>8</v>
      </c>
      <c r="X612" s="21" t="s">
        <v>285</v>
      </c>
      <c r="Y612" s="21" t="s">
        <v>326</v>
      </c>
      <c r="Z612" s="21" t="s">
        <v>325</v>
      </c>
      <c r="AA612" s="21" t="s">
        <v>171</v>
      </c>
      <c r="AB612" s="21">
        <v>1</v>
      </c>
      <c r="AD612" s="24">
        <v>5.3</v>
      </c>
      <c r="AE612" s="24">
        <v>5.32</v>
      </c>
      <c r="AF612" s="21" t="s">
        <v>302</v>
      </c>
      <c r="AG612" s="21" t="s">
        <v>301</v>
      </c>
    </row>
    <row r="613" spans="1:33">
      <c r="A613" s="21" t="s">
        <v>171</v>
      </c>
      <c r="B613" s="21" t="s">
        <v>329</v>
      </c>
      <c r="C613" s="25">
        <v>46132.645833333336</v>
      </c>
      <c r="D613" s="21" t="s">
        <v>632</v>
      </c>
      <c r="E613" s="24">
        <v>5.3</v>
      </c>
      <c r="F613" s="24">
        <v>4.03</v>
      </c>
      <c r="G613" s="24">
        <f>E613-F613</f>
        <v>1.2699999999999996</v>
      </c>
      <c r="H613" s="21" t="s">
        <v>289</v>
      </c>
      <c r="I613" s="21">
        <v>1</v>
      </c>
      <c r="J613" s="21">
        <v>6</v>
      </c>
      <c r="K613" s="21">
        <v>0</v>
      </c>
      <c r="L613" s="21">
        <v>6</v>
      </c>
      <c r="M613" s="21">
        <v>4</v>
      </c>
      <c r="P613" s="24">
        <f>J613+L613+N613</f>
        <v>12</v>
      </c>
      <c r="Q613" s="24">
        <f>K613+M613+O613</f>
        <v>4</v>
      </c>
      <c r="R613" s="24">
        <v>0.75</v>
      </c>
      <c r="S613" s="21" t="s">
        <v>327</v>
      </c>
      <c r="U613" s="21" t="s">
        <v>287</v>
      </c>
      <c r="V613" s="21" t="s">
        <v>286</v>
      </c>
      <c r="W613" s="21">
        <v>9</v>
      </c>
      <c r="X613" s="21" t="s">
        <v>285</v>
      </c>
      <c r="Y613" s="21" t="s">
        <v>326</v>
      </c>
      <c r="Z613" s="21" t="s">
        <v>325</v>
      </c>
      <c r="AA613" s="21" t="s">
        <v>171</v>
      </c>
      <c r="AB613" s="21">
        <v>1</v>
      </c>
      <c r="AD613" s="24">
        <v>5.3</v>
      </c>
      <c r="AE613" s="24">
        <v>4.03</v>
      </c>
      <c r="AF613" s="21" t="s">
        <v>302</v>
      </c>
      <c r="AG613" s="21" t="s">
        <v>301</v>
      </c>
    </row>
    <row r="614" spans="1:33">
      <c r="A614" s="21" t="s">
        <v>141</v>
      </c>
      <c r="B614" s="21" t="s">
        <v>461</v>
      </c>
      <c r="C614" s="25">
        <v>46060</v>
      </c>
      <c r="D614" s="21" t="s">
        <v>128</v>
      </c>
      <c r="E614" s="24">
        <v>5.95</v>
      </c>
      <c r="F614" s="24">
        <v>6.88</v>
      </c>
      <c r="G614" s="24">
        <f>E614-F614</f>
        <v>-0.92999999999999972</v>
      </c>
      <c r="H614" s="21" t="s">
        <v>294</v>
      </c>
      <c r="I614" s="21">
        <v>0</v>
      </c>
      <c r="J614" s="21">
        <v>1</v>
      </c>
      <c r="K614" s="21">
        <v>8</v>
      </c>
      <c r="P614" s="24">
        <f>J614+L614+N614</f>
        <v>1</v>
      </c>
      <c r="Q614" s="24">
        <f>K614+M614+O614</f>
        <v>8</v>
      </c>
      <c r="R614" s="24">
        <v>0.1111111111111111</v>
      </c>
      <c r="S614" s="21" t="s">
        <v>631</v>
      </c>
      <c r="T614" s="21" t="s">
        <v>298</v>
      </c>
      <c r="U614" s="21" t="s">
        <v>412</v>
      </c>
      <c r="V614" s="21" t="s">
        <v>286</v>
      </c>
      <c r="W614" s="21">
        <v>0</v>
      </c>
      <c r="X614" s="21" t="s">
        <v>312</v>
      </c>
      <c r="Y614" s="21" t="s">
        <v>284</v>
      </c>
      <c r="Z614" s="21" t="s">
        <v>283</v>
      </c>
      <c r="AA614" s="21" t="s">
        <v>141</v>
      </c>
      <c r="AB614" s="21">
        <v>1</v>
      </c>
      <c r="AD614" s="24">
        <v>5.95</v>
      </c>
      <c r="AE614" s="24">
        <v>6.88</v>
      </c>
      <c r="AF614" s="21" t="s">
        <v>302</v>
      </c>
      <c r="AG614" s="21" t="s">
        <v>301</v>
      </c>
    </row>
    <row r="615" spans="1:33">
      <c r="A615" s="21" t="s">
        <v>141</v>
      </c>
      <c r="B615" s="21" t="s">
        <v>461</v>
      </c>
      <c r="C615" s="25">
        <v>46091.645833333336</v>
      </c>
      <c r="D615" s="21" t="s">
        <v>46</v>
      </c>
      <c r="E615" s="24">
        <v>5.53</v>
      </c>
      <c r="F615" s="24">
        <v>7.32</v>
      </c>
      <c r="G615" s="24">
        <f>E615-F615</f>
        <v>-1.79</v>
      </c>
      <c r="H615" s="21" t="s">
        <v>294</v>
      </c>
      <c r="I615" s="21">
        <v>0</v>
      </c>
      <c r="J615" s="21">
        <v>2</v>
      </c>
      <c r="K615" s="21">
        <v>6</v>
      </c>
      <c r="L615" s="21">
        <v>6</v>
      </c>
      <c r="M615" s="21">
        <v>7</v>
      </c>
      <c r="P615" s="24">
        <f>J615+L615+N615</f>
        <v>8</v>
      </c>
      <c r="Q615" s="24">
        <f>K615+M615+O615</f>
        <v>13</v>
      </c>
      <c r="R615" s="24">
        <v>0.4391891891891892</v>
      </c>
      <c r="S615" s="21" t="s">
        <v>429</v>
      </c>
      <c r="U615" s="21" t="s">
        <v>287</v>
      </c>
      <c r="V615" s="21" t="s">
        <v>286</v>
      </c>
      <c r="W615" s="21">
        <v>1</v>
      </c>
      <c r="X615" s="21" t="s">
        <v>323</v>
      </c>
      <c r="Y615" s="21" t="s">
        <v>284</v>
      </c>
      <c r="Z615" s="21" t="s">
        <v>283</v>
      </c>
      <c r="AA615" s="21" t="s">
        <v>141</v>
      </c>
      <c r="AB615" s="21">
        <v>1</v>
      </c>
      <c r="AD615" s="24">
        <v>5.95</v>
      </c>
      <c r="AE615" s="24">
        <v>7.82</v>
      </c>
      <c r="AF615" s="21" t="s">
        <v>302</v>
      </c>
      <c r="AG615" s="21" t="s">
        <v>301</v>
      </c>
    </row>
    <row r="616" spans="1:33">
      <c r="A616" s="21" t="s">
        <v>141</v>
      </c>
      <c r="B616" s="21" t="s">
        <v>461</v>
      </c>
      <c r="C616" s="25">
        <v>46092.645833333336</v>
      </c>
      <c r="D616" s="21" t="s">
        <v>503</v>
      </c>
      <c r="E616" s="24">
        <v>5.53</v>
      </c>
      <c r="F616" s="24">
        <v>6.88</v>
      </c>
      <c r="G616" s="24">
        <f>E616-F616</f>
        <v>-1.3499999999999996</v>
      </c>
      <c r="H616" s="21" t="s">
        <v>289</v>
      </c>
      <c r="I616" s="21">
        <v>1</v>
      </c>
      <c r="J616" s="21">
        <v>4</v>
      </c>
      <c r="K616" s="21">
        <v>6</v>
      </c>
      <c r="L616" s="21">
        <v>7</v>
      </c>
      <c r="M616" s="21">
        <v>6</v>
      </c>
      <c r="P616" s="24">
        <f>J616+L616+N616</f>
        <v>11</v>
      </c>
      <c r="Q616" s="24">
        <f>K616+M616+O616</f>
        <v>12</v>
      </c>
      <c r="R616" s="24">
        <v>0.5641025641025641</v>
      </c>
      <c r="S616" s="21" t="s">
        <v>252</v>
      </c>
      <c r="U616" s="21" t="s">
        <v>287</v>
      </c>
      <c r="V616" s="21" t="s">
        <v>286</v>
      </c>
      <c r="W616" s="21">
        <v>2</v>
      </c>
      <c r="X616" s="21" t="s">
        <v>310</v>
      </c>
      <c r="Y616" s="21" t="s">
        <v>284</v>
      </c>
      <c r="Z616" s="21" t="s">
        <v>283</v>
      </c>
      <c r="AA616" s="21" t="s">
        <v>141</v>
      </c>
      <c r="AB616" s="21">
        <v>1</v>
      </c>
      <c r="AD616" s="24">
        <v>5.95</v>
      </c>
      <c r="AE616" s="24">
        <v>6.88</v>
      </c>
      <c r="AF616" s="21" t="s">
        <v>302</v>
      </c>
      <c r="AG616" s="21" t="s">
        <v>301</v>
      </c>
    </row>
    <row r="617" spans="1:33">
      <c r="A617" s="21" t="s">
        <v>141</v>
      </c>
      <c r="B617" s="21" t="s">
        <v>461</v>
      </c>
      <c r="C617" s="25">
        <v>46094.145833333336</v>
      </c>
      <c r="D617" s="21" t="s">
        <v>422</v>
      </c>
      <c r="E617" s="24">
        <v>5.53</v>
      </c>
      <c r="F617" s="24">
        <v>9.0299999999999994</v>
      </c>
      <c r="G617" s="24">
        <f>E617-F617</f>
        <v>-3.4999999999999991</v>
      </c>
      <c r="H617" s="21" t="s">
        <v>294</v>
      </c>
      <c r="I617" s="21">
        <v>0</v>
      </c>
      <c r="J617" s="21">
        <v>1</v>
      </c>
      <c r="K617" s="21">
        <v>6</v>
      </c>
      <c r="L617" s="21">
        <v>2</v>
      </c>
      <c r="M617" s="21">
        <v>6</v>
      </c>
      <c r="P617" s="24">
        <f>J617+L617+N617</f>
        <v>3</v>
      </c>
      <c r="Q617" s="24">
        <f>K617+M617+O617</f>
        <v>12</v>
      </c>
      <c r="R617" s="24">
        <v>0.2</v>
      </c>
      <c r="S617" s="21" t="s">
        <v>468</v>
      </c>
      <c r="U617" s="21" t="s">
        <v>287</v>
      </c>
      <c r="V617" s="21" t="s">
        <v>286</v>
      </c>
      <c r="W617" s="21">
        <v>3</v>
      </c>
      <c r="X617" s="21" t="s">
        <v>285</v>
      </c>
      <c r="Y617" s="21" t="s">
        <v>284</v>
      </c>
      <c r="Z617" s="21" t="s">
        <v>283</v>
      </c>
      <c r="AA617" s="21" t="s">
        <v>141</v>
      </c>
      <c r="AB617" s="21">
        <v>1</v>
      </c>
      <c r="AD617" s="24">
        <v>5.95</v>
      </c>
      <c r="AE617" s="24">
        <v>8.98</v>
      </c>
      <c r="AF617" s="21" t="s">
        <v>304</v>
      </c>
      <c r="AG617" s="21" t="s">
        <v>303</v>
      </c>
    </row>
    <row r="618" spans="1:33">
      <c r="A618" s="21" t="s">
        <v>141</v>
      </c>
      <c r="B618" s="21" t="s">
        <v>461</v>
      </c>
      <c r="C618" s="25">
        <v>46095</v>
      </c>
      <c r="D618" s="21" t="s">
        <v>630</v>
      </c>
      <c r="E618" s="24">
        <v>5.53</v>
      </c>
      <c r="F618" s="24">
        <v>6.14</v>
      </c>
      <c r="G618" s="24">
        <f>E618-F618</f>
        <v>-0.60999999999999943</v>
      </c>
      <c r="H618" s="21" t="s">
        <v>294</v>
      </c>
      <c r="I618" s="21">
        <v>0</v>
      </c>
      <c r="J618" s="21">
        <v>3</v>
      </c>
      <c r="K618" s="21">
        <v>8</v>
      </c>
      <c r="P618" s="24">
        <f>J618+L618+N618</f>
        <v>3</v>
      </c>
      <c r="Q618" s="24">
        <f>K618+M618+O618</f>
        <v>8</v>
      </c>
      <c r="R618" s="24">
        <v>0.27272727272727271</v>
      </c>
      <c r="S618" s="21" t="s">
        <v>554</v>
      </c>
      <c r="T618" s="21" t="s">
        <v>297</v>
      </c>
      <c r="U618" s="21" t="s">
        <v>292</v>
      </c>
      <c r="V618" s="21" t="s">
        <v>286</v>
      </c>
      <c r="W618" s="21">
        <v>4</v>
      </c>
      <c r="X618" s="21" t="s">
        <v>285</v>
      </c>
      <c r="Y618" s="21" t="s">
        <v>284</v>
      </c>
      <c r="Z618" s="21" t="s">
        <v>283</v>
      </c>
      <c r="AA618" s="21" t="s">
        <v>141</v>
      </c>
      <c r="AB618" s="21">
        <v>1</v>
      </c>
      <c r="AD618" s="24">
        <v>5.95</v>
      </c>
      <c r="AE618" s="24">
        <v>6.14</v>
      </c>
      <c r="AF618" s="21" t="s">
        <v>304</v>
      </c>
      <c r="AG618" s="21" t="s">
        <v>341</v>
      </c>
    </row>
    <row r="619" spans="1:33">
      <c r="A619" s="21" t="s">
        <v>141</v>
      </c>
      <c r="B619" s="21" t="s">
        <v>461</v>
      </c>
      <c r="C619" s="25">
        <v>46095</v>
      </c>
      <c r="D619" s="21" t="s">
        <v>629</v>
      </c>
      <c r="E619" s="24">
        <v>5.53</v>
      </c>
      <c r="F619" s="24">
        <v>6.38</v>
      </c>
      <c r="G619" s="24">
        <f>E619-F619</f>
        <v>-0.84999999999999964</v>
      </c>
      <c r="H619" s="21" t="s">
        <v>289</v>
      </c>
      <c r="I619" s="21">
        <v>1</v>
      </c>
      <c r="J619" s="21">
        <v>9</v>
      </c>
      <c r="K619" s="21">
        <v>7</v>
      </c>
      <c r="P619" s="24">
        <f>J619+L619+N619</f>
        <v>9</v>
      </c>
      <c r="Q619" s="24">
        <f>K619+M619+O619</f>
        <v>7</v>
      </c>
      <c r="R619" s="24">
        <v>0.53888888888888886</v>
      </c>
      <c r="S619" s="21" t="s">
        <v>554</v>
      </c>
      <c r="T619" s="21" t="s">
        <v>298</v>
      </c>
      <c r="U619" s="21" t="s">
        <v>292</v>
      </c>
      <c r="V619" s="21" t="s">
        <v>286</v>
      </c>
      <c r="W619" s="21">
        <v>4</v>
      </c>
      <c r="X619" s="21" t="s">
        <v>285</v>
      </c>
      <c r="Y619" s="21" t="s">
        <v>284</v>
      </c>
      <c r="Z619" s="21" t="s">
        <v>283</v>
      </c>
      <c r="AA619" s="21" t="s">
        <v>141</v>
      </c>
      <c r="AB619" s="21">
        <v>1</v>
      </c>
      <c r="AD619" s="24">
        <v>5.95</v>
      </c>
      <c r="AE619" s="24">
        <v>6.38</v>
      </c>
      <c r="AF619" s="21" t="s">
        <v>304</v>
      </c>
      <c r="AG619" s="21" t="s">
        <v>303</v>
      </c>
    </row>
    <row r="620" spans="1:33">
      <c r="A620" s="21" t="s">
        <v>141</v>
      </c>
      <c r="B620" s="21" t="s">
        <v>461</v>
      </c>
      <c r="C620" s="25">
        <v>46102</v>
      </c>
      <c r="D620" s="21" t="s">
        <v>628</v>
      </c>
      <c r="E620" s="24">
        <v>5.66</v>
      </c>
      <c r="F620" s="24">
        <v>5.58</v>
      </c>
      <c r="G620" s="24">
        <f>E620-F620</f>
        <v>8.0000000000000071E-2</v>
      </c>
      <c r="H620" s="21" t="s">
        <v>289</v>
      </c>
      <c r="I620" s="21">
        <v>1</v>
      </c>
      <c r="J620" s="21">
        <v>3</v>
      </c>
      <c r="K620" s="21">
        <v>5</v>
      </c>
      <c r="L620" s="21">
        <v>5</v>
      </c>
      <c r="M620" s="21">
        <v>4</v>
      </c>
      <c r="N620" s="21">
        <v>1</v>
      </c>
      <c r="O620" s="21">
        <v>0</v>
      </c>
      <c r="P620" s="24">
        <f>J620+L620+N620</f>
        <v>9</v>
      </c>
      <c r="Q620" s="24">
        <f>K620+M620+O620</f>
        <v>9</v>
      </c>
      <c r="R620" s="24">
        <v>0.55454545454545456</v>
      </c>
      <c r="S620" s="21" t="s">
        <v>554</v>
      </c>
      <c r="T620" s="21" t="s">
        <v>420</v>
      </c>
      <c r="U620" s="21" t="s">
        <v>292</v>
      </c>
      <c r="V620" s="21" t="s">
        <v>286</v>
      </c>
      <c r="W620" s="21">
        <v>6</v>
      </c>
      <c r="X620" s="21" t="s">
        <v>285</v>
      </c>
      <c r="Y620" s="21" t="s">
        <v>284</v>
      </c>
      <c r="Z620" s="21" t="s">
        <v>283</v>
      </c>
      <c r="AA620" s="21" t="s">
        <v>141</v>
      </c>
      <c r="AB620" s="21">
        <v>1</v>
      </c>
      <c r="AD620" s="24">
        <v>5.95</v>
      </c>
      <c r="AE620" s="24">
        <v>5.58</v>
      </c>
      <c r="AF620" s="21" t="s">
        <v>302</v>
      </c>
      <c r="AG620" s="21" t="s">
        <v>301</v>
      </c>
    </row>
    <row r="621" spans="1:33">
      <c r="A621" s="21" t="s">
        <v>141</v>
      </c>
      <c r="B621" s="21" t="s">
        <v>461</v>
      </c>
      <c r="C621" s="25">
        <v>46102</v>
      </c>
      <c r="D621" s="21" t="s">
        <v>627</v>
      </c>
      <c r="E621" s="24">
        <v>5.66</v>
      </c>
      <c r="F621" s="24">
        <v>5.31</v>
      </c>
      <c r="G621" s="24">
        <f>E621-F621</f>
        <v>0.35000000000000053</v>
      </c>
      <c r="H621" s="21" t="s">
        <v>289</v>
      </c>
      <c r="I621" s="21">
        <v>1</v>
      </c>
      <c r="J621" s="21">
        <v>4</v>
      </c>
      <c r="K621" s="21">
        <v>2</v>
      </c>
      <c r="L621" s="21">
        <v>4</v>
      </c>
      <c r="M621" s="21">
        <v>5</v>
      </c>
      <c r="N621" s="21">
        <v>1</v>
      </c>
      <c r="O621" s="21">
        <v>0</v>
      </c>
      <c r="P621" s="24">
        <f>J621+L621+N621</f>
        <v>9</v>
      </c>
      <c r="Q621" s="24">
        <f>K621+M621+O621</f>
        <v>7</v>
      </c>
      <c r="R621" s="24">
        <v>0.45370370370370372</v>
      </c>
      <c r="S621" s="21" t="s">
        <v>554</v>
      </c>
      <c r="T621" s="21" t="s">
        <v>544</v>
      </c>
      <c r="U621" s="21" t="s">
        <v>292</v>
      </c>
      <c r="V621" s="21" t="s">
        <v>286</v>
      </c>
      <c r="W621" s="21">
        <v>6</v>
      </c>
      <c r="X621" s="21" t="s">
        <v>285</v>
      </c>
      <c r="Y621" s="21" t="s">
        <v>284</v>
      </c>
      <c r="Z621" s="21" t="s">
        <v>283</v>
      </c>
      <c r="AA621" s="21" t="s">
        <v>141</v>
      </c>
      <c r="AB621" s="21">
        <v>1</v>
      </c>
      <c r="AD621" s="24">
        <v>5.95</v>
      </c>
      <c r="AE621" s="24">
        <v>5.31</v>
      </c>
      <c r="AF621" s="21" t="s">
        <v>304</v>
      </c>
      <c r="AG621" s="21" t="s">
        <v>303</v>
      </c>
    </row>
    <row r="622" spans="1:33">
      <c r="A622" s="21" t="s">
        <v>141</v>
      </c>
      <c r="B622" s="21" t="s">
        <v>461</v>
      </c>
      <c r="C622" s="25">
        <v>46102</v>
      </c>
      <c r="D622" s="21" t="s">
        <v>626</v>
      </c>
      <c r="E622" s="24">
        <v>5.66</v>
      </c>
      <c r="F622" s="24">
        <v>7.1</v>
      </c>
      <c r="G622" s="24">
        <f>E622-F622</f>
        <v>-1.4399999999999995</v>
      </c>
      <c r="H622" s="21" t="s">
        <v>294</v>
      </c>
      <c r="I622" s="21">
        <v>0</v>
      </c>
      <c r="J622" s="21">
        <v>2</v>
      </c>
      <c r="K622" s="21">
        <v>4</v>
      </c>
      <c r="L622" s="21">
        <v>2</v>
      </c>
      <c r="M622" s="21">
        <v>4</v>
      </c>
      <c r="P622" s="24">
        <f>J622+L622+N622</f>
        <v>4</v>
      </c>
      <c r="Q622" s="24">
        <f>K622+M622+O622</f>
        <v>8</v>
      </c>
      <c r="R622" s="24">
        <v>0.33333333333333331</v>
      </c>
      <c r="S622" s="21" t="s">
        <v>554</v>
      </c>
      <c r="T622" s="21" t="s">
        <v>418</v>
      </c>
      <c r="U622" s="21" t="s">
        <v>292</v>
      </c>
      <c r="V622" s="21" t="s">
        <v>286</v>
      </c>
      <c r="W622" s="21">
        <v>6</v>
      </c>
      <c r="X622" s="21" t="s">
        <v>285</v>
      </c>
      <c r="Y622" s="21" t="s">
        <v>284</v>
      </c>
      <c r="Z622" s="21" t="s">
        <v>283</v>
      </c>
      <c r="AA622" s="21" t="s">
        <v>141</v>
      </c>
      <c r="AB622" s="21">
        <v>1</v>
      </c>
      <c r="AD622" s="24">
        <v>5.95</v>
      </c>
      <c r="AE622" s="24">
        <v>7.1</v>
      </c>
      <c r="AF622" s="21" t="s">
        <v>304</v>
      </c>
      <c r="AG622" s="21" t="s">
        <v>303</v>
      </c>
    </row>
    <row r="623" spans="1:33">
      <c r="A623" s="21" t="s">
        <v>141</v>
      </c>
      <c r="B623" s="21" t="s">
        <v>461</v>
      </c>
      <c r="C623" s="25">
        <v>46102</v>
      </c>
      <c r="D623" s="21" t="s">
        <v>625</v>
      </c>
      <c r="E623" s="24">
        <v>5.66</v>
      </c>
      <c r="F623" s="24">
        <v>7.43</v>
      </c>
      <c r="G623" s="24">
        <f>E623-F623</f>
        <v>-1.7699999999999996</v>
      </c>
      <c r="H623" s="21" t="s">
        <v>294</v>
      </c>
      <c r="I623" s="21">
        <v>0</v>
      </c>
      <c r="J623" s="21">
        <v>2</v>
      </c>
      <c r="K623" s="21">
        <v>6</v>
      </c>
      <c r="L623" s="21">
        <v>2</v>
      </c>
      <c r="M623" s="21">
        <v>6</v>
      </c>
      <c r="P623" s="24">
        <f>J623+L623+N623</f>
        <v>4</v>
      </c>
      <c r="Q623" s="24">
        <f>K623+M623+O623</f>
        <v>12</v>
      </c>
      <c r="R623" s="24">
        <v>0.25</v>
      </c>
      <c r="S623" s="21" t="s">
        <v>554</v>
      </c>
      <c r="T623" s="21" t="s">
        <v>297</v>
      </c>
      <c r="U623" s="21" t="s">
        <v>292</v>
      </c>
      <c r="V623" s="21" t="s">
        <v>286</v>
      </c>
      <c r="W623" s="21">
        <v>6</v>
      </c>
      <c r="X623" s="21" t="s">
        <v>285</v>
      </c>
      <c r="Y623" s="21" t="s">
        <v>284</v>
      </c>
      <c r="Z623" s="21" t="s">
        <v>283</v>
      </c>
      <c r="AA623" s="21" t="s">
        <v>141</v>
      </c>
      <c r="AB623" s="21">
        <v>1</v>
      </c>
      <c r="AD623" s="24">
        <v>5.95</v>
      </c>
      <c r="AE623" s="24">
        <v>7.43</v>
      </c>
      <c r="AF623" s="21" t="s">
        <v>322</v>
      </c>
      <c r="AG623" s="21" t="s">
        <v>301</v>
      </c>
    </row>
    <row r="624" spans="1:33">
      <c r="A624" s="21" t="s">
        <v>141</v>
      </c>
      <c r="B624" s="21" t="s">
        <v>461</v>
      </c>
      <c r="C624" s="25">
        <v>46106.625</v>
      </c>
      <c r="D624" s="21" t="s">
        <v>504</v>
      </c>
      <c r="E624" s="24">
        <v>5.65</v>
      </c>
      <c r="F624" s="24">
        <v>3.62</v>
      </c>
      <c r="G624" s="24">
        <f>E624-F624</f>
        <v>2.0300000000000002</v>
      </c>
      <c r="H624" s="21" t="s">
        <v>289</v>
      </c>
      <c r="I624" s="21">
        <v>1</v>
      </c>
      <c r="J624" s="21">
        <v>6</v>
      </c>
      <c r="K624" s="21">
        <v>1</v>
      </c>
      <c r="L624" s="21">
        <v>6</v>
      </c>
      <c r="M624" s="21">
        <v>1</v>
      </c>
      <c r="P624" s="24">
        <f>J624+L624+N624</f>
        <v>12</v>
      </c>
      <c r="Q624" s="24">
        <f>K624+M624+O624</f>
        <v>2</v>
      </c>
      <c r="R624" s="24">
        <v>0.8571428571428571</v>
      </c>
      <c r="S624" s="21" t="s">
        <v>466</v>
      </c>
      <c r="U624" s="21" t="s">
        <v>287</v>
      </c>
      <c r="V624" s="21" t="s">
        <v>286</v>
      </c>
      <c r="W624" s="21">
        <v>10</v>
      </c>
      <c r="X624" s="21" t="s">
        <v>285</v>
      </c>
      <c r="Y624" s="21" t="s">
        <v>284</v>
      </c>
      <c r="Z624" s="21" t="s">
        <v>283</v>
      </c>
      <c r="AA624" s="21" t="s">
        <v>141</v>
      </c>
      <c r="AB624" s="21">
        <v>1</v>
      </c>
      <c r="AD624" s="24">
        <v>5.95</v>
      </c>
      <c r="AE624" s="24">
        <v>3.68</v>
      </c>
      <c r="AF624" s="21" t="s">
        <v>322</v>
      </c>
      <c r="AG624" s="21" t="s">
        <v>301</v>
      </c>
    </row>
    <row r="625" spans="1:33">
      <c r="A625" s="21" t="s">
        <v>141</v>
      </c>
      <c r="B625" s="21" t="s">
        <v>461</v>
      </c>
      <c r="C625" s="25">
        <v>46112.645833333336</v>
      </c>
      <c r="D625" s="21" t="s">
        <v>176</v>
      </c>
      <c r="E625" s="24">
        <v>5.65</v>
      </c>
      <c r="F625" s="24">
        <v>6.32</v>
      </c>
      <c r="G625" s="24">
        <f>E625-F625</f>
        <v>-0.66999999999999993</v>
      </c>
      <c r="H625" s="21" t="s">
        <v>289</v>
      </c>
      <c r="I625" s="21">
        <v>1</v>
      </c>
      <c r="J625" s="21">
        <v>6</v>
      </c>
      <c r="K625" s="21">
        <v>0</v>
      </c>
      <c r="L625" s="21">
        <v>6</v>
      </c>
      <c r="M625" s="21">
        <v>0</v>
      </c>
      <c r="P625" s="24">
        <f>J625+L625+N625</f>
        <v>12</v>
      </c>
      <c r="Q625" s="24">
        <f>K625+M625+O625</f>
        <v>0</v>
      </c>
      <c r="R625" s="24">
        <v>1</v>
      </c>
      <c r="S625" s="21" t="s">
        <v>177</v>
      </c>
      <c r="U625" s="21" t="s">
        <v>287</v>
      </c>
      <c r="V625" s="21" t="s">
        <v>286</v>
      </c>
      <c r="W625" s="21">
        <v>11</v>
      </c>
      <c r="X625" s="21" t="s">
        <v>285</v>
      </c>
      <c r="Y625" s="21" t="s">
        <v>284</v>
      </c>
      <c r="Z625" s="21" t="s">
        <v>283</v>
      </c>
      <c r="AA625" s="21" t="s">
        <v>141</v>
      </c>
      <c r="AB625" s="21">
        <v>1</v>
      </c>
      <c r="AD625" s="24">
        <v>5.95</v>
      </c>
      <c r="AE625" s="24">
        <v>6.32</v>
      </c>
      <c r="AF625" s="21" t="s">
        <v>322</v>
      </c>
      <c r="AG625" s="21" t="s">
        <v>301</v>
      </c>
    </row>
    <row r="626" spans="1:33">
      <c r="A626" s="21" t="s">
        <v>141</v>
      </c>
      <c r="B626" s="21" t="s">
        <v>461</v>
      </c>
      <c r="C626" s="25">
        <v>46113.645833333336</v>
      </c>
      <c r="D626" s="21" t="s">
        <v>13</v>
      </c>
      <c r="E626" s="24">
        <v>5.65</v>
      </c>
      <c r="F626" s="24">
        <v>7.18</v>
      </c>
      <c r="G626" s="24">
        <f>E626-F626</f>
        <v>-1.5299999999999994</v>
      </c>
      <c r="H626" s="21" t="s">
        <v>294</v>
      </c>
      <c r="I626" s="21">
        <v>0</v>
      </c>
      <c r="J626" s="21">
        <v>2</v>
      </c>
      <c r="K626" s="21">
        <v>6</v>
      </c>
      <c r="L626" s="21">
        <v>2</v>
      </c>
      <c r="M626" s="21">
        <v>6</v>
      </c>
      <c r="P626" s="24">
        <f>J626+L626+N626</f>
        <v>4</v>
      </c>
      <c r="Q626" s="24">
        <f>K626+M626+O626</f>
        <v>12</v>
      </c>
      <c r="R626" s="24">
        <v>0.25</v>
      </c>
      <c r="S626" s="21" t="s">
        <v>464</v>
      </c>
      <c r="U626" s="21" t="s">
        <v>287</v>
      </c>
      <c r="V626" s="21" t="s">
        <v>286</v>
      </c>
      <c r="W626" s="21">
        <v>12</v>
      </c>
      <c r="X626" s="21" t="s">
        <v>285</v>
      </c>
      <c r="Y626" s="21" t="s">
        <v>284</v>
      </c>
      <c r="Z626" s="21" t="s">
        <v>283</v>
      </c>
      <c r="AA626" s="21" t="s">
        <v>141</v>
      </c>
      <c r="AB626" s="21">
        <v>1</v>
      </c>
      <c r="AD626" s="24">
        <v>5.95</v>
      </c>
      <c r="AE626" s="24">
        <v>7.46</v>
      </c>
      <c r="AF626" s="21" t="s">
        <v>322</v>
      </c>
      <c r="AG626" s="21" t="s">
        <v>301</v>
      </c>
    </row>
    <row r="627" spans="1:33">
      <c r="A627" s="21" t="s">
        <v>141</v>
      </c>
      <c r="B627" s="21" t="s">
        <v>461</v>
      </c>
      <c r="C627" s="25">
        <v>46120.666666666664</v>
      </c>
      <c r="D627" s="21" t="s">
        <v>624</v>
      </c>
      <c r="E627" s="24">
        <v>5.68</v>
      </c>
      <c r="F627" s="24">
        <v>7.69</v>
      </c>
      <c r="G627" s="24">
        <f>E627-F627</f>
        <v>-2.0100000000000007</v>
      </c>
      <c r="H627" s="21" t="s">
        <v>294</v>
      </c>
      <c r="I627" s="21">
        <v>0</v>
      </c>
      <c r="J627" s="21">
        <v>2</v>
      </c>
      <c r="K627" s="21">
        <v>6</v>
      </c>
      <c r="L627" s="21">
        <v>1</v>
      </c>
      <c r="M627" s="21">
        <v>6</v>
      </c>
      <c r="P627" s="24">
        <f>J627+L627+N627</f>
        <v>3</v>
      </c>
      <c r="Q627" s="24">
        <f>K627+M627+O627</f>
        <v>12</v>
      </c>
      <c r="R627" s="24">
        <v>0.2</v>
      </c>
      <c r="S627" s="21" t="s">
        <v>462</v>
      </c>
      <c r="U627" s="21" t="s">
        <v>287</v>
      </c>
      <c r="V627" s="21" t="s">
        <v>286</v>
      </c>
      <c r="W627" s="21">
        <v>13</v>
      </c>
      <c r="X627" s="21" t="s">
        <v>285</v>
      </c>
      <c r="Y627" s="21" t="s">
        <v>284</v>
      </c>
      <c r="Z627" s="21" t="s">
        <v>283</v>
      </c>
      <c r="AA627" s="21" t="s">
        <v>141</v>
      </c>
      <c r="AB627" s="21">
        <v>1</v>
      </c>
      <c r="AD627" s="24">
        <v>5.95</v>
      </c>
      <c r="AE627" s="24">
        <v>7.69</v>
      </c>
      <c r="AF627" s="21" t="s">
        <v>304</v>
      </c>
      <c r="AG627" s="21" t="s">
        <v>303</v>
      </c>
    </row>
    <row r="628" spans="1:33">
      <c r="A628" s="21" t="s">
        <v>141</v>
      </c>
      <c r="B628" s="21" t="s">
        <v>461</v>
      </c>
      <c r="C628" s="25">
        <v>46121.645833333336</v>
      </c>
      <c r="D628" s="21" t="s">
        <v>37</v>
      </c>
      <c r="E628" s="24">
        <v>5.68</v>
      </c>
      <c r="F628" s="24">
        <v>10.09</v>
      </c>
      <c r="G628" s="24">
        <f>E628-F628</f>
        <v>-4.41</v>
      </c>
      <c r="H628" s="21" t="s">
        <v>294</v>
      </c>
      <c r="I628" s="21">
        <v>0</v>
      </c>
      <c r="J628" s="21">
        <v>5</v>
      </c>
      <c r="K628" s="21">
        <v>7</v>
      </c>
      <c r="L628" s="21">
        <v>3</v>
      </c>
      <c r="M628" s="21">
        <v>6</v>
      </c>
      <c r="P628" s="24">
        <f>J628+L628+N628</f>
        <v>8</v>
      </c>
      <c r="Q628" s="24">
        <f>K628+M628+O628</f>
        <v>13</v>
      </c>
      <c r="R628" s="24">
        <v>0.38095238095238093</v>
      </c>
      <c r="S628" s="21" t="s">
        <v>442</v>
      </c>
      <c r="U628" s="21" t="s">
        <v>287</v>
      </c>
      <c r="V628" s="21" t="s">
        <v>286</v>
      </c>
      <c r="W628" s="21">
        <v>14</v>
      </c>
      <c r="X628" s="21" t="s">
        <v>285</v>
      </c>
      <c r="Y628" s="21" t="s">
        <v>284</v>
      </c>
      <c r="Z628" s="21" t="s">
        <v>283</v>
      </c>
      <c r="AA628" s="21" t="s">
        <v>141</v>
      </c>
      <c r="AB628" s="21">
        <v>1</v>
      </c>
      <c r="AD628" s="24">
        <v>5.95</v>
      </c>
      <c r="AE628" s="24">
        <v>10.19</v>
      </c>
      <c r="AF628" s="21" t="s">
        <v>304</v>
      </c>
      <c r="AG628" s="21" t="s">
        <v>303</v>
      </c>
    </row>
    <row r="629" spans="1:33">
      <c r="A629" s="21" t="s">
        <v>141</v>
      </c>
      <c r="B629" s="21" t="s">
        <v>461</v>
      </c>
      <c r="C629" s="25">
        <v>46122.333333333336</v>
      </c>
      <c r="D629" s="21" t="s">
        <v>140</v>
      </c>
      <c r="E629" s="24">
        <v>5.68</v>
      </c>
      <c r="F629" s="24">
        <v>6.43</v>
      </c>
      <c r="G629" s="24">
        <f>E629-F629</f>
        <v>-0.75</v>
      </c>
      <c r="H629" s="21" t="s">
        <v>289</v>
      </c>
      <c r="I629" s="21">
        <v>1</v>
      </c>
      <c r="J629" s="21">
        <v>7</v>
      </c>
      <c r="K629" s="21">
        <v>5</v>
      </c>
      <c r="L629" s="21">
        <v>6</v>
      </c>
      <c r="M629" s="21">
        <v>2</v>
      </c>
      <c r="P629" s="24">
        <f>J629+L629+N629</f>
        <v>13</v>
      </c>
      <c r="Q629" s="24">
        <f>K629+M629+O629</f>
        <v>7</v>
      </c>
      <c r="R629" s="24">
        <v>0.65</v>
      </c>
      <c r="S629" s="21" t="s">
        <v>136</v>
      </c>
      <c r="U629" s="21" t="s">
        <v>287</v>
      </c>
      <c r="V629" s="21" t="s">
        <v>286</v>
      </c>
      <c r="W629" s="21">
        <v>15</v>
      </c>
      <c r="X629" s="21" t="s">
        <v>285</v>
      </c>
      <c r="Y629" s="21" t="s">
        <v>284</v>
      </c>
      <c r="Z629" s="21" t="s">
        <v>283</v>
      </c>
      <c r="AA629" s="21" t="s">
        <v>141</v>
      </c>
      <c r="AB629" s="21">
        <v>1</v>
      </c>
      <c r="AD629" s="24">
        <v>5.95</v>
      </c>
      <c r="AE629" s="24">
        <v>5.74</v>
      </c>
      <c r="AF629" s="21" t="s">
        <v>302</v>
      </c>
      <c r="AG629" s="21" t="s">
        <v>301</v>
      </c>
    </row>
    <row r="630" spans="1:33">
      <c r="A630" s="21" t="s">
        <v>101</v>
      </c>
      <c r="B630" s="21" t="s">
        <v>532</v>
      </c>
      <c r="C630" s="25">
        <v>46091.145833333336</v>
      </c>
      <c r="D630" s="21" t="s">
        <v>170</v>
      </c>
      <c r="E630" s="24">
        <v>5.53</v>
      </c>
      <c r="F630" s="24">
        <v>5.9</v>
      </c>
      <c r="G630" s="24">
        <f>E630-F630</f>
        <v>-0.37000000000000011</v>
      </c>
      <c r="H630" s="21" t="s">
        <v>294</v>
      </c>
      <c r="I630" s="21">
        <v>0</v>
      </c>
      <c r="J630" s="21">
        <v>6</v>
      </c>
      <c r="K630" s="21">
        <v>3</v>
      </c>
      <c r="L630" s="21">
        <v>4</v>
      </c>
      <c r="M630" s="21">
        <v>6</v>
      </c>
      <c r="N630" s="21">
        <v>3</v>
      </c>
      <c r="O630" s="21">
        <v>6</v>
      </c>
      <c r="P630" s="24">
        <f>J630+L630+N630</f>
        <v>13</v>
      </c>
      <c r="Q630" s="24">
        <f>K630+M630+O630</f>
        <v>15</v>
      </c>
      <c r="R630" s="24">
        <v>0.4642857142857143</v>
      </c>
      <c r="S630" s="21" t="s">
        <v>533</v>
      </c>
      <c r="U630" s="21" t="s">
        <v>287</v>
      </c>
      <c r="V630" s="21" t="s">
        <v>286</v>
      </c>
      <c r="W630" s="21">
        <v>0</v>
      </c>
      <c r="X630" s="21" t="s">
        <v>312</v>
      </c>
      <c r="Y630" s="21" t="s">
        <v>603</v>
      </c>
      <c r="Z630" s="21" t="s">
        <v>602</v>
      </c>
      <c r="AA630" s="21" t="s">
        <v>101</v>
      </c>
      <c r="AB630" s="21">
        <v>1</v>
      </c>
      <c r="AD630" s="24">
        <v>5.53</v>
      </c>
      <c r="AE630" s="24">
        <v>5.9</v>
      </c>
      <c r="AF630" s="21" t="s">
        <v>304</v>
      </c>
      <c r="AG630" s="21" t="s">
        <v>341</v>
      </c>
    </row>
    <row r="631" spans="1:33">
      <c r="A631" s="21" t="s">
        <v>101</v>
      </c>
      <c r="B631" s="21" t="s">
        <v>532</v>
      </c>
      <c r="C631" s="25">
        <v>46094.666666666664</v>
      </c>
      <c r="D631" s="21" t="s">
        <v>623</v>
      </c>
      <c r="E631" s="24">
        <v>5.53</v>
      </c>
      <c r="F631" s="24">
        <v>3.97</v>
      </c>
      <c r="G631" s="24">
        <f>E631-F631</f>
        <v>1.56</v>
      </c>
      <c r="H631" s="21" t="s">
        <v>289</v>
      </c>
      <c r="I631" s="21">
        <v>1</v>
      </c>
      <c r="J631" s="21">
        <v>6</v>
      </c>
      <c r="K631" s="21">
        <v>2</v>
      </c>
      <c r="L631" s="21">
        <v>6</v>
      </c>
      <c r="M631" s="21">
        <v>2</v>
      </c>
      <c r="P631" s="24">
        <f>J631+L631+N631</f>
        <v>12</v>
      </c>
      <c r="Q631" s="24">
        <f>K631+M631+O631</f>
        <v>4</v>
      </c>
      <c r="R631" s="24">
        <v>0.75</v>
      </c>
      <c r="S631" s="21" t="s">
        <v>538</v>
      </c>
      <c r="U631" s="21" t="s">
        <v>287</v>
      </c>
      <c r="V631" s="21" t="s">
        <v>286</v>
      </c>
      <c r="W631" s="21">
        <v>1</v>
      </c>
      <c r="X631" s="21" t="s">
        <v>323</v>
      </c>
      <c r="Y631" s="21" t="s">
        <v>603</v>
      </c>
      <c r="Z631" s="21" t="s">
        <v>602</v>
      </c>
      <c r="AA631" s="21" t="s">
        <v>101</v>
      </c>
      <c r="AB631" s="21">
        <v>1</v>
      </c>
      <c r="AC631" s="21" t="s">
        <v>622</v>
      </c>
      <c r="AD631" s="24">
        <v>5.53</v>
      </c>
      <c r="AE631" s="24">
        <v>3.97</v>
      </c>
      <c r="AF631" s="21" t="s">
        <v>302</v>
      </c>
      <c r="AG631" s="21" t="s">
        <v>301</v>
      </c>
    </row>
    <row r="632" spans="1:33">
      <c r="A632" s="21" t="s">
        <v>101</v>
      </c>
      <c r="B632" s="21" t="s">
        <v>532</v>
      </c>
      <c r="C632" s="25">
        <v>46122.333333333336</v>
      </c>
      <c r="D632" s="21" t="s">
        <v>493</v>
      </c>
      <c r="E632" s="24">
        <v>5.53</v>
      </c>
      <c r="F632" s="24">
        <v>2.87</v>
      </c>
      <c r="G632" s="24">
        <f>E632-F632</f>
        <v>2.66</v>
      </c>
      <c r="H632" s="21" t="s">
        <v>289</v>
      </c>
      <c r="I632" s="21">
        <v>1</v>
      </c>
      <c r="J632" s="21">
        <v>6</v>
      </c>
      <c r="K632" s="21">
        <v>2</v>
      </c>
      <c r="L632" s="21">
        <v>6</v>
      </c>
      <c r="M632" s="21">
        <v>2</v>
      </c>
      <c r="P632" s="24">
        <f>J632+L632+N632</f>
        <v>12</v>
      </c>
      <c r="Q632" s="24">
        <f>K632+M632+O632</f>
        <v>4</v>
      </c>
      <c r="R632" s="24">
        <v>0.75</v>
      </c>
      <c r="S632" s="21" t="s">
        <v>392</v>
      </c>
      <c r="U632" s="21" t="s">
        <v>287</v>
      </c>
      <c r="V632" s="21" t="s">
        <v>286</v>
      </c>
      <c r="W632" s="21">
        <v>2</v>
      </c>
      <c r="X632" s="21" t="s">
        <v>310</v>
      </c>
      <c r="Y632" s="21" t="s">
        <v>603</v>
      </c>
      <c r="Z632" s="21" t="s">
        <v>602</v>
      </c>
      <c r="AA632" s="21" t="s">
        <v>101</v>
      </c>
      <c r="AB632" s="21">
        <v>1</v>
      </c>
      <c r="AC632" s="21" t="s">
        <v>621</v>
      </c>
      <c r="AD632" s="24">
        <v>5.53</v>
      </c>
      <c r="AE632" s="24">
        <v>2.87</v>
      </c>
      <c r="AF632" s="21" t="s">
        <v>304</v>
      </c>
      <c r="AG632" s="21" t="s">
        <v>303</v>
      </c>
    </row>
    <row r="633" spans="1:33">
      <c r="A633" s="21" t="s">
        <v>243</v>
      </c>
      <c r="C633" s="25">
        <v>46074</v>
      </c>
      <c r="D633" s="21" t="s">
        <v>539</v>
      </c>
      <c r="E633" s="24">
        <v>8.4700000000000006</v>
      </c>
      <c r="F633" s="24">
        <v>8.01</v>
      </c>
      <c r="G633" s="24">
        <f>E633-F633</f>
        <v>0.46000000000000085</v>
      </c>
      <c r="H633" s="21" t="s">
        <v>289</v>
      </c>
      <c r="I633" s="21">
        <v>1</v>
      </c>
      <c r="J633" s="21">
        <v>6</v>
      </c>
      <c r="K633" s="21">
        <v>1</v>
      </c>
      <c r="L633" s="21">
        <v>6</v>
      </c>
      <c r="M633" s="21">
        <v>1</v>
      </c>
      <c r="P633" s="24">
        <f>J633+L633+N633</f>
        <v>12</v>
      </c>
      <c r="Q633" s="24">
        <f>K633+M633+O633</f>
        <v>2</v>
      </c>
      <c r="R633" s="24">
        <v>0.8571428571428571</v>
      </c>
      <c r="S633" s="21" t="s">
        <v>367</v>
      </c>
      <c r="T633" s="21" t="s">
        <v>297</v>
      </c>
      <c r="U633" s="21" t="s">
        <v>292</v>
      </c>
      <c r="V633" s="21" t="s">
        <v>286</v>
      </c>
      <c r="W633" s="21">
        <v>0</v>
      </c>
      <c r="X633" s="21" t="s">
        <v>312</v>
      </c>
      <c r="Y633" s="21" t="s">
        <v>603</v>
      </c>
      <c r="Z633" s="21" t="s">
        <v>602</v>
      </c>
      <c r="AA633" s="21" t="s">
        <v>243</v>
      </c>
      <c r="AB633" s="21">
        <v>1</v>
      </c>
      <c r="AD633" s="24">
        <v>8.4700000000000006</v>
      </c>
      <c r="AE633" s="24">
        <v>8.01</v>
      </c>
      <c r="AF633" s="21" t="s">
        <v>304</v>
      </c>
      <c r="AG633" s="21" t="s">
        <v>303</v>
      </c>
    </row>
    <row r="634" spans="1:33">
      <c r="A634" s="21" t="s">
        <v>243</v>
      </c>
      <c r="C634" s="25">
        <v>46074.000694444447</v>
      </c>
      <c r="D634" s="21" t="s">
        <v>371</v>
      </c>
      <c r="E634" s="24">
        <v>8.4700000000000006</v>
      </c>
      <c r="F634" s="24">
        <v>9.0399999999999991</v>
      </c>
      <c r="G634" s="24">
        <f>E634-F634</f>
        <v>-0.56999999999999851</v>
      </c>
      <c r="H634" s="21" t="s">
        <v>294</v>
      </c>
      <c r="I634" s="21">
        <v>0</v>
      </c>
      <c r="J634" s="21">
        <v>1</v>
      </c>
      <c r="K634" s="21">
        <v>6</v>
      </c>
      <c r="L634" s="21">
        <v>7</v>
      </c>
      <c r="M634" s="21">
        <v>5</v>
      </c>
      <c r="N634" s="21">
        <v>0</v>
      </c>
      <c r="O634" s="21">
        <v>1</v>
      </c>
      <c r="P634" s="24">
        <f>J634+L634+N634</f>
        <v>8</v>
      </c>
      <c r="Q634" s="24">
        <f>K634+M634+O634</f>
        <v>12</v>
      </c>
      <c r="R634" s="24">
        <v>0.4</v>
      </c>
      <c r="S634" s="21" t="s">
        <v>367</v>
      </c>
      <c r="T634" s="21" t="s">
        <v>295</v>
      </c>
      <c r="U634" s="21" t="s">
        <v>292</v>
      </c>
      <c r="V634" s="21" t="s">
        <v>286</v>
      </c>
      <c r="W634" s="21">
        <v>1</v>
      </c>
      <c r="X634" s="21" t="s">
        <v>323</v>
      </c>
      <c r="Y634" s="21" t="s">
        <v>603</v>
      </c>
      <c r="Z634" s="21" t="s">
        <v>602</v>
      </c>
      <c r="AA634" s="21" t="s">
        <v>243</v>
      </c>
      <c r="AB634" s="21">
        <v>1</v>
      </c>
      <c r="AC634" s="21" t="s">
        <v>620</v>
      </c>
      <c r="AD634" s="24">
        <v>8.4700000000000006</v>
      </c>
      <c r="AE634" s="24">
        <v>9.0399999999999991</v>
      </c>
      <c r="AF634" s="21" t="s">
        <v>304</v>
      </c>
      <c r="AG634" s="21" t="s">
        <v>303</v>
      </c>
    </row>
    <row r="635" spans="1:33">
      <c r="A635" s="21" t="s">
        <v>107</v>
      </c>
      <c r="B635" s="21" t="s">
        <v>613</v>
      </c>
      <c r="C635" s="25">
        <v>46046</v>
      </c>
      <c r="D635" s="21" t="s">
        <v>619</v>
      </c>
      <c r="E635" s="24">
        <v>6.03</v>
      </c>
      <c r="F635" s="24">
        <v>6.13</v>
      </c>
      <c r="G635" s="24">
        <f>E635-F635</f>
        <v>-9.9999999999999645E-2</v>
      </c>
      <c r="H635" s="21" t="s">
        <v>289</v>
      </c>
      <c r="I635" s="21">
        <v>1</v>
      </c>
      <c r="J635" s="21">
        <v>7</v>
      </c>
      <c r="K635" s="21">
        <v>5</v>
      </c>
      <c r="L635" s="21">
        <v>1</v>
      </c>
      <c r="M635" s="21">
        <v>6</v>
      </c>
      <c r="N635" s="21">
        <v>1</v>
      </c>
      <c r="O635" s="21">
        <v>0</v>
      </c>
      <c r="P635" s="24">
        <f>J635+L635+N635</f>
        <v>9</v>
      </c>
      <c r="Q635" s="24">
        <f>K635+M635+O635</f>
        <v>11</v>
      </c>
      <c r="R635" s="24">
        <v>0.88059701492537312</v>
      </c>
      <c r="S635" s="21" t="s">
        <v>617</v>
      </c>
      <c r="T635" s="21" t="s">
        <v>296</v>
      </c>
      <c r="U635" s="21" t="s">
        <v>292</v>
      </c>
      <c r="V635" s="21" t="s">
        <v>286</v>
      </c>
      <c r="W635" s="21">
        <v>0</v>
      </c>
      <c r="X635" s="21" t="s">
        <v>312</v>
      </c>
      <c r="Y635" s="21" t="s">
        <v>284</v>
      </c>
      <c r="Z635" s="21" t="s">
        <v>283</v>
      </c>
      <c r="AA635" s="21" t="s">
        <v>107</v>
      </c>
      <c r="AB635" s="21">
        <v>1</v>
      </c>
      <c r="AD635" s="24">
        <v>6.03</v>
      </c>
      <c r="AE635" s="24">
        <v>6.13</v>
      </c>
      <c r="AF635" s="21" t="s">
        <v>304</v>
      </c>
      <c r="AG635" s="21" t="s">
        <v>303</v>
      </c>
    </row>
    <row r="636" spans="1:33">
      <c r="A636" s="21" t="s">
        <v>107</v>
      </c>
      <c r="B636" s="21" t="s">
        <v>613</v>
      </c>
      <c r="C636" s="25">
        <v>46046</v>
      </c>
      <c r="D636" s="21" t="s">
        <v>618</v>
      </c>
      <c r="E636" s="24">
        <v>6.03</v>
      </c>
      <c r="F636" s="24">
        <v>5.21</v>
      </c>
      <c r="G636" s="24">
        <f>E636-F636</f>
        <v>0.82000000000000028</v>
      </c>
      <c r="H636" s="21" t="s">
        <v>289</v>
      </c>
      <c r="I636" s="21">
        <v>1</v>
      </c>
      <c r="J636" s="21">
        <v>4</v>
      </c>
      <c r="K636" s="21">
        <v>0</v>
      </c>
      <c r="L636" s="21">
        <v>5</v>
      </c>
      <c r="M636" s="21">
        <v>4</v>
      </c>
      <c r="P636" s="24">
        <f>J636+L636+N636</f>
        <v>9</v>
      </c>
      <c r="Q636" s="24">
        <f>K636+M636+O636</f>
        <v>4</v>
      </c>
      <c r="R636" s="24">
        <v>0.57272727272727275</v>
      </c>
      <c r="S636" s="21" t="s">
        <v>617</v>
      </c>
      <c r="T636" s="21" t="s">
        <v>297</v>
      </c>
      <c r="U636" s="21" t="s">
        <v>292</v>
      </c>
      <c r="V636" s="21" t="s">
        <v>286</v>
      </c>
      <c r="W636" s="21">
        <v>0</v>
      </c>
      <c r="X636" s="21" t="s">
        <v>312</v>
      </c>
      <c r="Y636" s="21" t="s">
        <v>284</v>
      </c>
      <c r="Z636" s="21" t="s">
        <v>283</v>
      </c>
      <c r="AA636" s="21" t="s">
        <v>107</v>
      </c>
      <c r="AB636" s="21">
        <v>1</v>
      </c>
      <c r="AD636" s="24">
        <v>6.03</v>
      </c>
      <c r="AE636" s="24">
        <v>5.21</v>
      </c>
      <c r="AF636" s="21" t="s">
        <v>304</v>
      </c>
      <c r="AG636" s="21" t="s">
        <v>303</v>
      </c>
    </row>
    <row r="637" spans="1:33">
      <c r="A637" s="21" t="s">
        <v>107</v>
      </c>
      <c r="B637" s="21" t="s">
        <v>613</v>
      </c>
      <c r="C637" s="25">
        <v>46081</v>
      </c>
      <c r="D637" s="21" t="s">
        <v>616</v>
      </c>
      <c r="E637" s="24">
        <v>6.03</v>
      </c>
      <c r="F637" s="24">
        <v>6.29</v>
      </c>
      <c r="G637" s="24">
        <f>E637-F637</f>
        <v>-0.25999999999999979</v>
      </c>
      <c r="H637" s="21" t="s">
        <v>294</v>
      </c>
      <c r="I637" s="21">
        <v>0</v>
      </c>
      <c r="J637" s="21">
        <v>2</v>
      </c>
      <c r="K637" s="21">
        <v>6</v>
      </c>
      <c r="L637" s="21">
        <v>6</v>
      </c>
      <c r="M637" s="21">
        <v>4</v>
      </c>
      <c r="N637" s="21">
        <v>0</v>
      </c>
      <c r="O637" s="21">
        <v>1</v>
      </c>
      <c r="P637" s="24">
        <f>J637+L637+N637</f>
        <v>8</v>
      </c>
      <c r="Q637" s="24">
        <f>K637+M637+O637</f>
        <v>11</v>
      </c>
      <c r="R637" s="24">
        <v>0.12318840579710146</v>
      </c>
      <c r="S637" s="21" t="s">
        <v>362</v>
      </c>
      <c r="T637" s="21" t="s">
        <v>365</v>
      </c>
      <c r="U637" s="21" t="s">
        <v>292</v>
      </c>
      <c r="V637" s="21" t="s">
        <v>286</v>
      </c>
      <c r="W637" s="21">
        <v>2</v>
      </c>
      <c r="X637" s="21" t="s">
        <v>310</v>
      </c>
      <c r="Y637" s="21" t="s">
        <v>284</v>
      </c>
      <c r="Z637" s="21" t="s">
        <v>283</v>
      </c>
      <c r="AA637" s="21" t="s">
        <v>107</v>
      </c>
      <c r="AB637" s="21">
        <v>1</v>
      </c>
      <c r="AD637" s="24">
        <v>6.03</v>
      </c>
      <c r="AE637" s="24">
        <v>6.29</v>
      </c>
      <c r="AF637" s="21" t="s">
        <v>304</v>
      </c>
      <c r="AG637" s="21" t="s">
        <v>303</v>
      </c>
    </row>
    <row r="638" spans="1:33">
      <c r="A638" s="21" t="s">
        <v>107</v>
      </c>
      <c r="B638" s="21" t="s">
        <v>613</v>
      </c>
      <c r="C638" s="25">
        <v>46081</v>
      </c>
      <c r="D638" s="21" t="s">
        <v>615</v>
      </c>
      <c r="E638" s="24">
        <v>6.03</v>
      </c>
      <c r="F638" s="24">
        <v>5.23</v>
      </c>
      <c r="G638" s="24">
        <f>E638-F638</f>
        <v>0.79999999999999982</v>
      </c>
      <c r="H638" s="21" t="s">
        <v>289</v>
      </c>
      <c r="I638" s="21">
        <v>1</v>
      </c>
      <c r="J638" s="21">
        <v>6</v>
      </c>
      <c r="K638" s="21">
        <v>2</v>
      </c>
      <c r="L638" s="21">
        <v>6</v>
      </c>
      <c r="M638" s="21">
        <v>1</v>
      </c>
      <c r="P638" s="24">
        <f>J638+L638+N638</f>
        <v>12</v>
      </c>
      <c r="Q638" s="24">
        <f>K638+M638+O638</f>
        <v>3</v>
      </c>
      <c r="R638" s="24">
        <v>0.8</v>
      </c>
      <c r="S638" s="21" t="s">
        <v>362</v>
      </c>
      <c r="U638" s="21" t="s">
        <v>292</v>
      </c>
      <c r="V638" s="21" t="s">
        <v>286</v>
      </c>
      <c r="W638" s="21">
        <v>2</v>
      </c>
      <c r="X638" s="21" t="s">
        <v>310</v>
      </c>
      <c r="Y638" s="21" t="s">
        <v>284</v>
      </c>
      <c r="Z638" s="21" t="s">
        <v>283</v>
      </c>
      <c r="AA638" s="21" t="s">
        <v>107</v>
      </c>
      <c r="AB638" s="21">
        <v>1</v>
      </c>
      <c r="AD638" s="24">
        <v>6.03</v>
      </c>
      <c r="AE638" s="24">
        <v>5.23</v>
      </c>
      <c r="AF638" s="21" t="s">
        <v>304</v>
      </c>
      <c r="AG638" s="21" t="s">
        <v>303</v>
      </c>
    </row>
    <row r="639" spans="1:33">
      <c r="A639" s="21" t="s">
        <v>107</v>
      </c>
      <c r="B639" s="21" t="s">
        <v>613</v>
      </c>
      <c r="C639" s="25">
        <v>46105.645833333336</v>
      </c>
      <c r="D639" s="21" t="s">
        <v>65</v>
      </c>
      <c r="E639" s="24">
        <v>5.7</v>
      </c>
      <c r="F639" s="24">
        <v>6.58</v>
      </c>
      <c r="G639" s="24">
        <f>E639-F639</f>
        <v>-0.87999999999999989</v>
      </c>
      <c r="H639" s="21" t="s">
        <v>294</v>
      </c>
      <c r="I639" s="21">
        <v>0</v>
      </c>
      <c r="J639" s="21">
        <v>6</v>
      </c>
      <c r="K639" s="21">
        <v>4</v>
      </c>
      <c r="L639" s="21">
        <v>2</v>
      </c>
      <c r="M639" s="21">
        <v>6</v>
      </c>
      <c r="N639" s="21">
        <v>1</v>
      </c>
      <c r="O639" s="21">
        <v>6</v>
      </c>
      <c r="P639" s="24">
        <f>J639+L639+N639</f>
        <v>9</v>
      </c>
      <c r="Q639" s="24">
        <f>K639+M639+O639</f>
        <v>16</v>
      </c>
      <c r="R639" s="24">
        <v>0.36</v>
      </c>
      <c r="S639" s="21" t="s">
        <v>217</v>
      </c>
      <c r="U639" s="21" t="s">
        <v>287</v>
      </c>
      <c r="V639" s="21" t="s">
        <v>286</v>
      </c>
      <c r="W639" s="21">
        <v>4</v>
      </c>
      <c r="X639" s="21" t="s">
        <v>285</v>
      </c>
      <c r="Y639" s="21" t="s">
        <v>284</v>
      </c>
      <c r="Z639" s="21" t="s">
        <v>283</v>
      </c>
      <c r="AA639" s="21" t="s">
        <v>107</v>
      </c>
      <c r="AB639" s="21">
        <v>1</v>
      </c>
      <c r="AD639" s="24">
        <v>6.03</v>
      </c>
      <c r="AE639" s="24">
        <v>8.08</v>
      </c>
      <c r="AF639" s="21" t="s">
        <v>304</v>
      </c>
      <c r="AG639" s="21" t="s">
        <v>303</v>
      </c>
    </row>
    <row r="640" spans="1:33">
      <c r="A640" s="21" t="s">
        <v>107</v>
      </c>
      <c r="B640" s="21" t="s">
        <v>613</v>
      </c>
      <c r="C640" s="25">
        <v>46106.645833333336</v>
      </c>
      <c r="D640" s="21" t="s">
        <v>155</v>
      </c>
      <c r="E640" s="24">
        <v>5.7</v>
      </c>
      <c r="F640" s="24">
        <v>4.6900000000000004</v>
      </c>
      <c r="G640" s="24">
        <f>E640-F640</f>
        <v>1.0099999999999998</v>
      </c>
      <c r="H640" s="21" t="s">
        <v>289</v>
      </c>
      <c r="I640" s="21">
        <v>1</v>
      </c>
      <c r="J640" s="21">
        <v>6</v>
      </c>
      <c r="K640" s="21">
        <v>1</v>
      </c>
      <c r="L640" s="21">
        <v>6</v>
      </c>
      <c r="M640" s="21">
        <v>0</v>
      </c>
      <c r="P640" s="24">
        <f>J640+L640+N640</f>
        <v>12</v>
      </c>
      <c r="Q640" s="24">
        <f>K640+M640+O640</f>
        <v>1</v>
      </c>
      <c r="R640" s="24">
        <v>0.92307692307692313</v>
      </c>
      <c r="S640" s="21" t="s">
        <v>344</v>
      </c>
      <c r="U640" s="21" t="s">
        <v>287</v>
      </c>
      <c r="V640" s="21" t="s">
        <v>286</v>
      </c>
      <c r="W640" s="21">
        <v>6</v>
      </c>
      <c r="X640" s="21" t="s">
        <v>285</v>
      </c>
      <c r="Y640" s="21" t="s">
        <v>284</v>
      </c>
      <c r="Z640" s="21" t="s">
        <v>283</v>
      </c>
      <c r="AA640" s="21" t="s">
        <v>107</v>
      </c>
      <c r="AB640" s="21">
        <v>1</v>
      </c>
      <c r="AD640" s="24">
        <v>6.03</v>
      </c>
      <c r="AE640" s="24">
        <v>4.6900000000000004</v>
      </c>
      <c r="AF640" s="21" t="s">
        <v>304</v>
      </c>
      <c r="AG640" s="21" t="s">
        <v>303</v>
      </c>
    </row>
    <row r="641" spans="1:33">
      <c r="A641" s="21" t="s">
        <v>107</v>
      </c>
      <c r="B641" s="21" t="s">
        <v>613</v>
      </c>
      <c r="C641" s="25">
        <v>46111.458333333336</v>
      </c>
      <c r="D641" s="21" t="s">
        <v>184</v>
      </c>
      <c r="E641" s="24">
        <v>5.7</v>
      </c>
      <c r="F641" s="24">
        <v>4.38</v>
      </c>
      <c r="G641" s="24">
        <f>E641-F641</f>
        <v>1.3200000000000003</v>
      </c>
      <c r="H641" s="21" t="s">
        <v>289</v>
      </c>
      <c r="I641" s="21">
        <v>1</v>
      </c>
      <c r="J641" s="21">
        <v>6</v>
      </c>
      <c r="K641" s="21">
        <v>1</v>
      </c>
      <c r="L641" s="21">
        <v>6</v>
      </c>
      <c r="M641" s="21">
        <v>2</v>
      </c>
      <c r="P641" s="24">
        <f>J641+L641+N641</f>
        <v>12</v>
      </c>
      <c r="Q641" s="24">
        <f>K641+M641+O641</f>
        <v>3</v>
      </c>
      <c r="R641" s="24">
        <v>0.8</v>
      </c>
      <c r="S641" s="21" t="s">
        <v>185</v>
      </c>
      <c r="U641" s="21" t="s">
        <v>287</v>
      </c>
      <c r="V641" s="21" t="s">
        <v>286</v>
      </c>
      <c r="W641" s="21">
        <v>7</v>
      </c>
      <c r="X641" s="21" t="s">
        <v>285</v>
      </c>
      <c r="Y641" s="21" t="s">
        <v>284</v>
      </c>
      <c r="Z641" s="21" t="s">
        <v>283</v>
      </c>
      <c r="AA641" s="21" t="s">
        <v>107</v>
      </c>
      <c r="AB641" s="21">
        <v>1</v>
      </c>
      <c r="AD641" s="24">
        <v>6.03</v>
      </c>
      <c r="AE641" s="24">
        <v>4.84</v>
      </c>
      <c r="AF641" s="21" t="s">
        <v>322</v>
      </c>
      <c r="AG641" s="21" t="s">
        <v>301</v>
      </c>
    </row>
    <row r="642" spans="1:33">
      <c r="A642" s="21" t="s">
        <v>107</v>
      </c>
      <c r="B642" s="21" t="s">
        <v>613</v>
      </c>
      <c r="C642" s="25">
        <v>46111.645833333336</v>
      </c>
      <c r="D642" s="21" t="s">
        <v>309</v>
      </c>
      <c r="E642" s="24">
        <v>5.7</v>
      </c>
      <c r="F642" s="24">
        <v>3.86</v>
      </c>
      <c r="G642" s="24">
        <f>E642-F642</f>
        <v>1.8400000000000003</v>
      </c>
      <c r="H642" s="21" t="s">
        <v>289</v>
      </c>
      <c r="I642" s="21">
        <v>1</v>
      </c>
      <c r="J642" s="21">
        <v>6</v>
      </c>
      <c r="K642" s="21">
        <v>7</v>
      </c>
      <c r="L642" s="21">
        <v>6</v>
      </c>
      <c r="M642" s="21">
        <v>1</v>
      </c>
      <c r="N642" s="21">
        <v>6</v>
      </c>
      <c r="O642" s="21">
        <v>0</v>
      </c>
      <c r="P642" s="24">
        <f>J642+L642+N642</f>
        <v>18</v>
      </c>
      <c r="Q642" s="24">
        <f>K642+M642+O642</f>
        <v>8</v>
      </c>
      <c r="R642" s="24">
        <v>0.49677419354838709</v>
      </c>
      <c r="S642" s="21" t="s">
        <v>614</v>
      </c>
      <c r="U642" s="21" t="s">
        <v>287</v>
      </c>
      <c r="V642" s="21" t="s">
        <v>286</v>
      </c>
      <c r="W642" s="21">
        <v>8</v>
      </c>
      <c r="X642" s="21" t="s">
        <v>285</v>
      </c>
      <c r="Y642" s="21" t="s">
        <v>284</v>
      </c>
      <c r="Z642" s="21" t="s">
        <v>283</v>
      </c>
      <c r="AA642" s="21" t="s">
        <v>107</v>
      </c>
      <c r="AB642" s="21">
        <v>1</v>
      </c>
      <c r="AD642" s="24">
        <v>6.03</v>
      </c>
      <c r="AE642" s="24">
        <v>3.86</v>
      </c>
      <c r="AF642" s="21" t="s">
        <v>322</v>
      </c>
      <c r="AG642" s="21" t="s">
        <v>301</v>
      </c>
    </row>
    <row r="643" spans="1:33">
      <c r="A643" s="21" t="s">
        <v>107</v>
      </c>
      <c r="B643" s="21" t="s">
        <v>613</v>
      </c>
      <c r="C643" s="25">
        <v>46119.645833333336</v>
      </c>
      <c r="D643" s="21" t="s">
        <v>143</v>
      </c>
      <c r="E643" s="24">
        <v>5.68</v>
      </c>
      <c r="F643" s="24">
        <v>6.48</v>
      </c>
      <c r="G643" s="24">
        <f>E643-F643</f>
        <v>-0.80000000000000071</v>
      </c>
      <c r="H643" s="21" t="s">
        <v>294</v>
      </c>
      <c r="I643" s="21">
        <v>0</v>
      </c>
      <c r="J643" s="21">
        <v>3</v>
      </c>
      <c r="K643" s="21">
        <v>6</v>
      </c>
      <c r="L643" s="21">
        <v>0</v>
      </c>
      <c r="M643" s="21">
        <v>6</v>
      </c>
      <c r="P643" s="24">
        <f>J643+L643+N643</f>
        <v>3</v>
      </c>
      <c r="Q643" s="24">
        <f>K643+M643+O643</f>
        <v>12</v>
      </c>
      <c r="R643" s="24">
        <v>0.2</v>
      </c>
      <c r="S643" s="21" t="s">
        <v>158</v>
      </c>
      <c r="U643" s="21" t="s">
        <v>287</v>
      </c>
      <c r="V643" s="21" t="s">
        <v>286</v>
      </c>
      <c r="W643" s="21">
        <v>9</v>
      </c>
      <c r="X643" s="21" t="s">
        <v>285</v>
      </c>
      <c r="Y643" s="21" t="s">
        <v>284</v>
      </c>
      <c r="Z643" s="21" t="s">
        <v>283</v>
      </c>
      <c r="AA643" s="21" t="s">
        <v>107</v>
      </c>
      <c r="AB643" s="21">
        <v>1</v>
      </c>
      <c r="AD643" s="24">
        <v>6.03</v>
      </c>
      <c r="AE643" s="24">
        <v>7.44</v>
      </c>
      <c r="AF643" s="21" t="s">
        <v>322</v>
      </c>
      <c r="AG643" s="21" t="s">
        <v>301</v>
      </c>
    </row>
    <row r="644" spans="1:33">
      <c r="A644" s="21" t="s">
        <v>107</v>
      </c>
      <c r="B644" s="21" t="s">
        <v>613</v>
      </c>
      <c r="C644" s="25">
        <v>46120.645833333336</v>
      </c>
      <c r="D644" s="21" t="s">
        <v>228</v>
      </c>
      <c r="E644" s="24">
        <v>5.68</v>
      </c>
      <c r="F644" s="24">
        <v>9.08</v>
      </c>
      <c r="G644" s="24">
        <f>E644-F644</f>
        <v>-3.4000000000000004</v>
      </c>
      <c r="H644" s="21" t="s">
        <v>294</v>
      </c>
      <c r="I644" s="21">
        <v>0</v>
      </c>
      <c r="J644" s="21">
        <v>0</v>
      </c>
      <c r="K644" s="21">
        <v>6</v>
      </c>
      <c r="L644" s="21">
        <v>1</v>
      </c>
      <c r="M644" s="21">
        <v>6</v>
      </c>
      <c r="P644" s="24">
        <f>J644+L644+N644</f>
        <v>1</v>
      </c>
      <c r="Q644" s="24">
        <f>K644+M644+O644</f>
        <v>12</v>
      </c>
      <c r="R644" s="24">
        <v>7.6923076923076927E-2</v>
      </c>
      <c r="S644" s="21" t="s">
        <v>330</v>
      </c>
      <c r="U644" s="21" t="s">
        <v>287</v>
      </c>
      <c r="V644" s="21" t="s">
        <v>286</v>
      </c>
      <c r="W644" s="21">
        <v>10</v>
      </c>
      <c r="X644" s="21" t="s">
        <v>285</v>
      </c>
      <c r="Y644" s="21" t="s">
        <v>284</v>
      </c>
      <c r="Z644" s="21" t="s">
        <v>283</v>
      </c>
      <c r="AA644" s="21" t="s">
        <v>107</v>
      </c>
      <c r="AB644" s="21">
        <v>1</v>
      </c>
      <c r="AD644" s="24">
        <v>6.03</v>
      </c>
      <c r="AE644" s="24">
        <v>8.81</v>
      </c>
      <c r="AF644" s="21" t="s">
        <v>322</v>
      </c>
      <c r="AG644" s="21" t="s">
        <v>301</v>
      </c>
    </row>
    <row r="645" spans="1:33">
      <c r="A645" s="21" t="s">
        <v>107</v>
      </c>
      <c r="B645" s="21" t="s">
        <v>613</v>
      </c>
      <c r="C645" s="25">
        <v>46125.645833333336</v>
      </c>
      <c r="D645" s="21" t="s">
        <v>124</v>
      </c>
      <c r="E645" s="24">
        <v>5.68</v>
      </c>
      <c r="F645" s="24">
        <v>5.32</v>
      </c>
      <c r="G645" s="24">
        <f>E645-F645</f>
        <v>0.35999999999999943</v>
      </c>
      <c r="H645" s="21" t="s">
        <v>289</v>
      </c>
      <c r="I645" s="21">
        <v>1</v>
      </c>
      <c r="J645" s="21">
        <v>1</v>
      </c>
      <c r="K645" s="21">
        <v>6</v>
      </c>
      <c r="L645" s="21">
        <v>7</v>
      </c>
      <c r="M645" s="21">
        <v>6</v>
      </c>
      <c r="N645" s="21">
        <v>1</v>
      </c>
      <c r="O645" s="21">
        <v>0</v>
      </c>
      <c r="P645" s="24">
        <f>J645+L645+N645</f>
        <v>9</v>
      </c>
      <c r="Q645" s="24">
        <f>K645+M645+O645</f>
        <v>12</v>
      </c>
      <c r="R645" s="24">
        <v>0.85005393743257818</v>
      </c>
      <c r="S645" s="21" t="s">
        <v>125</v>
      </c>
      <c r="U645" s="21" t="s">
        <v>287</v>
      </c>
      <c r="V645" s="21" t="s">
        <v>286</v>
      </c>
      <c r="W645" s="21">
        <v>11</v>
      </c>
      <c r="X645" s="21" t="s">
        <v>285</v>
      </c>
      <c r="Y645" s="21" t="s">
        <v>284</v>
      </c>
      <c r="Z645" s="21" t="s">
        <v>283</v>
      </c>
      <c r="AA645" s="21" t="s">
        <v>107</v>
      </c>
      <c r="AB645" s="21">
        <v>1</v>
      </c>
      <c r="AD645" s="24">
        <v>6.03</v>
      </c>
      <c r="AE645" s="24">
        <v>6.19</v>
      </c>
      <c r="AF645" s="21" t="s">
        <v>302</v>
      </c>
      <c r="AG645" s="21" t="s">
        <v>301</v>
      </c>
    </row>
    <row r="646" spans="1:33">
      <c r="A646" s="21" t="s">
        <v>107</v>
      </c>
      <c r="B646" s="21" t="s">
        <v>613</v>
      </c>
      <c r="C646" s="25">
        <v>46126.645833333336</v>
      </c>
      <c r="D646" s="21" t="s">
        <v>61</v>
      </c>
      <c r="E646" s="24">
        <v>5.63</v>
      </c>
      <c r="F646" s="24">
        <v>6.31</v>
      </c>
      <c r="G646" s="24">
        <f>E646-F646</f>
        <v>-0.67999999999999972</v>
      </c>
      <c r="H646" s="21" t="s">
        <v>294</v>
      </c>
      <c r="I646" s="21">
        <v>0</v>
      </c>
      <c r="J646" s="21">
        <v>2</v>
      </c>
      <c r="K646" s="21">
        <v>6</v>
      </c>
      <c r="L646" s="21">
        <v>2</v>
      </c>
      <c r="M646" s="21">
        <v>6</v>
      </c>
      <c r="P646" s="24">
        <f>J646+L646+N646</f>
        <v>4</v>
      </c>
      <c r="Q646" s="24">
        <f>K646+M646+O646</f>
        <v>12</v>
      </c>
      <c r="R646" s="24">
        <v>0.25</v>
      </c>
      <c r="S646" s="21" t="s">
        <v>108</v>
      </c>
      <c r="U646" s="21" t="s">
        <v>287</v>
      </c>
      <c r="V646" s="21" t="s">
        <v>286</v>
      </c>
      <c r="W646" s="21">
        <v>12</v>
      </c>
      <c r="X646" s="21" t="s">
        <v>285</v>
      </c>
      <c r="Y646" s="21" t="s">
        <v>284</v>
      </c>
      <c r="Z646" s="21" t="s">
        <v>283</v>
      </c>
      <c r="AA646" s="21" t="s">
        <v>107</v>
      </c>
      <c r="AB646" s="21">
        <v>1</v>
      </c>
      <c r="AD646" s="24">
        <v>6.03</v>
      </c>
      <c r="AE646" s="24">
        <v>6.96</v>
      </c>
      <c r="AF646" s="21" t="s">
        <v>302</v>
      </c>
      <c r="AG646" s="21" t="s">
        <v>301</v>
      </c>
    </row>
    <row r="647" spans="1:33">
      <c r="A647" s="21" t="s">
        <v>107</v>
      </c>
      <c r="B647" s="21" t="s">
        <v>613</v>
      </c>
      <c r="C647" s="25">
        <v>46127.645833333336</v>
      </c>
      <c r="D647" s="21" t="s">
        <v>10</v>
      </c>
      <c r="E647" s="24">
        <v>5.63</v>
      </c>
      <c r="F647" s="24">
        <v>6.92</v>
      </c>
      <c r="G647" s="24">
        <f>E647-F647</f>
        <v>-1.29</v>
      </c>
      <c r="H647" s="21" t="s">
        <v>289</v>
      </c>
      <c r="I647" s="21">
        <v>1</v>
      </c>
      <c r="J647" s="21">
        <v>6</v>
      </c>
      <c r="K647" s="21">
        <v>2</v>
      </c>
      <c r="L647" s="21">
        <v>6</v>
      </c>
      <c r="M647" s="21">
        <v>4</v>
      </c>
      <c r="P647" s="24">
        <f>J647+L647+N647</f>
        <v>12</v>
      </c>
      <c r="Q647" s="24">
        <f>K647+M647+O647</f>
        <v>6</v>
      </c>
      <c r="R647" s="24">
        <v>0.66666666666666663</v>
      </c>
      <c r="S647" s="21" t="s">
        <v>586</v>
      </c>
      <c r="U647" s="21" t="s">
        <v>287</v>
      </c>
      <c r="V647" s="21" t="s">
        <v>286</v>
      </c>
      <c r="W647" s="21">
        <v>13</v>
      </c>
      <c r="X647" s="21" t="s">
        <v>285</v>
      </c>
      <c r="Y647" s="21" t="s">
        <v>284</v>
      </c>
      <c r="Z647" s="21" t="s">
        <v>283</v>
      </c>
      <c r="AA647" s="21" t="s">
        <v>107</v>
      </c>
      <c r="AB647" s="21">
        <v>1</v>
      </c>
      <c r="AD647" s="24">
        <v>6.03</v>
      </c>
      <c r="AE647" s="24">
        <v>6.85</v>
      </c>
      <c r="AF647" s="21" t="s">
        <v>304</v>
      </c>
      <c r="AG647" s="21" t="s">
        <v>303</v>
      </c>
    </row>
    <row r="648" spans="1:33">
      <c r="A648" s="21" t="s">
        <v>107</v>
      </c>
      <c r="B648" s="21" t="s">
        <v>613</v>
      </c>
      <c r="C648" s="25">
        <v>46131.779166666667</v>
      </c>
      <c r="D648" s="21" t="s">
        <v>2</v>
      </c>
      <c r="E648" s="24">
        <v>5.63</v>
      </c>
      <c r="F648" s="24">
        <v>7.56</v>
      </c>
      <c r="G648" s="24">
        <f>E648-F648</f>
        <v>-1.9299999999999997</v>
      </c>
      <c r="H648" s="21" t="s">
        <v>289</v>
      </c>
      <c r="I648" s="21">
        <v>1</v>
      </c>
      <c r="J648" s="21">
        <v>6</v>
      </c>
      <c r="K648" s="21">
        <v>4</v>
      </c>
      <c r="L648" s="21">
        <v>6</v>
      </c>
      <c r="M648" s="21">
        <v>3</v>
      </c>
      <c r="P648" s="24">
        <f>J648+L648+N648</f>
        <v>12</v>
      </c>
      <c r="Q648" s="24">
        <f>K648+M648+O648</f>
        <v>7</v>
      </c>
      <c r="R648" s="24">
        <v>0.63157894736842102</v>
      </c>
      <c r="S648" s="21" t="s">
        <v>59</v>
      </c>
      <c r="U648" s="21" t="s">
        <v>287</v>
      </c>
      <c r="V648" s="21" t="s">
        <v>286</v>
      </c>
      <c r="W648" s="21">
        <v>14</v>
      </c>
      <c r="X648" s="21" t="s">
        <v>285</v>
      </c>
      <c r="Y648" s="21" t="s">
        <v>284</v>
      </c>
      <c r="Z648" s="21" t="s">
        <v>283</v>
      </c>
      <c r="AA648" s="21" t="s">
        <v>107</v>
      </c>
      <c r="AB648" s="21">
        <v>1</v>
      </c>
      <c r="AD648" s="24">
        <v>6.03</v>
      </c>
      <c r="AE648" s="24">
        <v>7.09</v>
      </c>
      <c r="AF648" s="21" t="s">
        <v>304</v>
      </c>
      <c r="AG648" s="21" t="s">
        <v>303</v>
      </c>
    </row>
    <row r="649" spans="1:33">
      <c r="A649" s="21" t="s">
        <v>107</v>
      </c>
      <c r="B649" s="21" t="s">
        <v>613</v>
      </c>
      <c r="C649" s="25">
        <v>46131.780555555553</v>
      </c>
      <c r="D649" s="21" t="s">
        <v>65</v>
      </c>
      <c r="E649" s="24">
        <v>5.63</v>
      </c>
      <c r="F649" s="24">
        <v>7.3</v>
      </c>
      <c r="G649" s="24">
        <f>E649-F649</f>
        <v>-1.67</v>
      </c>
      <c r="H649" s="21" t="s">
        <v>294</v>
      </c>
      <c r="I649" s="21">
        <v>0</v>
      </c>
      <c r="J649" s="21">
        <v>5</v>
      </c>
      <c r="K649" s="21">
        <v>7</v>
      </c>
      <c r="L649" s="21">
        <v>3</v>
      </c>
      <c r="M649" s="21">
        <v>6</v>
      </c>
      <c r="P649" s="24">
        <f>J649+L649+N649</f>
        <v>8</v>
      </c>
      <c r="Q649" s="24">
        <f>K649+M649+O649</f>
        <v>13</v>
      </c>
      <c r="R649" s="24">
        <v>0.38095238095238093</v>
      </c>
      <c r="S649" s="21" t="s">
        <v>59</v>
      </c>
      <c r="U649" s="21" t="s">
        <v>287</v>
      </c>
      <c r="V649" s="21" t="s">
        <v>286</v>
      </c>
      <c r="W649" s="21">
        <v>15</v>
      </c>
      <c r="X649" s="21" t="s">
        <v>285</v>
      </c>
      <c r="Y649" s="21" t="s">
        <v>284</v>
      </c>
      <c r="Z649" s="21" t="s">
        <v>283</v>
      </c>
      <c r="AA649" s="21" t="s">
        <v>107</v>
      </c>
      <c r="AB649" s="21">
        <v>1</v>
      </c>
      <c r="AD649" s="24">
        <v>6.03</v>
      </c>
      <c r="AE649" s="24">
        <v>8.08</v>
      </c>
      <c r="AF649" s="21" t="s">
        <v>304</v>
      </c>
      <c r="AG649" s="21" t="s">
        <v>341</v>
      </c>
    </row>
    <row r="650" spans="1:33">
      <c r="A650" s="21" t="s">
        <v>107</v>
      </c>
      <c r="B650" s="21" t="s">
        <v>613</v>
      </c>
      <c r="C650" s="25">
        <v>46131.782638888886</v>
      </c>
      <c r="D650" s="21" t="s">
        <v>10</v>
      </c>
      <c r="E650" s="24">
        <v>5.63</v>
      </c>
      <c r="F650" s="24">
        <v>6.92</v>
      </c>
      <c r="G650" s="24">
        <f>E650-F650</f>
        <v>-1.29</v>
      </c>
      <c r="H650" s="21" t="s">
        <v>294</v>
      </c>
      <c r="I650" s="21">
        <v>0</v>
      </c>
      <c r="J650" s="21">
        <v>6</v>
      </c>
      <c r="K650" s="21">
        <v>7</v>
      </c>
      <c r="L650" s="21">
        <v>0</v>
      </c>
      <c r="M650" s="21">
        <v>6</v>
      </c>
      <c r="P650" s="24">
        <f>J650+L650+N650</f>
        <v>6</v>
      </c>
      <c r="Q650" s="24">
        <f>K650+M650+O650</f>
        <v>13</v>
      </c>
      <c r="R650" s="24">
        <v>0.4315068493150685</v>
      </c>
      <c r="S650" s="21" t="s">
        <v>59</v>
      </c>
      <c r="U650" s="21" t="s">
        <v>287</v>
      </c>
      <c r="V650" s="21" t="s">
        <v>286</v>
      </c>
      <c r="W650" s="21">
        <v>16</v>
      </c>
      <c r="X650" s="21" t="s">
        <v>285</v>
      </c>
      <c r="Y650" s="21" t="s">
        <v>284</v>
      </c>
      <c r="Z650" s="21" t="s">
        <v>283</v>
      </c>
      <c r="AA650" s="21" t="s">
        <v>107</v>
      </c>
      <c r="AB650" s="21">
        <v>1</v>
      </c>
      <c r="AD650" s="24">
        <v>6.03</v>
      </c>
      <c r="AE650" s="24">
        <v>6.85</v>
      </c>
      <c r="AF650" s="21" t="s">
        <v>304</v>
      </c>
      <c r="AG650" s="21" t="s">
        <v>341</v>
      </c>
    </row>
    <row r="651" spans="1:33">
      <c r="A651" s="21" t="s">
        <v>107</v>
      </c>
      <c r="B651" s="21" t="s">
        <v>613</v>
      </c>
      <c r="C651" s="25">
        <v>46134.645833333336</v>
      </c>
      <c r="D651" s="21" t="s">
        <v>28</v>
      </c>
      <c r="E651" s="24">
        <v>5.55</v>
      </c>
      <c r="F651" s="24">
        <v>8.32</v>
      </c>
      <c r="G651" s="24">
        <f>E651-F651</f>
        <v>-2.7700000000000005</v>
      </c>
      <c r="H651" s="21" t="s">
        <v>294</v>
      </c>
      <c r="I651" s="21">
        <v>0</v>
      </c>
      <c r="J651" s="21">
        <v>0</v>
      </c>
      <c r="K651" s="21">
        <v>6</v>
      </c>
      <c r="L651" s="21">
        <v>0</v>
      </c>
      <c r="M651" s="21">
        <v>6</v>
      </c>
      <c r="P651" s="24">
        <f>J651+L651+N651</f>
        <v>0</v>
      </c>
      <c r="Q651" s="24">
        <f>K651+M651+O651</f>
        <v>12</v>
      </c>
      <c r="R651" s="24">
        <v>0</v>
      </c>
      <c r="S651" s="21" t="s">
        <v>59</v>
      </c>
      <c r="U651" s="21" t="s">
        <v>287</v>
      </c>
      <c r="V651" s="21" t="s">
        <v>286</v>
      </c>
      <c r="W651" s="21">
        <v>17</v>
      </c>
      <c r="X651" s="21" t="s">
        <v>285</v>
      </c>
      <c r="Y651" s="21" t="s">
        <v>284</v>
      </c>
      <c r="Z651" s="21" t="s">
        <v>283</v>
      </c>
      <c r="AA651" s="21" t="s">
        <v>107</v>
      </c>
      <c r="AB651" s="21">
        <v>1</v>
      </c>
      <c r="AD651" s="24">
        <v>6.03</v>
      </c>
      <c r="AE651" s="24">
        <v>8.4700000000000006</v>
      </c>
      <c r="AF651" s="21" t="s">
        <v>304</v>
      </c>
      <c r="AG651" s="21" t="s">
        <v>341</v>
      </c>
    </row>
    <row r="652" spans="1:33">
      <c r="A652" s="21" t="s">
        <v>235</v>
      </c>
      <c r="B652" s="21" t="s">
        <v>608</v>
      </c>
      <c r="C652" s="25">
        <v>46018</v>
      </c>
      <c r="D652" s="21" t="s">
        <v>364</v>
      </c>
      <c r="E652" s="24">
        <v>8.07</v>
      </c>
      <c r="F652" s="24">
        <v>7.3</v>
      </c>
      <c r="G652" s="24">
        <f>E652-F652</f>
        <v>0.77000000000000046</v>
      </c>
      <c r="H652" s="21" t="s">
        <v>289</v>
      </c>
      <c r="I652" s="21">
        <v>1</v>
      </c>
      <c r="J652" s="21">
        <v>6</v>
      </c>
      <c r="K652" s="21">
        <v>4</v>
      </c>
      <c r="L652" s="21">
        <v>6</v>
      </c>
      <c r="M652" s="21">
        <v>1</v>
      </c>
      <c r="P652" s="24">
        <f>J652+L652+N652</f>
        <v>12</v>
      </c>
      <c r="Q652" s="24">
        <f>K652+M652+O652</f>
        <v>5</v>
      </c>
      <c r="R652" s="24">
        <v>0.70588235294117652</v>
      </c>
      <c r="S652" s="21" t="s">
        <v>483</v>
      </c>
      <c r="T652" s="21" t="s">
        <v>296</v>
      </c>
      <c r="U652" s="21" t="s">
        <v>292</v>
      </c>
      <c r="V652" s="21" t="s">
        <v>286</v>
      </c>
      <c r="W652" s="21">
        <v>0</v>
      </c>
      <c r="X652" s="21" t="s">
        <v>312</v>
      </c>
      <c r="Y652" s="21" t="s">
        <v>326</v>
      </c>
      <c r="Z652" s="21" t="s">
        <v>325</v>
      </c>
      <c r="AA652" s="21" t="s">
        <v>235</v>
      </c>
      <c r="AB652" s="21">
        <v>1</v>
      </c>
      <c r="AD652" s="24">
        <v>8.07</v>
      </c>
      <c r="AE652" s="24">
        <v>7.3</v>
      </c>
      <c r="AF652" s="21" t="s">
        <v>304</v>
      </c>
      <c r="AG652" s="21" t="s">
        <v>341</v>
      </c>
    </row>
    <row r="653" spans="1:33">
      <c r="A653" s="21" t="s">
        <v>235</v>
      </c>
      <c r="B653" s="21" t="s">
        <v>608</v>
      </c>
      <c r="C653" s="25">
        <v>46018</v>
      </c>
      <c r="D653" s="21" t="s">
        <v>612</v>
      </c>
      <c r="E653" s="24">
        <v>8.07</v>
      </c>
      <c r="F653" s="24">
        <v>10.87</v>
      </c>
      <c r="G653" s="24">
        <f>E653-F653</f>
        <v>-2.7999999999999989</v>
      </c>
      <c r="H653" s="21" t="s">
        <v>294</v>
      </c>
      <c r="I653" s="21">
        <v>0</v>
      </c>
      <c r="J653" s="21">
        <v>2</v>
      </c>
      <c r="K653" s="21">
        <v>6</v>
      </c>
      <c r="L653" s="21">
        <v>3</v>
      </c>
      <c r="M653" s="21">
        <v>6</v>
      </c>
      <c r="P653" s="24">
        <f>J653+L653+N653</f>
        <v>5</v>
      </c>
      <c r="Q653" s="24">
        <f>K653+M653+O653</f>
        <v>12</v>
      </c>
      <c r="R653" s="24">
        <v>0.29411764705882354</v>
      </c>
      <c r="S653" s="21" t="s">
        <v>483</v>
      </c>
      <c r="T653" s="21" t="s">
        <v>295</v>
      </c>
      <c r="U653" s="21" t="s">
        <v>292</v>
      </c>
      <c r="V653" s="21" t="s">
        <v>286</v>
      </c>
      <c r="W653" s="21">
        <v>0</v>
      </c>
      <c r="X653" s="21" t="s">
        <v>312</v>
      </c>
      <c r="Y653" s="21" t="s">
        <v>326</v>
      </c>
      <c r="Z653" s="21" t="s">
        <v>325</v>
      </c>
      <c r="AA653" s="21" t="s">
        <v>235</v>
      </c>
      <c r="AB653" s="21">
        <v>1</v>
      </c>
      <c r="AD653" s="24">
        <v>8.07</v>
      </c>
      <c r="AE653" s="24">
        <v>10.87</v>
      </c>
      <c r="AF653" s="21" t="s">
        <v>304</v>
      </c>
      <c r="AG653" s="21" t="s">
        <v>341</v>
      </c>
    </row>
    <row r="654" spans="1:33">
      <c r="A654" s="21" t="s">
        <v>235</v>
      </c>
      <c r="B654" s="21" t="s">
        <v>608</v>
      </c>
      <c r="C654" s="25">
        <v>46018</v>
      </c>
      <c r="D654" s="21" t="s">
        <v>611</v>
      </c>
      <c r="E654" s="24">
        <v>8.07</v>
      </c>
      <c r="F654" s="24">
        <v>7.49</v>
      </c>
      <c r="G654" s="24">
        <f>E654-F654</f>
        <v>0.58000000000000007</v>
      </c>
      <c r="H654" s="21" t="s">
        <v>289</v>
      </c>
      <c r="I654" s="21">
        <v>1</v>
      </c>
      <c r="J654" s="21">
        <v>6</v>
      </c>
      <c r="K654" s="21">
        <v>1</v>
      </c>
      <c r="L654" s="21">
        <v>7</v>
      </c>
      <c r="M654" s="21">
        <v>5</v>
      </c>
      <c r="P654" s="24">
        <f>J654+L654+N654</f>
        <v>13</v>
      </c>
      <c r="Q654" s="24">
        <f>K654+M654+O654</f>
        <v>6</v>
      </c>
      <c r="R654" s="24">
        <v>0.68421052631578949</v>
      </c>
      <c r="S654" s="21" t="s">
        <v>483</v>
      </c>
      <c r="U654" s="21" t="s">
        <v>292</v>
      </c>
      <c r="V654" s="21" t="s">
        <v>286</v>
      </c>
      <c r="W654" s="21">
        <v>0</v>
      </c>
      <c r="X654" s="21" t="s">
        <v>312</v>
      </c>
      <c r="Y654" s="21" t="s">
        <v>326</v>
      </c>
      <c r="Z654" s="21" t="s">
        <v>325</v>
      </c>
      <c r="AA654" s="21" t="s">
        <v>235</v>
      </c>
      <c r="AB654" s="21">
        <v>1</v>
      </c>
      <c r="AD654" s="24">
        <v>8.07</v>
      </c>
      <c r="AE654" s="24">
        <v>7.49</v>
      </c>
      <c r="AF654" s="21" t="s">
        <v>304</v>
      </c>
      <c r="AG654" s="21" t="s">
        <v>341</v>
      </c>
    </row>
    <row r="655" spans="1:33">
      <c r="A655" s="21" t="s">
        <v>235</v>
      </c>
      <c r="B655" s="21" t="s">
        <v>608</v>
      </c>
      <c r="C655" s="25">
        <v>46018</v>
      </c>
      <c r="D655" s="21" t="s">
        <v>14</v>
      </c>
      <c r="E655" s="24">
        <v>8.07</v>
      </c>
      <c r="F655" s="24">
        <v>8.06</v>
      </c>
      <c r="G655" s="24">
        <f>E655-F655</f>
        <v>9.9999999999997868E-3</v>
      </c>
      <c r="H655" s="21" t="s">
        <v>289</v>
      </c>
      <c r="I655" s="21">
        <v>1</v>
      </c>
      <c r="J655" s="21">
        <v>7</v>
      </c>
      <c r="K655" s="21">
        <v>5</v>
      </c>
      <c r="L655" s="21">
        <v>6</v>
      </c>
      <c r="M655" s="21">
        <v>7</v>
      </c>
      <c r="N655" s="21">
        <v>1</v>
      </c>
      <c r="O655" s="21">
        <v>0</v>
      </c>
      <c r="P655" s="24">
        <f>J655+L655+N655</f>
        <v>14</v>
      </c>
      <c r="Q655" s="24">
        <f>K655+M655+O655</f>
        <v>12</v>
      </c>
      <c r="R655" s="24">
        <v>0.66791044776119401</v>
      </c>
      <c r="S655" s="21" t="s">
        <v>483</v>
      </c>
      <c r="T655" s="21" t="s">
        <v>297</v>
      </c>
      <c r="U655" s="21" t="s">
        <v>292</v>
      </c>
      <c r="V655" s="21" t="s">
        <v>286</v>
      </c>
      <c r="W655" s="21">
        <v>0</v>
      </c>
      <c r="X655" s="21" t="s">
        <v>312</v>
      </c>
      <c r="Y655" s="21" t="s">
        <v>326</v>
      </c>
      <c r="Z655" s="21" t="s">
        <v>325</v>
      </c>
      <c r="AA655" s="21" t="s">
        <v>235</v>
      </c>
      <c r="AB655" s="21">
        <v>1</v>
      </c>
      <c r="AD655" s="24">
        <v>8.07</v>
      </c>
      <c r="AE655" s="24">
        <v>8.06</v>
      </c>
      <c r="AF655" s="21" t="s">
        <v>304</v>
      </c>
      <c r="AG655" s="21" t="s">
        <v>341</v>
      </c>
    </row>
    <row r="656" spans="1:33">
      <c r="A656" s="21" t="s">
        <v>235</v>
      </c>
      <c r="B656" s="21" t="s">
        <v>608</v>
      </c>
      <c r="C656" s="25">
        <v>46067</v>
      </c>
      <c r="D656" s="21" t="s">
        <v>610</v>
      </c>
      <c r="E656" s="24">
        <v>7.72</v>
      </c>
      <c r="F656" s="24">
        <v>8.64</v>
      </c>
      <c r="G656" s="24">
        <f>E656-F656</f>
        <v>-0.92000000000000082</v>
      </c>
      <c r="H656" s="21" t="s">
        <v>294</v>
      </c>
      <c r="I656" s="21">
        <v>0</v>
      </c>
      <c r="J656" s="21">
        <v>1</v>
      </c>
      <c r="K656" s="21">
        <v>4</v>
      </c>
      <c r="L656" s="21">
        <v>3</v>
      </c>
      <c r="M656" s="21">
        <v>5</v>
      </c>
      <c r="P656" s="24">
        <f>J656+L656+N656</f>
        <v>4</v>
      </c>
      <c r="Q656" s="24">
        <f>K656+M656+O656</f>
        <v>9</v>
      </c>
      <c r="R656" s="24">
        <v>0.30769230769230771</v>
      </c>
      <c r="S656" s="21" t="s">
        <v>562</v>
      </c>
      <c r="T656" s="21" t="s">
        <v>544</v>
      </c>
      <c r="U656" s="21" t="s">
        <v>292</v>
      </c>
      <c r="V656" s="21" t="s">
        <v>286</v>
      </c>
      <c r="W656" s="21">
        <v>4</v>
      </c>
      <c r="X656" s="21" t="s">
        <v>285</v>
      </c>
      <c r="Y656" s="21" t="s">
        <v>326</v>
      </c>
      <c r="Z656" s="21" t="s">
        <v>325</v>
      </c>
      <c r="AA656" s="21" t="s">
        <v>235</v>
      </c>
      <c r="AB656" s="21">
        <v>1</v>
      </c>
      <c r="AD656" s="24">
        <v>8.07</v>
      </c>
      <c r="AE656" s="24">
        <v>8.64</v>
      </c>
      <c r="AF656" s="21" t="s">
        <v>304</v>
      </c>
      <c r="AG656" s="21" t="s">
        <v>303</v>
      </c>
    </row>
    <row r="657" spans="1:33">
      <c r="A657" s="21" t="s">
        <v>235</v>
      </c>
      <c r="B657" s="21" t="s">
        <v>608</v>
      </c>
      <c r="C657" s="25">
        <v>46067</v>
      </c>
      <c r="D657" s="21" t="s">
        <v>609</v>
      </c>
      <c r="E657" s="24">
        <v>7.72</v>
      </c>
      <c r="F657" s="24">
        <v>9.1300000000000008</v>
      </c>
      <c r="G657" s="24">
        <f>E657-F657</f>
        <v>-1.410000000000001</v>
      </c>
      <c r="H657" s="21" t="s">
        <v>294</v>
      </c>
      <c r="I657" s="21">
        <v>0</v>
      </c>
      <c r="J657" s="21">
        <v>1</v>
      </c>
      <c r="K657" s="21">
        <v>6</v>
      </c>
      <c r="L657" s="21">
        <v>1</v>
      </c>
      <c r="M657" s="21">
        <v>6</v>
      </c>
      <c r="P657" s="24">
        <f>J657+L657+N657</f>
        <v>2</v>
      </c>
      <c r="Q657" s="24">
        <f>K657+M657+O657</f>
        <v>12</v>
      </c>
      <c r="R657" s="24">
        <v>0.14285714285714285</v>
      </c>
      <c r="S657" s="21" t="s">
        <v>562</v>
      </c>
      <c r="T657" s="21" t="s">
        <v>297</v>
      </c>
      <c r="U657" s="21" t="s">
        <v>292</v>
      </c>
      <c r="V657" s="21" t="s">
        <v>286</v>
      </c>
      <c r="W657" s="21">
        <v>4</v>
      </c>
      <c r="X657" s="21" t="s">
        <v>285</v>
      </c>
      <c r="Y657" s="21" t="s">
        <v>326</v>
      </c>
      <c r="Z657" s="21" t="s">
        <v>325</v>
      </c>
      <c r="AA657" s="21" t="s">
        <v>235</v>
      </c>
      <c r="AB657" s="21">
        <v>1</v>
      </c>
      <c r="AD657" s="24">
        <v>8.07</v>
      </c>
      <c r="AE657" s="24">
        <v>9.1300000000000008</v>
      </c>
      <c r="AF657" s="21" t="s">
        <v>304</v>
      </c>
      <c r="AG657" s="21" t="s">
        <v>303</v>
      </c>
    </row>
    <row r="658" spans="1:33">
      <c r="A658" s="21" t="s">
        <v>235</v>
      </c>
      <c r="B658" s="21" t="s">
        <v>608</v>
      </c>
      <c r="C658" s="25">
        <v>46091.645833333336</v>
      </c>
      <c r="D658" s="21" t="s">
        <v>28</v>
      </c>
      <c r="E658" s="24">
        <v>7.59</v>
      </c>
      <c r="F658" s="24">
        <v>7.87</v>
      </c>
      <c r="G658" s="24">
        <f>E658-F658</f>
        <v>-0.28000000000000025</v>
      </c>
      <c r="H658" s="21" t="s">
        <v>294</v>
      </c>
      <c r="I658" s="21">
        <v>0</v>
      </c>
      <c r="J658" s="21">
        <v>4</v>
      </c>
      <c r="K658" s="21">
        <v>6</v>
      </c>
      <c r="L658" s="21">
        <v>2</v>
      </c>
      <c r="M658" s="21">
        <v>6</v>
      </c>
      <c r="P658" s="24">
        <f>J658+L658+N658</f>
        <v>6</v>
      </c>
      <c r="Q658" s="24">
        <f>K658+M658+O658</f>
        <v>12</v>
      </c>
      <c r="R658" s="24">
        <v>0.33333333333333331</v>
      </c>
      <c r="S658" s="21" t="s">
        <v>311</v>
      </c>
      <c r="U658" s="21" t="s">
        <v>287</v>
      </c>
      <c r="V658" s="21" t="s">
        <v>286</v>
      </c>
      <c r="W658" s="21">
        <v>6</v>
      </c>
      <c r="X658" s="21" t="s">
        <v>285</v>
      </c>
      <c r="Y658" s="21" t="s">
        <v>326</v>
      </c>
      <c r="Z658" s="21" t="s">
        <v>325</v>
      </c>
      <c r="AA658" s="21" t="s">
        <v>235</v>
      </c>
      <c r="AB658" s="21">
        <v>1</v>
      </c>
      <c r="AD658" s="24">
        <v>8.07</v>
      </c>
      <c r="AE658" s="24">
        <v>8.57</v>
      </c>
      <c r="AF658" s="21" t="s">
        <v>304</v>
      </c>
      <c r="AG658" s="21" t="s">
        <v>303</v>
      </c>
    </row>
    <row r="659" spans="1:33">
      <c r="A659" s="21" t="s">
        <v>235</v>
      </c>
      <c r="B659" s="21" t="s">
        <v>608</v>
      </c>
      <c r="C659" s="25">
        <v>46099.666666666664</v>
      </c>
      <c r="D659" s="21" t="s">
        <v>18</v>
      </c>
      <c r="E659" s="24">
        <v>7.57</v>
      </c>
      <c r="F659" s="24">
        <v>8.08</v>
      </c>
      <c r="G659" s="24">
        <f>E659-F659</f>
        <v>-0.50999999999999979</v>
      </c>
      <c r="H659" s="21" t="s">
        <v>289</v>
      </c>
      <c r="I659" s="21">
        <v>1</v>
      </c>
      <c r="J659" s="21">
        <v>6</v>
      </c>
      <c r="K659" s="21">
        <v>2</v>
      </c>
      <c r="L659" s="21">
        <v>6</v>
      </c>
      <c r="M659" s="21">
        <v>4</v>
      </c>
      <c r="P659" s="24">
        <f>J659+L659+N659</f>
        <v>12</v>
      </c>
      <c r="Q659" s="24">
        <f>K659+M659+O659</f>
        <v>6</v>
      </c>
      <c r="R659" s="24">
        <v>0.66666666666666663</v>
      </c>
      <c r="S659" s="21" t="s">
        <v>236</v>
      </c>
      <c r="U659" s="21" t="s">
        <v>287</v>
      </c>
      <c r="V659" s="21" t="s">
        <v>286</v>
      </c>
      <c r="W659" s="21">
        <v>7</v>
      </c>
      <c r="X659" s="21" t="s">
        <v>285</v>
      </c>
      <c r="Y659" s="21" t="s">
        <v>326</v>
      </c>
      <c r="Z659" s="21" t="s">
        <v>325</v>
      </c>
      <c r="AA659" s="21" t="s">
        <v>235</v>
      </c>
      <c r="AB659" s="21">
        <v>1</v>
      </c>
      <c r="AD659" s="24">
        <v>8.07</v>
      </c>
      <c r="AE659" s="24">
        <v>8.73</v>
      </c>
      <c r="AF659" s="21" t="s">
        <v>304</v>
      </c>
      <c r="AG659" s="21" t="s">
        <v>303</v>
      </c>
    </row>
    <row r="660" spans="1:33">
      <c r="A660" s="21" t="s">
        <v>26</v>
      </c>
      <c r="B660" s="21" t="s">
        <v>607</v>
      </c>
      <c r="C660" s="25">
        <v>46101.333333333336</v>
      </c>
      <c r="D660" s="21" t="s">
        <v>203</v>
      </c>
      <c r="E660" s="24">
        <v>6.79</v>
      </c>
      <c r="F660" s="24">
        <v>4.88</v>
      </c>
      <c r="G660" s="24">
        <f>E660-F660</f>
        <v>1.9100000000000001</v>
      </c>
      <c r="H660" s="21" t="s">
        <v>289</v>
      </c>
      <c r="I660" s="21">
        <v>1</v>
      </c>
      <c r="J660" s="21">
        <v>6</v>
      </c>
      <c r="K660" s="21">
        <v>1</v>
      </c>
      <c r="L660" s="21">
        <v>6</v>
      </c>
      <c r="M660" s="21">
        <v>1</v>
      </c>
      <c r="P660" s="24">
        <f>J660+L660+N660</f>
        <v>12</v>
      </c>
      <c r="Q660" s="24">
        <f>K660+M660+O660</f>
        <v>2</v>
      </c>
      <c r="R660" s="24">
        <v>0.8571428571428571</v>
      </c>
      <c r="S660" s="21" t="s">
        <v>399</v>
      </c>
      <c r="U660" s="21" t="s">
        <v>287</v>
      </c>
      <c r="V660" s="21" t="s">
        <v>286</v>
      </c>
      <c r="W660" s="21">
        <v>0</v>
      </c>
      <c r="X660" s="21" t="s">
        <v>312</v>
      </c>
      <c r="Y660" s="21" t="s">
        <v>318</v>
      </c>
      <c r="Z660" s="21" t="s">
        <v>317</v>
      </c>
      <c r="AA660" s="21" t="s">
        <v>26</v>
      </c>
      <c r="AB660" s="21">
        <v>1</v>
      </c>
      <c r="AD660" s="24">
        <v>8.09</v>
      </c>
      <c r="AE660" s="24">
        <v>5.96</v>
      </c>
      <c r="AF660" s="21" t="s">
        <v>304</v>
      </c>
      <c r="AG660" s="21" t="s">
        <v>303</v>
      </c>
    </row>
    <row r="661" spans="1:33">
      <c r="A661" s="21" t="s">
        <v>26</v>
      </c>
      <c r="B661" s="21" t="s">
        <v>607</v>
      </c>
      <c r="C661" s="25">
        <v>46105.625</v>
      </c>
      <c r="D661" s="21" t="s">
        <v>129</v>
      </c>
      <c r="E661" s="24">
        <v>6.79</v>
      </c>
      <c r="F661" s="24">
        <v>6.93</v>
      </c>
      <c r="G661" s="24">
        <f>E661-F661</f>
        <v>-0.13999999999999968</v>
      </c>
      <c r="H661" s="21" t="s">
        <v>289</v>
      </c>
      <c r="I661" s="21">
        <v>1</v>
      </c>
      <c r="J661" s="21">
        <v>7</v>
      </c>
      <c r="K661" s="21">
        <v>5</v>
      </c>
      <c r="L661" s="21">
        <v>7</v>
      </c>
      <c r="M661" s="21">
        <v>5</v>
      </c>
      <c r="P661" s="24">
        <f>J661+L661+N661</f>
        <v>14</v>
      </c>
      <c r="Q661" s="24">
        <f>K661+M661+O661</f>
        <v>10</v>
      </c>
      <c r="R661" s="24">
        <v>0.58333333333333337</v>
      </c>
      <c r="S661" s="21" t="s">
        <v>215</v>
      </c>
      <c r="U661" s="21" t="s">
        <v>412</v>
      </c>
      <c r="V661" s="21" t="s">
        <v>286</v>
      </c>
      <c r="W661" s="21">
        <v>1</v>
      </c>
      <c r="X661" s="21" t="s">
        <v>323</v>
      </c>
      <c r="Y661" s="21" t="s">
        <v>318</v>
      </c>
      <c r="Z661" s="21" t="s">
        <v>317</v>
      </c>
      <c r="AA661" s="21" t="s">
        <v>26</v>
      </c>
      <c r="AB661" s="21">
        <v>1</v>
      </c>
      <c r="AD661" s="24">
        <v>8.09</v>
      </c>
      <c r="AE661" s="24">
        <v>8.41</v>
      </c>
      <c r="AF661" s="21" t="s">
        <v>322</v>
      </c>
      <c r="AG661" s="21" t="s">
        <v>301</v>
      </c>
    </row>
    <row r="662" spans="1:33">
      <c r="A662" s="21" t="s">
        <v>26</v>
      </c>
      <c r="B662" s="21" t="s">
        <v>607</v>
      </c>
      <c r="C662" s="25">
        <v>46107.666666666664</v>
      </c>
      <c r="D662" s="21" t="s">
        <v>97</v>
      </c>
      <c r="E662" s="24">
        <v>6.79</v>
      </c>
      <c r="F662" s="24">
        <v>3.83</v>
      </c>
      <c r="G662" s="24">
        <f>E662-F662</f>
        <v>2.96</v>
      </c>
      <c r="H662" s="21" t="s">
        <v>289</v>
      </c>
      <c r="I662" s="21">
        <v>1</v>
      </c>
      <c r="J662" s="21">
        <v>7</v>
      </c>
      <c r="K662" s="21">
        <v>5</v>
      </c>
      <c r="L662" s="21">
        <v>7</v>
      </c>
      <c r="M662" s="21">
        <v>6</v>
      </c>
      <c r="P662" s="24">
        <f>J662+L662+N662</f>
        <v>14</v>
      </c>
      <c r="Q662" s="24">
        <f>K662+M662+O662</f>
        <v>11</v>
      </c>
      <c r="R662" s="24">
        <v>0.55263157894736847</v>
      </c>
      <c r="S662" s="21" t="s">
        <v>200</v>
      </c>
      <c r="U662" s="21" t="s">
        <v>287</v>
      </c>
      <c r="V662" s="21" t="s">
        <v>286</v>
      </c>
      <c r="W662" s="21">
        <v>2</v>
      </c>
      <c r="X662" s="21" t="s">
        <v>310</v>
      </c>
      <c r="Y662" s="21" t="s">
        <v>318</v>
      </c>
      <c r="Z662" s="21" t="s">
        <v>317</v>
      </c>
      <c r="AA662" s="21" t="s">
        <v>26</v>
      </c>
      <c r="AB662" s="21">
        <v>1</v>
      </c>
      <c r="AD662" s="24">
        <v>8.09</v>
      </c>
      <c r="AE662" s="24">
        <v>7.51</v>
      </c>
      <c r="AF662" s="21" t="s">
        <v>322</v>
      </c>
      <c r="AG662" s="21" t="s">
        <v>301</v>
      </c>
    </row>
    <row r="663" spans="1:33">
      <c r="A663" s="21" t="s">
        <v>26</v>
      </c>
      <c r="B663" s="21" t="s">
        <v>607</v>
      </c>
      <c r="C663" s="25">
        <v>46108.645833333336</v>
      </c>
      <c r="D663" s="21" t="s">
        <v>128</v>
      </c>
      <c r="E663" s="24">
        <v>6.79</v>
      </c>
      <c r="F663" s="24">
        <v>6.58</v>
      </c>
      <c r="G663" s="24">
        <f>E663-F663</f>
        <v>0.20999999999999996</v>
      </c>
      <c r="H663" s="21" t="s">
        <v>289</v>
      </c>
      <c r="I663" s="21">
        <v>1</v>
      </c>
      <c r="J663" s="21">
        <v>6</v>
      </c>
      <c r="K663" s="21">
        <v>1</v>
      </c>
      <c r="L663" s="21">
        <v>6</v>
      </c>
      <c r="M663" s="21">
        <v>2</v>
      </c>
      <c r="P663" s="24">
        <f>J663+L663+N663</f>
        <v>12</v>
      </c>
      <c r="Q663" s="24">
        <f>K663+M663+O663</f>
        <v>3</v>
      </c>
      <c r="R663" s="24">
        <v>0.8</v>
      </c>
      <c r="S663" s="21" t="s">
        <v>190</v>
      </c>
      <c r="U663" s="21" t="s">
        <v>287</v>
      </c>
      <c r="V663" s="21" t="s">
        <v>286</v>
      </c>
      <c r="W663" s="21">
        <v>3</v>
      </c>
      <c r="X663" s="21" t="s">
        <v>285</v>
      </c>
      <c r="Y663" s="21" t="s">
        <v>318</v>
      </c>
      <c r="Z663" s="21" t="s">
        <v>317</v>
      </c>
      <c r="AA663" s="21" t="s">
        <v>26</v>
      </c>
      <c r="AB663" s="21">
        <v>1</v>
      </c>
      <c r="AD663" s="24">
        <v>8.09</v>
      </c>
      <c r="AE663" s="24">
        <v>6.89</v>
      </c>
      <c r="AF663" s="21" t="s">
        <v>304</v>
      </c>
      <c r="AG663" s="21" t="s">
        <v>303</v>
      </c>
    </row>
    <row r="664" spans="1:33">
      <c r="A664" s="21" t="s">
        <v>26</v>
      </c>
      <c r="B664" s="21" t="s">
        <v>607</v>
      </c>
      <c r="C664" s="25">
        <v>46113.645833333336</v>
      </c>
      <c r="D664" s="21" t="s">
        <v>135</v>
      </c>
      <c r="E664" s="24">
        <v>6.79</v>
      </c>
      <c r="F664" s="24">
        <v>4.74</v>
      </c>
      <c r="G664" s="24">
        <f>E664-F664</f>
        <v>2.0499999999999998</v>
      </c>
      <c r="H664" s="21" t="s">
        <v>289</v>
      </c>
      <c r="I664" s="21">
        <v>1</v>
      </c>
      <c r="J664" s="21">
        <v>6</v>
      </c>
      <c r="K664" s="21">
        <v>0</v>
      </c>
      <c r="L664" s="21">
        <v>6</v>
      </c>
      <c r="M664" s="21">
        <v>1</v>
      </c>
      <c r="P664" s="24">
        <f>J664+L664+N664</f>
        <v>12</v>
      </c>
      <c r="Q664" s="24">
        <f>K664+M664+O664</f>
        <v>1</v>
      </c>
      <c r="R664" s="24">
        <v>0.92307692307692313</v>
      </c>
      <c r="S664" s="21" t="s">
        <v>464</v>
      </c>
      <c r="U664" s="21" t="s">
        <v>287</v>
      </c>
      <c r="V664" s="21" t="s">
        <v>286</v>
      </c>
      <c r="W664" s="21">
        <v>4</v>
      </c>
      <c r="X664" s="21" t="s">
        <v>285</v>
      </c>
      <c r="Y664" s="21" t="s">
        <v>318</v>
      </c>
      <c r="Z664" s="21" t="s">
        <v>317</v>
      </c>
      <c r="AA664" s="21" t="s">
        <v>26</v>
      </c>
      <c r="AB664" s="21">
        <v>1</v>
      </c>
      <c r="AD664" s="24">
        <v>8.09</v>
      </c>
      <c r="AE664" s="24">
        <v>5.3</v>
      </c>
      <c r="AF664" s="21" t="s">
        <v>304</v>
      </c>
      <c r="AG664" s="21" t="s">
        <v>303</v>
      </c>
    </row>
    <row r="665" spans="1:33">
      <c r="A665" s="21" t="s">
        <v>26</v>
      </c>
      <c r="B665" s="21" t="s">
        <v>607</v>
      </c>
      <c r="C665" s="25">
        <v>46118.645833333336</v>
      </c>
      <c r="D665" s="21" t="s">
        <v>21</v>
      </c>
      <c r="E665" s="24">
        <v>6.79</v>
      </c>
      <c r="F665" s="24">
        <v>8.86</v>
      </c>
      <c r="G665" s="24">
        <f>E665-F665</f>
        <v>-2.0699999999999994</v>
      </c>
      <c r="H665" s="21" t="s">
        <v>294</v>
      </c>
      <c r="I665" s="21">
        <v>0</v>
      </c>
      <c r="J665" s="21">
        <v>4</v>
      </c>
      <c r="K665" s="21">
        <v>6</v>
      </c>
      <c r="L665" s="21">
        <v>3</v>
      </c>
      <c r="M665" s="21">
        <v>6</v>
      </c>
      <c r="P665" s="24">
        <f>J665+L665+N665</f>
        <v>7</v>
      </c>
      <c r="Q665" s="24">
        <f>K665+M665+O665</f>
        <v>12</v>
      </c>
      <c r="R665" s="24">
        <v>0.36842105263157893</v>
      </c>
      <c r="S665" s="21" t="s">
        <v>168</v>
      </c>
      <c r="U665" s="21" t="s">
        <v>287</v>
      </c>
      <c r="V665" s="21" t="s">
        <v>286</v>
      </c>
      <c r="W665" s="21">
        <v>5</v>
      </c>
      <c r="X665" s="21" t="s">
        <v>285</v>
      </c>
      <c r="Y665" s="21" t="s">
        <v>318</v>
      </c>
      <c r="Z665" s="21" t="s">
        <v>317</v>
      </c>
      <c r="AA665" s="21" t="s">
        <v>26</v>
      </c>
      <c r="AB665" s="21">
        <v>1</v>
      </c>
      <c r="AD665" s="24">
        <v>8.09</v>
      </c>
      <c r="AE665" s="24">
        <v>8.4600000000000009</v>
      </c>
      <c r="AF665" s="21" t="s">
        <v>302</v>
      </c>
      <c r="AG665" s="21" t="s">
        <v>301</v>
      </c>
    </row>
    <row r="666" spans="1:33">
      <c r="A666" s="21" t="s">
        <v>26</v>
      </c>
      <c r="B666" s="21" t="s">
        <v>607</v>
      </c>
      <c r="C666" s="25">
        <v>46125.645833333336</v>
      </c>
      <c r="D666" s="21" t="s">
        <v>117</v>
      </c>
      <c r="E666" s="24">
        <v>6.79</v>
      </c>
      <c r="F666" s="24">
        <v>8.02</v>
      </c>
      <c r="G666" s="24">
        <f>E666-F666</f>
        <v>-1.2299999999999995</v>
      </c>
      <c r="H666" s="21" t="s">
        <v>294</v>
      </c>
      <c r="I666" s="21">
        <v>0</v>
      </c>
      <c r="J666" s="21">
        <v>4</v>
      </c>
      <c r="K666" s="21">
        <v>6</v>
      </c>
      <c r="L666" s="21">
        <v>1</v>
      </c>
      <c r="M666" s="21">
        <v>6</v>
      </c>
      <c r="P666" s="24">
        <f>J666+L666+N666</f>
        <v>5</v>
      </c>
      <c r="Q666" s="24">
        <f>K666+M666+O666</f>
        <v>12</v>
      </c>
      <c r="R666" s="24">
        <v>0.29411764705882354</v>
      </c>
      <c r="S666" s="21" t="s">
        <v>118</v>
      </c>
      <c r="U666" s="21" t="s">
        <v>287</v>
      </c>
      <c r="V666" s="21" t="s">
        <v>286</v>
      </c>
      <c r="W666" s="21">
        <v>6</v>
      </c>
      <c r="X666" s="21" t="s">
        <v>285</v>
      </c>
      <c r="Y666" s="21" t="s">
        <v>318</v>
      </c>
      <c r="Z666" s="21" t="s">
        <v>317</v>
      </c>
      <c r="AA666" s="21" t="s">
        <v>26</v>
      </c>
      <c r="AB666" s="21">
        <v>1</v>
      </c>
      <c r="AD666" s="24">
        <v>8.09</v>
      </c>
      <c r="AE666" s="24">
        <v>8.35</v>
      </c>
      <c r="AF666" s="21" t="s">
        <v>302</v>
      </c>
      <c r="AG666" s="21" t="s">
        <v>301</v>
      </c>
    </row>
    <row r="667" spans="1:33">
      <c r="A667" s="21" t="s">
        <v>26</v>
      </c>
      <c r="B667" s="21" t="s">
        <v>607</v>
      </c>
      <c r="C667" s="25">
        <v>46127.645833333336</v>
      </c>
      <c r="D667" s="21" t="s">
        <v>5</v>
      </c>
      <c r="E667" s="24">
        <v>7.49</v>
      </c>
      <c r="F667" s="24">
        <v>8.9700000000000006</v>
      </c>
      <c r="G667" s="24">
        <f>E667-F667</f>
        <v>-1.4800000000000004</v>
      </c>
      <c r="H667" s="21" t="s">
        <v>289</v>
      </c>
      <c r="I667" s="21">
        <v>1</v>
      </c>
      <c r="J667" s="21">
        <v>6</v>
      </c>
      <c r="K667" s="21">
        <v>3</v>
      </c>
      <c r="L667" s="21">
        <v>3</v>
      </c>
      <c r="M667" s="21">
        <v>6</v>
      </c>
      <c r="N667" s="21">
        <v>6</v>
      </c>
      <c r="O667" s="21">
        <v>4</v>
      </c>
      <c r="P667" s="24">
        <f>J667+L667+N667</f>
        <v>15</v>
      </c>
      <c r="Q667" s="24">
        <f>K667+M667+O667</f>
        <v>13</v>
      </c>
      <c r="R667" s="24">
        <v>0.5357142857142857</v>
      </c>
      <c r="S667" s="21" t="s">
        <v>95</v>
      </c>
      <c r="U667" s="21" t="s">
        <v>287</v>
      </c>
      <c r="V667" s="21" t="s">
        <v>286</v>
      </c>
      <c r="W667" s="21">
        <v>7</v>
      </c>
      <c r="X667" s="21" t="s">
        <v>285</v>
      </c>
      <c r="Y667" s="21" t="s">
        <v>318</v>
      </c>
      <c r="Z667" s="21" t="s">
        <v>317</v>
      </c>
      <c r="AA667" s="21" t="s">
        <v>26</v>
      </c>
      <c r="AB667" s="21">
        <v>1</v>
      </c>
      <c r="AD667" s="24">
        <v>8.09</v>
      </c>
      <c r="AE667" s="24">
        <v>8.08</v>
      </c>
      <c r="AF667" s="21" t="s">
        <v>302</v>
      </c>
      <c r="AG667" s="21" t="s">
        <v>301</v>
      </c>
    </row>
    <row r="668" spans="1:33">
      <c r="A668" s="21" t="s">
        <v>26</v>
      </c>
      <c r="B668" s="21" t="s">
        <v>607</v>
      </c>
      <c r="C668" s="25">
        <v>46134.625</v>
      </c>
      <c r="D668" s="21" t="s">
        <v>115</v>
      </c>
      <c r="E668" s="24">
        <v>7.34</v>
      </c>
      <c r="F668" s="24">
        <v>5.38</v>
      </c>
      <c r="G668" s="24">
        <f>E668-F668</f>
        <v>1.96</v>
      </c>
      <c r="H668" s="21" t="s">
        <v>289</v>
      </c>
      <c r="I668" s="21">
        <v>1</v>
      </c>
      <c r="J668" s="21">
        <v>6</v>
      </c>
      <c r="K668" s="21">
        <v>1</v>
      </c>
      <c r="L668" s="21">
        <v>6</v>
      </c>
      <c r="M668" s="21">
        <v>0</v>
      </c>
      <c r="P668" s="24">
        <f>J668+L668+N668</f>
        <v>12</v>
      </c>
      <c r="Q668" s="24">
        <f>K668+M668+O668</f>
        <v>1</v>
      </c>
      <c r="R668" s="24">
        <v>0.92307692307692313</v>
      </c>
      <c r="S668" s="21" t="s">
        <v>62</v>
      </c>
      <c r="U668" s="21" t="s">
        <v>287</v>
      </c>
      <c r="V668" s="21" t="s">
        <v>286</v>
      </c>
      <c r="W668" s="21">
        <v>8</v>
      </c>
      <c r="X668" s="21" t="s">
        <v>285</v>
      </c>
      <c r="Y668" s="21" t="s">
        <v>318</v>
      </c>
      <c r="Z668" s="21" t="s">
        <v>317</v>
      </c>
      <c r="AA668" s="21" t="s">
        <v>26</v>
      </c>
      <c r="AB668" s="21">
        <v>1</v>
      </c>
      <c r="AD668" s="24">
        <v>8.09</v>
      </c>
      <c r="AE668" s="24">
        <v>5.52</v>
      </c>
      <c r="AF668" s="21" t="s">
        <v>304</v>
      </c>
      <c r="AG668" s="21" t="s">
        <v>303</v>
      </c>
    </row>
    <row r="669" spans="1:33">
      <c r="A669" s="21" t="s">
        <v>26</v>
      </c>
      <c r="B669" s="21" t="s">
        <v>607</v>
      </c>
      <c r="C669" s="25">
        <v>46136.625</v>
      </c>
      <c r="D669" s="21" t="s">
        <v>181</v>
      </c>
      <c r="E669" s="24">
        <v>7.34</v>
      </c>
      <c r="F669" s="24">
        <v>6.03</v>
      </c>
      <c r="G669" s="24">
        <f>E669-F669</f>
        <v>1.3099999999999996</v>
      </c>
      <c r="H669" s="21" t="s">
        <v>289</v>
      </c>
      <c r="I669" s="21">
        <v>1</v>
      </c>
      <c r="J669" s="21">
        <v>6</v>
      </c>
      <c r="K669" s="21">
        <v>2</v>
      </c>
      <c r="L669" s="21">
        <v>6</v>
      </c>
      <c r="M669" s="21">
        <v>1</v>
      </c>
      <c r="P669" s="24">
        <f>J669+L669+N669</f>
        <v>12</v>
      </c>
      <c r="Q669" s="24">
        <f>K669+M669+O669</f>
        <v>3</v>
      </c>
      <c r="R669" s="24">
        <v>0.8</v>
      </c>
      <c r="S669" s="21" t="s">
        <v>51</v>
      </c>
      <c r="U669" s="21" t="s">
        <v>287</v>
      </c>
      <c r="V669" s="21" t="s">
        <v>286</v>
      </c>
      <c r="W669" s="21">
        <v>9</v>
      </c>
      <c r="X669" s="21" t="s">
        <v>285</v>
      </c>
      <c r="Y669" s="21" t="s">
        <v>318</v>
      </c>
      <c r="Z669" s="21" t="s">
        <v>317</v>
      </c>
      <c r="AA669" s="21" t="s">
        <v>26</v>
      </c>
      <c r="AB669" s="21">
        <v>1</v>
      </c>
      <c r="AD669" s="24">
        <v>8.09</v>
      </c>
      <c r="AE669" s="24">
        <v>6.06</v>
      </c>
      <c r="AF669" s="21" t="s">
        <v>302</v>
      </c>
      <c r="AG669" s="21" t="s">
        <v>301</v>
      </c>
    </row>
    <row r="670" spans="1:33">
      <c r="A670" s="21" t="s">
        <v>26</v>
      </c>
      <c r="B670" s="21" t="s">
        <v>607</v>
      </c>
      <c r="C670" s="25">
        <v>46141.574999999997</v>
      </c>
      <c r="D670" s="21" t="s">
        <v>6</v>
      </c>
      <c r="E670" s="24">
        <v>7.56</v>
      </c>
      <c r="F670" s="24">
        <v>8.64</v>
      </c>
      <c r="G670" s="24">
        <f>E670-F670</f>
        <v>-1.080000000000001</v>
      </c>
      <c r="H670" s="21" t="s">
        <v>294</v>
      </c>
      <c r="I670" s="21">
        <v>0</v>
      </c>
      <c r="J670" s="21">
        <v>0</v>
      </c>
      <c r="K670" s="21">
        <v>6</v>
      </c>
      <c r="L670" s="21">
        <v>6</v>
      </c>
      <c r="M670" s="21">
        <v>7</v>
      </c>
      <c r="P670" s="24">
        <f>J670+L670+N670</f>
        <v>6</v>
      </c>
      <c r="Q670" s="24">
        <f>K670+M670+O670</f>
        <v>13</v>
      </c>
      <c r="R670" s="24">
        <v>0.4236111111111111</v>
      </c>
      <c r="S670" s="21" t="s">
        <v>29</v>
      </c>
      <c r="T670" s="21" t="s">
        <v>298</v>
      </c>
      <c r="U670" s="21" t="s">
        <v>292</v>
      </c>
      <c r="V670" s="21" t="s">
        <v>286</v>
      </c>
      <c r="W670" s="21">
        <v>10</v>
      </c>
      <c r="X670" s="21" t="s">
        <v>285</v>
      </c>
      <c r="Y670" s="21" t="s">
        <v>318</v>
      </c>
      <c r="Z670" s="21" t="s">
        <v>317</v>
      </c>
      <c r="AA670" s="21" t="s">
        <v>26</v>
      </c>
      <c r="AB670" s="21">
        <v>1</v>
      </c>
      <c r="AD670" s="24">
        <v>8.09</v>
      </c>
      <c r="AE670" s="24">
        <v>8.9700000000000006</v>
      </c>
      <c r="AF670" s="21" t="s">
        <v>302</v>
      </c>
      <c r="AG670" s="21" t="s">
        <v>301</v>
      </c>
    </row>
    <row r="671" spans="1:33">
      <c r="A671" s="21" t="s">
        <v>26</v>
      </c>
      <c r="B671" s="21" t="s">
        <v>607</v>
      </c>
      <c r="C671" s="25">
        <v>46142.645833333336</v>
      </c>
      <c r="D671" s="21" t="s">
        <v>2</v>
      </c>
      <c r="E671" s="24">
        <v>7.56</v>
      </c>
      <c r="F671" s="24">
        <v>7.54</v>
      </c>
      <c r="G671" s="24">
        <f>E671-F671</f>
        <v>1.9999999999999574E-2</v>
      </c>
      <c r="H671" s="21" t="s">
        <v>289</v>
      </c>
      <c r="I671" s="21">
        <v>1</v>
      </c>
      <c r="J671" s="21">
        <v>6</v>
      </c>
      <c r="K671" s="21">
        <v>3</v>
      </c>
      <c r="L671" s="21">
        <v>6</v>
      </c>
      <c r="M671" s="21">
        <v>2</v>
      </c>
      <c r="P671" s="24">
        <f>J671+L671+N671</f>
        <v>12</v>
      </c>
      <c r="Q671" s="24">
        <f>K671+M671+O671</f>
        <v>5</v>
      </c>
      <c r="R671" s="24">
        <v>0.70588235294117652</v>
      </c>
      <c r="S671" s="21" t="s">
        <v>15</v>
      </c>
      <c r="U671" s="21" t="s">
        <v>287</v>
      </c>
      <c r="V671" s="21" t="s">
        <v>286</v>
      </c>
      <c r="W671" s="21">
        <v>11</v>
      </c>
      <c r="X671" s="21" t="s">
        <v>285</v>
      </c>
      <c r="Y671" s="21" t="s">
        <v>318</v>
      </c>
      <c r="Z671" s="21" t="s">
        <v>317</v>
      </c>
      <c r="AA671" s="21" t="s">
        <v>26</v>
      </c>
      <c r="AB671" s="21">
        <v>1</v>
      </c>
      <c r="AD671" s="24">
        <v>8.09</v>
      </c>
      <c r="AE671" s="24">
        <v>7.1</v>
      </c>
      <c r="AF671" s="21" t="s">
        <v>304</v>
      </c>
      <c r="AG671" s="21" t="s">
        <v>303</v>
      </c>
    </row>
    <row r="672" spans="1:33">
      <c r="A672" s="21" t="s">
        <v>94</v>
      </c>
      <c r="B672" s="21" t="s">
        <v>606</v>
      </c>
      <c r="C672" s="25">
        <v>46100.666666666664</v>
      </c>
      <c r="D672" s="21" t="s">
        <v>1</v>
      </c>
      <c r="E672" s="24">
        <v>9.7899999999999991</v>
      </c>
      <c r="F672" s="24">
        <v>8.02</v>
      </c>
      <c r="G672" s="24">
        <f>E672-F672</f>
        <v>1.7699999999999996</v>
      </c>
      <c r="H672" s="21" t="s">
        <v>289</v>
      </c>
      <c r="I672" s="21">
        <v>1</v>
      </c>
      <c r="J672" s="21">
        <v>6</v>
      </c>
      <c r="K672" s="21">
        <v>2</v>
      </c>
      <c r="L672" s="21">
        <v>6</v>
      </c>
      <c r="M672" s="21">
        <v>4</v>
      </c>
      <c r="P672" s="24">
        <f>J672+L672+N672</f>
        <v>12</v>
      </c>
      <c r="Q672" s="24">
        <f>K672+M672+O672</f>
        <v>6</v>
      </c>
      <c r="R672" s="24">
        <v>0.66666666666666663</v>
      </c>
      <c r="S672" s="21" t="s">
        <v>595</v>
      </c>
      <c r="U672" s="21" t="s">
        <v>287</v>
      </c>
      <c r="V672" s="21" t="s">
        <v>286</v>
      </c>
      <c r="W672" s="21">
        <v>0</v>
      </c>
      <c r="X672" s="21" t="s">
        <v>312</v>
      </c>
      <c r="Y672" s="21" t="s">
        <v>603</v>
      </c>
      <c r="Z672" s="21" t="s">
        <v>602</v>
      </c>
      <c r="AA672" s="21" t="s">
        <v>94</v>
      </c>
      <c r="AB672" s="21">
        <v>1</v>
      </c>
      <c r="AD672" s="24">
        <v>9.7899999999999991</v>
      </c>
      <c r="AE672" s="24">
        <v>8.02</v>
      </c>
      <c r="AF672" s="21" t="s">
        <v>304</v>
      </c>
      <c r="AG672" s="21" t="s">
        <v>303</v>
      </c>
    </row>
    <row r="673" spans="1:33">
      <c r="A673" s="21" t="s">
        <v>94</v>
      </c>
      <c r="B673" s="21" t="s">
        <v>606</v>
      </c>
      <c r="C673" s="25">
        <v>46121.666666666664</v>
      </c>
      <c r="D673" s="21" t="s">
        <v>605</v>
      </c>
      <c r="E673" s="24">
        <v>9.7899999999999991</v>
      </c>
      <c r="F673" s="24">
        <v>10.6</v>
      </c>
      <c r="G673" s="24">
        <f>E673-F673</f>
        <v>-0.8100000000000005</v>
      </c>
      <c r="H673" s="21" t="s">
        <v>294</v>
      </c>
      <c r="I673" s="21">
        <v>0</v>
      </c>
      <c r="J673" s="21">
        <v>6</v>
      </c>
      <c r="K673" s="21">
        <v>4</v>
      </c>
      <c r="L673" s="21">
        <v>2</v>
      </c>
      <c r="M673" s="21">
        <v>6</v>
      </c>
      <c r="N673" s="21">
        <v>0</v>
      </c>
      <c r="O673" s="21">
        <v>1</v>
      </c>
      <c r="P673" s="24">
        <f>J673+L673+N673</f>
        <v>8</v>
      </c>
      <c r="Q673" s="24">
        <f>K673+M673+O673</f>
        <v>11</v>
      </c>
      <c r="R673" s="24">
        <v>0.42105263157894735</v>
      </c>
      <c r="S673" s="21" t="s">
        <v>604</v>
      </c>
      <c r="U673" s="21" t="s">
        <v>287</v>
      </c>
      <c r="V673" s="21" t="s">
        <v>286</v>
      </c>
      <c r="W673" s="21">
        <v>1</v>
      </c>
      <c r="X673" s="21" t="s">
        <v>323</v>
      </c>
      <c r="Y673" s="21" t="s">
        <v>603</v>
      </c>
      <c r="Z673" s="21" t="s">
        <v>602</v>
      </c>
      <c r="AA673" s="21" t="s">
        <v>94</v>
      </c>
      <c r="AB673" s="21">
        <v>2</v>
      </c>
      <c r="AC673" s="21" t="s">
        <v>601</v>
      </c>
      <c r="AD673" s="24">
        <v>9.7899999999999991</v>
      </c>
      <c r="AE673" s="24">
        <v>10.6</v>
      </c>
      <c r="AF673" s="21" t="s">
        <v>304</v>
      </c>
      <c r="AG673" s="21" t="s">
        <v>341</v>
      </c>
    </row>
    <row r="674" spans="1:33">
      <c r="A674" s="21" t="s">
        <v>1</v>
      </c>
      <c r="B674" s="21" t="s">
        <v>534</v>
      </c>
      <c r="C674" s="25">
        <v>46045</v>
      </c>
      <c r="D674" s="21" t="s">
        <v>600</v>
      </c>
      <c r="E674" s="24">
        <v>7.98</v>
      </c>
      <c r="F674" s="24">
        <v>8.01</v>
      </c>
      <c r="G674" s="24">
        <f>E674-F674</f>
        <v>-2.9999999999999361E-2</v>
      </c>
      <c r="H674" s="21" t="s">
        <v>294</v>
      </c>
      <c r="I674" s="21">
        <v>0</v>
      </c>
      <c r="J674" s="21">
        <v>6</v>
      </c>
      <c r="K674" s="21">
        <v>7</v>
      </c>
      <c r="P674" s="24">
        <f>J674+L674+N674</f>
        <v>6</v>
      </c>
      <c r="Q674" s="24">
        <f>K674+M674+O674</f>
        <v>7</v>
      </c>
      <c r="R674" s="24">
        <v>0.45390070921985815</v>
      </c>
      <c r="S674" s="21" t="s">
        <v>598</v>
      </c>
      <c r="U674" s="21" t="s">
        <v>292</v>
      </c>
      <c r="V674" s="21" t="s">
        <v>286</v>
      </c>
      <c r="W674" s="21">
        <v>0</v>
      </c>
      <c r="X674" s="21" t="s">
        <v>312</v>
      </c>
      <c r="Y674" s="21" t="s">
        <v>318</v>
      </c>
      <c r="Z674" s="21" t="s">
        <v>317</v>
      </c>
      <c r="AA674" s="21" t="s">
        <v>1</v>
      </c>
      <c r="AB674" s="21">
        <v>1</v>
      </c>
      <c r="AD674" s="24">
        <v>7.98</v>
      </c>
      <c r="AE674" s="24">
        <v>8.01</v>
      </c>
      <c r="AF674" s="21" t="s">
        <v>304</v>
      </c>
      <c r="AG674" s="21" t="s">
        <v>303</v>
      </c>
    </row>
    <row r="675" spans="1:33">
      <c r="A675" s="21" t="s">
        <v>1</v>
      </c>
      <c r="B675" s="21" t="s">
        <v>534</v>
      </c>
      <c r="C675" s="25">
        <v>46045</v>
      </c>
      <c r="D675" s="21" t="s">
        <v>599</v>
      </c>
      <c r="E675" s="24">
        <v>7.98</v>
      </c>
      <c r="F675" s="24">
        <v>9.1199999999999992</v>
      </c>
      <c r="G675" s="24">
        <f>E675-F675</f>
        <v>-1.1399999999999988</v>
      </c>
      <c r="H675" s="21" t="s">
        <v>294</v>
      </c>
      <c r="I675" s="21">
        <v>0</v>
      </c>
      <c r="J675" s="21">
        <v>1</v>
      </c>
      <c r="K675" s="21">
        <v>6</v>
      </c>
      <c r="P675" s="24">
        <f>J675+L675+N675</f>
        <v>1</v>
      </c>
      <c r="Q675" s="24">
        <f>K675+M675+O675</f>
        <v>6</v>
      </c>
      <c r="R675" s="24">
        <v>0.14285714285714285</v>
      </c>
      <c r="S675" s="21" t="s">
        <v>598</v>
      </c>
      <c r="T675" s="21" t="s">
        <v>313</v>
      </c>
      <c r="U675" s="21" t="s">
        <v>292</v>
      </c>
      <c r="V675" s="21" t="s">
        <v>286</v>
      </c>
      <c r="W675" s="21">
        <v>0</v>
      </c>
      <c r="X675" s="21" t="s">
        <v>312</v>
      </c>
      <c r="Y675" s="21" t="s">
        <v>318</v>
      </c>
      <c r="Z675" s="21" t="s">
        <v>317</v>
      </c>
      <c r="AA675" s="21" t="s">
        <v>1</v>
      </c>
      <c r="AB675" s="21">
        <v>1</v>
      </c>
      <c r="AD675" s="24">
        <v>7.98</v>
      </c>
      <c r="AE675" s="24">
        <v>9.1199999999999992</v>
      </c>
      <c r="AF675" s="21" t="s">
        <v>304</v>
      </c>
      <c r="AG675" s="21" t="s">
        <v>303</v>
      </c>
    </row>
    <row r="676" spans="1:33">
      <c r="A676" s="21" t="s">
        <v>1</v>
      </c>
      <c r="B676" s="21" t="s">
        <v>534</v>
      </c>
      <c r="C676" s="25">
        <v>46094.666666666664</v>
      </c>
      <c r="D676" s="21" t="s">
        <v>203</v>
      </c>
      <c r="E676" s="24">
        <v>7.89</v>
      </c>
      <c r="F676" s="24">
        <v>4.88</v>
      </c>
      <c r="G676" s="24">
        <f>E676-F676</f>
        <v>3.01</v>
      </c>
      <c r="H676" s="21" t="s">
        <v>289</v>
      </c>
      <c r="I676" s="21">
        <v>1</v>
      </c>
      <c r="J676" s="21">
        <v>6</v>
      </c>
      <c r="K676" s="21">
        <v>3</v>
      </c>
      <c r="L676" s="21">
        <v>6</v>
      </c>
      <c r="M676" s="21">
        <v>0</v>
      </c>
      <c r="P676" s="24">
        <f>J676+L676+N676</f>
        <v>12</v>
      </c>
      <c r="Q676" s="24">
        <f>K676+M676+O676</f>
        <v>3</v>
      </c>
      <c r="R676" s="24">
        <v>0.8</v>
      </c>
      <c r="S676" s="21" t="s">
        <v>400</v>
      </c>
      <c r="U676" s="21" t="s">
        <v>287</v>
      </c>
      <c r="V676" s="21" t="s">
        <v>286</v>
      </c>
      <c r="W676" s="21">
        <v>2</v>
      </c>
      <c r="X676" s="21" t="s">
        <v>310</v>
      </c>
      <c r="Y676" s="21" t="s">
        <v>318</v>
      </c>
      <c r="Z676" s="21" t="s">
        <v>317</v>
      </c>
      <c r="AA676" s="21" t="s">
        <v>1</v>
      </c>
      <c r="AB676" s="21">
        <v>1</v>
      </c>
      <c r="AD676" s="24">
        <v>7.98</v>
      </c>
      <c r="AE676" s="24">
        <v>5.96</v>
      </c>
      <c r="AF676" s="21" t="s">
        <v>302</v>
      </c>
      <c r="AG676" s="21" t="s">
        <v>301</v>
      </c>
    </row>
    <row r="677" spans="1:33">
      <c r="A677" s="21" t="s">
        <v>1</v>
      </c>
      <c r="B677" s="21" t="s">
        <v>534</v>
      </c>
      <c r="C677" s="25">
        <v>46098.666666666664</v>
      </c>
      <c r="D677" s="21" t="s">
        <v>247</v>
      </c>
      <c r="E677" s="24">
        <v>7.89</v>
      </c>
      <c r="F677" s="24">
        <v>5.72</v>
      </c>
      <c r="G677" s="24">
        <f>E677-F677</f>
        <v>2.17</v>
      </c>
      <c r="H677" s="21" t="s">
        <v>289</v>
      </c>
      <c r="I677" s="21">
        <v>1</v>
      </c>
      <c r="J677" s="21">
        <v>6</v>
      </c>
      <c r="K677" s="21">
        <v>1</v>
      </c>
      <c r="L677" s="21">
        <v>7</v>
      </c>
      <c r="M677" s="21">
        <v>5</v>
      </c>
      <c r="P677" s="24">
        <f>J677+L677+N677</f>
        <v>13</v>
      </c>
      <c r="Q677" s="24">
        <f>K677+M677+O677</f>
        <v>6</v>
      </c>
      <c r="R677" s="24">
        <v>0.68421052631578949</v>
      </c>
      <c r="S677" s="21" t="s">
        <v>597</v>
      </c>
      <c r="U677" s="21" t="s">
        <v>287</v>
      </c>
      <c r="V677" s="21" t="s">
        <v>286</v>
      </c>
      <c r="W677" s="21">
        <v>3</v>
      </c>
      <c r="X677" s="21" t="s">
        <v>285</v>
      </c>
      <c r="Y677" s="21" t="s">
        <v>318</v>
      </c>
      <c r="Z677" s="21" t="s">
        <v>317</v>
      </c>
      <c r="AA677" s="21" t="s">
        <v>1</v>
      </c>
      <c r="AB677" s="21">
        <v>1</v>
      </c>
      <c r="AD677" s="24">
        <v>7.98</v>
      </c>
      <c r="AE677" s="24">
        <v>5.4</v>
      </c>
      <c r="AF677" s="21" t="s">
        <v>302</v>
      </c>
      <c r="AG677" s="21" t="s">
        <v>301</v>
      </c>
    </row>
    <row r="678" spans="1:33">
      <c r="A678" s="21" t="s">
        <v>1</v>
      </c>
      <c r="B678" s="21" t="s">
        <v>534</v>
      </c>
      <c r="C678" s="25">
        <v>46099.666666666664</v>
      </c>
      <c r="D678" s="21" t="s">
        <v>596</v>
      </c>
      <c r="E678" s="24">
        <v>7.89</v>
      </c>
      <c r="F678" s="24">
        <v>4.74</v>
      </c>
      <c r="G678" s="24">
        <f>E678-F678</f>
        <v>3.1499999999999995</v>
      </c>
      <c r="H678" s="21" t="s">
        <v>289</v>
      </c>
      <c r="I678" s="21">
        <v>1</v>
      </c>
      <c r="J678" s="21">
        <v>6</v>
      </c>
      <c r="K678" s="21">
        <v>0</v>
      </c>
      <c r="L678" s="21">
        <v>6</v>
      </c>
      <c r="M678" s="21">
        <v>1</v>
      </c>
      <c r="P678" s="24">
        <f>J678+L678+N678</f>
        <v>12</v>
      </c>
      <c r="Q678" s="24">
        <f>K678+M678+O678</f>
        <v>1</v>
      </c>
      <c r="R678" s="24">
        <v>0.92307692307692313</v>
      </c>
      <c r="S678" s="21" t="s">
        <v>236</v>
      </c>
      <c r="U678" s="21" t="s">
        <v>287</v>
      </c>
      <c r="V678" s="21" t="s">
        <v>286</v>
      </c>
      <c r="W678" s="21">
        <v>4</v>
      </c>
      <c r="X678" s="21" t="s">
        <v>285</v>
      </c>
      <c r="Y678" s="21" t="s">
        <v>318</v>
      </c>
      <c r="Z678" s="21" t="s">
        <v>317</v>
      </c>
      <c r="AA678" s="21" t="s">
        <v>1</v>
      </c>
      <c r="AB678" s="21">
        <v>1</v>
      </c>
      <c r="AD678" s="24">
        <v>7.98</v>
      </c>
      <c r="AE678" s="24">
        <v>4.74</v>
      </c>
      <c r="AF678" s="21" t="s">
        <v>304</v>
      </c>
      <c r="AG678" s="21" t="s">
        <v>303</v>
      </c>
    </row>
    <row r="679" spans="1:33">
      <c r="A679" s="21" t="s">
        <v>1</v>
      </c>
      <c r="B679" s="21" t="s">
        <v>534</v>
      </c>
      <c r="C679" s="25">
        <v>46100.666666666664</v>
      </c>
      <c r="D679" s="21" t="s">
        <v>94</v>
      </c>
      <c r="E679" s="24">
        <v>7.89</v>
      </c>
      <c r="F679" s="24">
        <v>9.7100000000000009</v>
      </c>
      <c r="G679" s="24">
        <f>E679-F679</f>
        <v>-1.8200000000000012</v>
      </c>
      <c r="H679" s="21" t="s">
        <v>294</v>
      </c>
      <c r="I679" s="21">
        <v>0</v>
      </c>
      <c r="J679" s="21">
        <v>2</v>
      </c>
      <c r="K679" s="21">
        <v>6</v>
      </c>
      <c r="L679" s="21">
        <v>4</v>
      </c>
      <c r="M679" s="21">
        <v>6</v>
      </c>
      <c r="P679" s="24">
        <f>J679+L679+N679</f>
        <v>6</v>
      </c>
      <c r="Q679" s="24">
        <f>K679+M679+O679</f>
        <v>12</v>
      </c>
      <c r="R679" s="24">
        <v>0.33333333333333331</v>
      </c>
      <c r="S679" s="21" t="s">
        <v>595</v>
      </c>
      <c r="U679" s="21" t="s">
        <v>287</v>
      </c>
      <c r="V679" s="21" t="s">
        <v>286</v>
      </c>
      <c r="W679" s="21">
        <v>5</v>
      </c>
      <c r="X679" s="21" t="s">
        <v>285</v>
      </c>
      <c r="Y679" s="21" t="s">
        <v>318</v>
      </c>
      <c r="Z679" s="21" t="s">
        <v>317</v>
      </c>
      <c r="AA679" s="21" t="s">
        <v>1</v>
      </c>
      <c r="AB679" s="21">
        <v>1</v>
      </c>
      <c r="AD679" s="24">
        <v>7.98</v>
      </c>
      <c r="AE679" s="24">
        <v>9.7100000000000009</v>
      </c>
      <c r="AF679" s="21" t="s">
        <v>302</v>
      </c>
      <c r="AG679" s="21" t="s">
        <v>301</v>
      </c>
    </row>
    <row r="680" spans="1:33">
      <c r="A680" s="21" t="s">
        <v>1</v>
      </c>
      <c r="B680" s="21" t="s">
        <v>534</v>
      </c>
      <c r="C680" s="25">
        <v>46106.666666666664</v>
      </c>
      <c r="D680" s="21" t="s">
        <v>594</v>
      </c>
      <c r="E680" s="24">
        <v>7.89</v>
      </c>
      <c r="F680" s="24">
        <v>6.1</v>
      </c>
      <c r="G680" s="24">
        <f>E680-F680</f>
        <v>1.79</v>
      </c>
      <c r="H680" s="21" t="s">
        <v>289</v>
      </c>
      <c r="I680" s="21">
        <v>1</v>
      </c>
      <c r="J680" s="21">
        <v>6</v>
      </c>
      <c r="K680" s="21">
        <v>1</v>
      </c>
      <c r="L680" s="21">
        <v>6</v>
      </c>
      <c r="M680" s="21">
        <v>1</v>
      </c>
      <c r="P680" s="24">
        <f>J680+L680+N680</f>
        <v>12</v>
      </c>
      <c r="Q680" s="24">
        <f>K680+M680+O680</f>
        <v>2</v>
      </c>
      <c r="R680" s="24">
        <v>0.8571428571428571</v>
      </c>
      <c r="S680" s="21" t="s">
        <v>593</v>
      </c>
      <c r="U680" s="21" t="s">
        <v>287</v>
      </c>
      <c r="V680" s="21" t="s">
        <v>286</v>
      </c>
      <c r="W680" s="21">
        <v>6</v>
      </c>
      <c r="X680" s="21" t="s">
        <v>285</v>
      </c>
      <c r="Y680" s="21" t="s">
        <v>318</v>
      </c>
      <c r="Z680" s="21" t="s">
        <v>317</v>
      </c>
      <c r="AA680" s="21" t="s">
        <v>1</v>
      </c>
      <c r="AB680" s="21">
        <v>1</v>
      </c>
      <c r="AD680" s="24">
        <v>7.98</v>
      </c>
      <c r="AE680" s="24">
        <v>6.1</v>
      </c>
      <c r="AF680" s="21" t="s">
        <v>304</v>
      </c>
      <c r="AG680" s="21" t="s">
        <v>303</v>
      </c>
    </row>
    <row r="681" spans="1:33">
      <c r="A681" s="21" t="s">
        <v>1</v>
      </c>
      <c r="B681" s="21" t="s">
        <v>534</v>
      </c>
      <c r="C681" s="25">
        <v>46107.645833333336</v>
      </c>
      <c r="D681" s="21" t="s">
        <v>2</v>
      </c>
      <c r="E681" s="24">
        <v>7.89</v>
      </c>
      <c r="F681" s="24">
        <v>7.68</v>
      </c>
      <c r="G681" s="24">
        <f>E681-F681</f>
        <v>0.20999999999999996</v>
      </c>
      <c r="H681" s="21" t="s">
        <v>289</v>
      </c>
      <c r="I681" s="21">
        <v>1</v>
      </c>
      <c r="J681" s="21">
        <v>7</v>
      </c>
      <c r="K681" s="21">
        <v>5</v>
      </c>
      <c r="L681" s="21">
        <v>6</v>
      </c>
      <c r="M681" s="21">
        <v>4</v>
      </c>
      <c r="P681" s="24">
        <f>J681+L681+N681</f>
        <v>13</v>
      </c>
      <c r="Q681" s="24">
        <f>K681+M681+O681</f>
        <v>9</v>
      </c>
      <c r="R681" s="24">
        <v>0.59090909090909094</v>
      </c>
      <c r="S681" s="21" t="s">
        <v>202</v>
      </c>
      <c r="U681" s="21" t="s">
        <v>287</v>
      </c>
      <c r="V681" s="21" t="s">
        <v>286</v>
      </c>
      <c r="W681" s="21">
        <v>7</v>
      </c>
      <c r="X681" s="21" t="s">
        <v>285</v>
      </c>
      <c r="Y681" s="21" t="s">
        <v>318</v>
      </c>
      <c r="Z681" s="21" t="s">
        <v>317</v>
      </c>
      <c r="AA681" s="21" t="s">
        <v>1</v>
      </c>
      <c r="AB681" s="21">
        <v>1</v>
      </c>
      <c r="AD681" s="24">
        <v>7.98</v>
      </c>
      <c r="AE681" s="24">
        <v>7.1</v>
      </c>
      <c r="AF681" s="21" t="s">
        <v>304</v>
      </c>
      <c r="AG681" s="21" t="s">
        <v>303</v>
      </c>
    </row>
    <row r="682" spans="1:33">
      <c r="A682" s="21" t="s">
        <v>1</v>
      </c>
      <c r="B682" s="21" t="s">
        <v>534</v>
      </c>
      <c r="C682" s="25">
        <v>46122.666666666664</v>
      </c>
      <c r="D682" s="21" t="s">
        <v>592</v>
      </c>
      <c r="E682" s="24">
        <v>7.93</v>
      </c>
      <c r="F682" s="24">
        <v>6.4</v>
      </c>
      <c r="G682" s="24">
        <f>E682-F682</f>
        <v>1.5299999999999994</v>
      </c>
      <c r="H682" s="21" t="s">
        <v>289</v>
      </c>
      <c r="I682" s="21">
        <v>1</v>
      </c>
      <c r="J682" s="21">
        <v>6</v>
      </c>
      <c r="K682" s="21">
        <v>1</v>
      </c>
      <c r="L682" s="21">
        <v>6</v>
      </c>
      <c r="M682" s="21">
        <v>2</v>
      </c>
      <c r="P682" s="24">
        <f>J682+L682+N682</f>
        <v>12</v>
      </c>
      <c r="Q682" s="24">
        <f>K682+M682+O682</f>
        <v>3</v>
      </c>
      <c r="R682" s="24">
        <v>0.8</v>
      </c>
      <c r="S682" s="21" t="s">
        <v>591</v>
      </c>
      <c r="U682" s="21" t="s">
        <v>287</v>
      </c>
      <c r="V682" s="21" t="s">
        <v>286</v>
      </c>
      <c r="W682" s="21">
        <v>8</v>
      </c>
      <c r="X682" s="21" t="s">
        <v>285</v>
      </c>
      <c r="Y682" s="21" t="s">
        <v>318</v>
      </c>
      <c r="Z682" s="21" t="s">
        <v>317</v>
      </c>
      <c r="AA682" s="21" t="s">
        <v>1</v>
      </c>
      <c r="AB682" s="21">
        <v>1</v>
      </c>
      <c r="AD682" s="24">
        <v>7.98</v>
      </c>
      <c r="AE682" s="24">
        <v>6.4</v>
      </c>
      <c r="AF682" s="21" t="s">
        <v>304</v>
      </c>
      <c r="AG682" s="21" t="s">
        <v>303</v>
      </c>
    </row>
    <row r="683" spans="1:33">
      <c r="A683" s="21" t="s">
        <v>1</v>
      </c>
      <c r="B683" s="21" t="s">
        <v>534</v>
      </c>
      <c r="C683" s="25">
        <v>46123</v>
      </c>
      <c r="D683" s="21" t="s">
        <v>590</v>
      </c>
      <c r="E683" s="24">
        <v>7.93</v>
      </c>
      <c r="F683" s="24">
        <v>6.92</v>
      </c>
      <c r="G683" s="24">
        <f>E683-F683</f>
        <v>1.0099999999999998</v>
      </c>
      <c r="H683" s="21" t="s">
        <v>289</v>
      </c>
      <c r="I683" s="21">
        <v>1</v>
      </c>
      <c r="J683" s="21">
        <v>6</v>
      </c>
      <c r="K683" s="21">
        <v>0</v>
      </c>
      <c r="L683" s="21">
        <v>6</v>
      </c>
      <c r="M683" s="21">
        <v>2</v>
      </c>
      <c r="P683" s="24">
        <f>J683+L683+N683</f>
        <v>12</v>
      </c>
      <c r="Q683" s="24">
        <f>K683+M683+O683</f>
        <v>2</v>
      </c>
      <c r="R683" s="24">
        <v>0.8571428571428571</v>
      </c>
      <c r="S683" s="21" t="s">
        <v>353</v>
      </c>
      <c r="T683" s="21" t="s">
        <v>297</v>
      </c>
      <c r="U683" s="21" t="s">
        <v>292</v>
      </c>
      <c r="V683" s="21" t="s">
        <v>286</v>
      </c>
      <c r="W683" s="21">
        <v>9</v>
      </c>
      <c r="X683" s="21" t="s">
        <v>285</v>
      </c>
      <c r="Y683" s="21" t="s">
        <v>318</v>
      </c>
      <c r="Z683" s="21" t="s">
        <v>317</v>
      </c>
      <c r="AA683" s="21" t="s">
        <v>1</v>
      </c>
      <c r="AB683" s="21">
        <v>1</v>
      </c>
      <c r="AD683" s="24">
        <v>7.98</v>
      </c>
      <c r="AE683" s="24">
        <v>6.92</v>
      </c>
      <c r="AF683" s="21" t="s">
        <v>304</v>
      </c>
      <c r="AG683" s="21" t="s">
        <v>303</v>
      </c>
    </row>
    <row r="684" spans="1:33">
      <c r="A684" s="21" t="s">
        <v>1</v>
      </c>
      <c r="B684" s="21" t="s">
        <v>534</v>
      </c>
      <c r="C684" s="25">
        <v>46123</v>
      </c>
      <c r="D684" s="21" t="s">
        <v>6</v>
      </c>
      <c r="E684" s="24">
        <v>7.93</v>
      </c>
      <c r="F684" s="24">
        <v>8.51</v>
      </c>
      <c r="G684" s="24">
        <f>E684-F684</f>
        <v>-0.58000000000000007</v>
      </c>
      <c r="H684" s="21" t="s">
        <v>294</v>
      </c>
      <c r="I684" s="21">
        <v>0</v>
      </c>
      <c r="J684" s="21">
        <v>1</v>
      </c>
      <c r="K684" s="21">
        <v>6</v>
      </c>
      <c r="L684" s="21">
        <v>1</v>
      </c>
      <c r="M684" s="21">
        <v>6</v>
      </c>
      <c r="P684" s="24">
        <f>J684+L684+N684</f>
        <v>2</v>
      </c>
      <c r="Q684" s="24">
        <f>K684+M684+O684</f>
        <v>12</v>
      </c>
      <c r="R684" s="24">
        <v>0.14285714285714285</v>
      </c>
      <c r="S684" s="21" t="s">
        <v>353</v>
      </c>
      <c r="T684" s="21" t="s">
        <v>296</v>
      </c>
      <c r="U684" s="21" t="s">
        <v>292</v>
      </c>
      <c r="V684" s="21" t="s">
        <v>286</v>
      </c>
      <c r="W684" s="21">
        <v>9</v>
      </c>
      <c r="X684" s="21" t="s">
        <v>285</v>
      </c>
      <c r="Y684" s="21" t="s">
        <v>318</v>
      </c>
      <c r="Z684" s="21" t="s">
        <v>317</v>
      </c>
      <c r="AA684" s="21" t="s">
        <v>1</v>
      </c>
      <c r="AB684" s="21">
        <v>1</v>
      </c>
      <c r="AD684" s="24">
        <v>7.98</v>
      </c>
      <c r="AE684" s="24">
        <v>8.9700000000000006</v>
      </c>
      <c r="AF684" s="21" t="s">
        <v>304</v>
      </c>
      <c r="AG684" s="21" t="s">
        <v>341</v>
      </c>
    </row>
    <row r="685" spans="1:33">
      <c r="A685" s="21" t="s">
        <v>1</v>
      </c>
      <c r="B685" s="21" t="s">
        <v>534</v>
      </c>
      <c r="C685" s="25">
        <v>46126.645833333336</v>
      </c>
      <c r="D685" s="21" t="s">
        <v>23</v>
      </c>
      <c r="E685" s="24">
        <v>7.95</v>
      </c>
      <c r="F685" s="24">
        <v>7.07</v>
      </c>
      <c r="G685" s="24">
        <f>E685-F685</f>
        <v>0.87999999999999989</v>
      </c>
      <c r="H685" s="21" t="s">
        <v>289</v>
      </c>
      <c r="I685" s="21">
        <v>1</v>
      </c>
      <c r="J685" s="21">
        <v>2</v>
      </c>
      <c r="K685" s="21">
        <v>6</v>
      </c>
      <c r="L685" s="21">
        <v>6</v>
      </c>
      <c r="M685" s="21">
        <v>4</v>
      </c>
      <c r="N685" s="21">
        <v>1</v>
      </c>
      <c r="O685" s="21">
        <v>0</v>
      </c>
      <c r="P685" s="24">
        <f>J685+L685+N685</f>
        <v>9</v>
      </c>
      <c r="Q685" s="24">
        <f>K685+M685+O685</f>
        <v>10</v>
      </c>
      <c r="R685" s="24">
        <v>0.88059701492537312</v>
      </c>
      <c r="S685" s="21" t="s">
        <v>105</v>
      </c>
      <c r="U685" s="21" t="s">
        <v>287</v>
      </c>
      <c r="V685" s="21" t="s">
        <v>286</v>
      </c>
      <c r="W685" s="21">
        <v>11</v>
      </c>
      <c r="X685" s="21" t="s">
        <v>285</v>
      </c>
      <c r="Y685" s="21" t="s">
        <v>318</v>
      </c>
      <c r="Z685" s="21" t="s">
        <v>317</v>
      </c>
      <c r="AA685" s="21" t="s">
        <v>1</v>
      </c>
      <c r="AB685" s="21">
        <v>1</v>
      </c>
      <c r="AD685" s="24">
        <v>7.98</v>
      </c>
      <c r="AE685" s="24">
        <v>7.15</v>
      </c>
      <c r="AF685" s="21" t="s">
        <v>302</v>
      </c>
      <c r="AG685" s="21" t="s">
        <v>301</v>
      </c>
    </row>
    <row r="686" spans="1:33">
      <c r="A686" s="21" t="s">
        <v>1</v>
      </c>
      <c r="B686" s="21" t="s">
        <v>534</v>
      </c>
      <c r="C686" s="25">
        <v>46127.666666666664</v>
      </c>
      <c r="D686" s="21" t="s">
        <v>97</v>
      </c>
      <c r="E686" s="24">
        <v>7.95</v>
      </c>
      <c r="F686" s="24">
        <v>3.83</v>
      </c>
      <c r="G686" s="24">
        <f>E686-F686</f>
        <v>4.12</v>
      </c>
      <c r="H686" s="21" t="s">
        <v>289</v>
      </c>
      <c r="I686" s="21">
        <v>1</v>
      </c>
      <c r="J686" s="21">
        <v>6</v>
      </c>
      <c r="K686" s="21">
        <v>4</v>
      </c>
      <c r="L686" s="21">
        <v>6</v>
      </c>
      <c r="M686" s="21">
        <v>4</v>
      </c>
      <c r="P686" s="24">
        <f>J686+L686+N686</f>
        <v>12</v>
      </c>
      <c r="Q686" s="24">
        <f>K686+M686+O686</f>
        <v>8</v>
      </c>
      <c r="R686" s="24">
        <v>0.6</v>
      </c>
      <c r="S686" s="21" t="s">
        <v>98</v>
      </c>
      <c r="U686" s="21" t="s">
        <v>287</v>
      </c>
      <c r="V686" s="21" t="s">
        <v>286</v>
      </c>
      <c r="W686" s="21">
        <v>12</v>
      </c>
      <c r="X686" s="21" t="s">
        <v>285</v>
      </c>
      <c r="Y686" s="21" t="s">
        <v>318</v>
      </c>
      <c r="Z686" s="21" t="s">
        <v>317</v>
      </c>
      <c r="AA686" s="21" t="s">
        <v>1</v>
      </c>
      <c r="AB686" s="21">
        <v>1</v>
      </c>
      <c r="AD686" s="24">
        <v>7.98</v>
      </c>
      <c r="AE686" s="24">
        <v>7.51</v>
      </c>
      <c r="AF686" s="21" t="s">
        <v>304</v>
      </c>
      <c r="AG686" s="21" t="s">
        <v>341</v>
      </c>
    </row>
    <row r="687" spans="1:33">
      <c r="A687" s="21" t="s">
        <v>1</v>
      </c>
      <c r="B687" s="21" t="s">
        <v>534</v>
      </c>
      <c r="C687" s="25">
        <v>46130.845833333333</v>
      </c>
      <c r="D687" s="21" t="s">
        <v>6</v>
      </c>
      <c r="E687" s="24">
        <v>7.95</v>
      </c>
      <c r="F687" s="24">
        <v>8.52</v>
      </c>
      <c r="G687" s="24">
        <f>E687-F687</f>
        <v>-0.5699999999999994</v>
      </c>
      <c r="H687" s="21" t="s">
        <v>294</v>
      </c>
      <c r="I687" s="21">
        <v>0</v>
      </c>
      <c r="J687" s="21">
        <v>3</v>
      </c>
      <c r="K687" s="21">
        <v>6</v>
      </c>
      <c r="L687" s="21">
        <v>4</v>
      </c>
      <c r="M687" s="21">
        <v>6</v>
      </c>
      <c r="P687" s="24">
        <f>J687+L687+N687</f>
        <v>7</v>
      </c>
      <c r="Q687" s="24">
        <f>K687+M687+O687</f>
        <v>12</v>
      </c>
      <c r="R687" s="24">
        <v>0.36842105263157893</v>
      </c>
      <c r="S687" s="21" t="s">
        <v>79</v>
      </c>
      <c r="T687" s="21" t="s">
        <v>352</v>
      </c>
      <c r="U687" s="21" t="s">
        <v>287</v>
      </c>
      <c r="V687" s="21" t="s">
        <v>286</v>
      </c>
      <c r="W687" s="21">
        <v>13</v>
      </c>
      <c r="X687" s="21" t="s">
        <v>285</v>
      </c>
      <c r="Y687" s="21" t="s">
        <v>318</v>
      </c>
      <c r="Z687" s="21" t="s">
        <v>317</v>
      </c>
      <c r="AA687" s="21" t="s">
        <v>1</v>
      </c>
      <c r="AB687" s="21">
        <v>1</v>
      </c>
      <c r="AD687" s="24">
        <v>7.98</v>
      </c>
      <c r="AE687" s="24">
        <v>8.9700000000000006</v>
      </c>
      <c r="AF687" s="21" t="s">
        <v>304</v>
      </c>
      <c r="AG687" s="21" t="s">
        <v>341</v>
      </c>
    </row>
    <row r="688" spans="1:33">
      <c r="A688" s="21" t="s">
        <v>1</v>
      </c>
      <c r="B688" s="21" t="s">
        <v>534</v>
      </c>
      <c r="C688" s="25">
        <v>46130.847222222219</v>
      </c>
      <c r="D688" s="21" t="s">
        <v>81</v>
      </c>
      <c r="E688" s="24">
        <v>7.95</v>
      </c>
      <c r="F688" s="24">
        <v>7.16</v>
      </c>
      <c r="G688" s="24">
        <f>E688-F688</f>
        <v>0.79</v>
      </c>
      <c r="H688" s="21" t="s">
        <v>289</v>
      </c>
      <c r="I688" s="21">
        <v>1</v>
      </c>
      <c r="J688" s="21">
        <v>6</v>
      </c>
      <c r="K688" s="21">
        <v>0</v>
      </c>
      <c r="L688" s="21">
        <v>0</v>
      </c>
      <c r="M688" s="21">
        <v>6</v>
      </c>
      <c r="N688" s="21">
        <v>7</v>
      </c>
      <c r="O688" s="21">
        <v>5</v>
      </c>
      <c r="P688" s="24">
        <f>J688+L688+N688</f>
        <v>13</v>
      </c>
      <c r="Q688" s="24">
        <f>K688+M688+O688</f>
        <v>11</v>
      </c>
      <c r="R688" s="24">
        <v>0.54166666666666663</v>
      </c>
      <c r="S688" s="21" t="s">
        <v>79</v>
      </c>
      <c r="T688" s="21" t="s">
        <v>351</v>
      </c>
      <c r="U688" s="21" t="s">
        <v>287</v>
      </c>
      <c r="V688" s="21" t="s">
        <v>286</v>
      </c>
      <c r="W688" s="21">
        <v>14</v>
      </c>
      <c r="X688" s="21" t="s">
        <v>285</v>
      </c>
      <c r="Y688" s="21" t="s">
        <v>318</v>
      </c>
      <c r="Z688" s="21" t="s">
        <v>317</v>
      </c>
      <c r="AA688" s="21" t="s">
        <v>1</v>
      </c>
      <c r="AB688" s="21">
        <v>1</v>
      </c>
      <c r="AD688" s="24">
        <v>7.98</v>
      </c>
      <c r="AE688" s="24">
        <v>7.6</v>
      </c>
      <c r="AF688" s="21" t="s">
        <v>304</v>
      </c>
      <c r="AG688" s="21" t="s">
        <v>341</v>
      </c>
    </row>
    <row r="689" spans="1:33">
      <c r="A689" s="21" t="s">
        <v>1</v>
      </c>
      <c r="B689" s="21" t="s">
        <v>534</v>
      </c>
      <c r="C689" s="25">
        <v>46130.851388888892</v>
      </c>
      <c r="D689" s="21" t="s">
        <v>290</v>
      </c>
      <c r="E689" s="24">
        <v>7.95</v>
      </c>
      <c r="F689" s="24">
        <v>7.08</v>
      </c>
      <c r="G689" s="24">
        <f>E689-F689</f>
        <v>0.87000000000000011</v>
      </c>
      <c r="H689" s="21" t="s">
        <v>289</v>
      </c>
      <c r="I689" s="21">
        <v>1</v>
      </c>
      <c r="J689" s="21">
        <v>6</v>
      </c>
      <c r="K689" s="21">
        <v>2</v>
      </c>
      <c r="L689" s="21">
        <v>6</v>
      </c>
      <c r="M689" s="21">
        <v>4</v>
      </c>
      <c r="P689" s="24">
        <f>J689+L689+N689</f>
        <v>12</v>
      </c>
      <c r="Q689" s="24">
        <f>K689+M689+O689</f>
        <v>6</v>
      </c>
      <c r="R689" s="24">
        <v>0.66666666666666663</v>
      </c>
      <c r="S689" s="21" t="s">
        <v>79</v>
      </c>
      <c r="T689" s="21" t="s">
        <v>536</v>
      </c>
      <c r="U689" s="21" t="s">
        <v>287</v>
      </c>
      <c r="V689" s="21" t="s">
        <v>286</v>
      </c>
      <c r="W689" s="21">
        <v>15</v>
      </c>
      <c r="X689" s="21" t="s">
        <v>285</v>
      </c>
      <c r="Y689" s="21" t="s">
        <v>318</v>
      </c>
      <c r="Z689" s="21" t="s">
        <v>317</v>
      </c>
      <c r="AA689" s="21" t="s">
        <v>1</v>
      </c>
      <c r="AB689" s="21">
        <v>1</v>
      </c>
      <c r="AD689" s="24">
        <v>7.98</v>
      </c>
      <c r="AE689" s="24">
        <v>7.08</v>
      </c>
      <c r="AF689" s="21" t="s">
        <v>304</v>
      </c>
      <c r="AG689" s="21" t="s">
        <v>341</v>
      </c>
    </row>
    <row r="690" spans="1:33">
      <c r="A690" s="21" t="s">
        <v>1</v>
      </c>
      <c r="B690" s="21" t="s">
        <v>534</v>
      </c>
      <c r="C690" s="25">
        <v>46132.666666666664</v>
      </c>
      <c r="D690" s="21" t="s">
        <v>589</v>
      </c>
      <c r="E690" s="24">
        <v>7.95</v>
      </c>
      <c r="F690" s="24">
        <v>5.38</v>
      </c>
      <c r="G690" s="24">
        <f>E690-F690</f>
        <v>2.5700000000000003</v>
      </c>
      <c r="H690" s="21" t="s">
        <v>289</v>
      </c>
      <c r="I690" s="21">
        <v>1</v>
      </c>
      <c r="J690" s="21">
        <v>6</v>
      </c>
      <c r="K690" s="21">
        <v>4</v>
      </c>
      <c r="L690" s="21">
        <v>6</v>
      </c>
      <c r="M690" s="21">
        <v>2</v>
      </c>
      <c r="P690" s="24">
        <f>J690+L690+N690</f>
        <v>12</v>
      </c>
      <c r="Q690" s="24">
        <f>K690+M690+O690</f>
        <v>6</v>
      </c>
      <c r="R690" s="24">
        <v>0.66666666666666663</v>
      </c>
      <c r="S690" s="21" t="s">
        <v>79</v>
      </c>
      <c r="U690" s="21" t="s">
        <v>287</v>
      </c>
      <c r="V690" s="21" t="s">
        <v>286</v>
      </c>
      <c r="W690" s="21">
        <v>16</v>
      </c>
      <c r="X690" s="21" t="s">
        <v>285</v>
      </c>
      <c r="Y690" s="21" t="s">
        <v>318</v>
      </c>
      <c r="Z690" s="21" t="s">
        <v>317</v>
      </c>
      <c r="AA690" s="21" t="s">
        <v>1</v>
      </c>
      <c r="AB690" s="21">
        <v>1</v>
      </c>
      <c r="AD690" s="24">
        <v>7.98</v>
      </c>
      <c r="AE690" s="24">
        <v>5.38</v>
      </c>
      <c r="AF690" s="21" t="s">
        <v>302</v>
      </c>
      <c r="AG690" s="21" t="s">
        <v>301</v>
      </c>
    </row>
    <row r="691" spans="1:33">
      <c r="A691" s="21" t="s">
        <v>1</v>
      </c>
      <c r="B691" s="21" t="s">
        <v>534</v>
      </c>
      <c r="C691" s="25">
        <v>46139.666666666664</v>
      </c>
      <c r="D691" s="21" t="s">
        <v>6</v>
      </c>
      <c r="E691" s="24">
        <v>7.94</v>
      </c>
      <c r="F691" s="24">
        <v>8.61</v>
      </c>
      <c r="G691" s="24">
        <f>E691-F691</f>
        <v>-0.66999999999999904</v>
      </c>
      <c r="H691" s="21" t="s">
        <v>294</v>
      </c>
      <c r="I691" s="21">
        <v>0</v>
      </c>
      <c r="J691" s="21">
        <v>6</v>
      </c>
      <c r="K691" s="21">
        <v>7</v>
      </c>
      <c r="L691" s="21">
        <v>0</v>
      </c>
      <c r="M691" s="21">
        <v>6</v>
      </c>
      <c r="P691" s="24">
        <f>J691+L691+N691</f>
        <v>6</v>
      </c>
      <c r="Q691" s="24">
        <f>K691+M691+O691</f>
        <v>13</v>
      </c>
      <c r="R691" s="24">
        <v>0.31578947368421051</v>
      </c>
      <c r="S691" s="21" t="s">
        <v>49</v>
      </c>
      <c r="U691" s="21" t="s">
        <v>287</v>
      </c>
      <c r="V691" s="21" t="s">
        <v>286</v>
      </c>
      <c r="W691" s="21">
        <v>17</v>
      </c>
      <c r="X691" s="21" t="s">
        <v>285</v>
      </c>
      <c r="Y691" s="21" t="s">
        <v>318</v>
      </c>
      <c r="Z691" s="21" t="s">
        <v>317</v>
      </c>
      <c r="AA691" s="21" t="s">
        <v>1</v>
      </c>
      <c r="AB691" s="21">
        <v>1</v>
      </c>
      <c r="AD691" s="24">
        <v>7.98</v>
      </c>
      <c r="AE691" s="24">
        <v>8.9700000000000006</v>
      </c>
      <c r="AF691" s="21" t="s">
        <v>304</v>
      </c>
      <c r="AG691" s="21" t="s">
        <v>303</v>
      </c>
    </row>
    <row r="692" spans="1:33">
      <c r="A692" s="21" t="s">
        <v>1</v>
      </c>
      <c r="B692" s="21" t="s">
        <v>534</v>
      </c>
      <c r="C692" s="25">
        <v>46141.576388888891</v>
      </c>
      <c r="D692" s="21" t="s">
        <v>588</v>
      </c>
      <c r="E692" s="24">
        <v>7.89</v>
      </c>
      <c r="F692" s="24">
        <v>6.78</v>
      </c>
      <c r="G692" s="24">
        <f>E692-F692</f>
        <v>1.1099999999999994</v>
      </c>
      <c r="H692" s="21" t="s">
        <v>289</v>
      </c>
      <c r="I692" s="21">
        <v>1</v>
      </c>
      <c r="J692" s="21">
        <v>6</v>
      </c>
      <c r="K692" s="21">
        <v>1</v>
      </c>
      <c r="L692" s="21">
        <v>6</v>
      </c>
      <c r="M692" s="21">
        <v>3</v>
      </c>
      <c r="P692" s="24">
        <f>J692+L692+N692</f>
        <v>12</v>
      </c>
      <c r="Q692" s="24">
        <f>K692+M692+O692</f>
        <v>4</v>
      </c>
      <c r="R692" s="24">
        <v>0.75</v>
      </c>
      <c r="S692" s="21" t="s">
        <v>29</v>
      </c>
      <c r="T692" s="21" t="s">
        <v>298</v>
      </c>
      <c r="U692" s="21" t="s">
        <v>292</v>
      </c>
      <c r="V692" s="21" t="s">
        <v>286</v>
      </c>
      <c r="W692" s="21">
        <v>18</v>
      </c>
      <c r="X692" s="21" t="s">
        <v>285</v>
      </c>
      <c r="Y692" s="21" t="s">
        <v>318</v>
      </c>
      <c r="Z692" s="21" t="s">
        <v>317</v>
      </c>
      <c r="AA692" s="21" t="s">
        <v>1</v>
      </c>
      <c r="AB692" s="21">
        <v>1</v>
      </c>
      <c r="AD692" s="24">
        <v>7.98</v>
      </c>
      <c r="AE692" s="24">
        <v>6.78</v>
      </c>
      <c r="AF692" s="21" t="s">
        <v>304</v>
      </c>
      <c r="AG692" s="21" t="s">
        <v>303</v>
      </c>
    </row>
    <row r="693" spans="1:33">
      <c r="A693" s="21" t="s">
        <v>1</v>
      </c>
      <c r="B693" s="21" t="s">
        <v>534</v>
      </c>
      <c r="C693" s="25">
        <v>46141.586111111108</v>
      </c>
      <c r="D693" s="21" t="s">
        <v>37</v>
      </c>
      <c r="E693" s="24">
        <v>7.89</v>
      </c>
      <c r="F693" s="24">
        <v>10.16</v>
      </c>
      <c r="G693" s="24">
        <f>E693-F693</f>
        <v>-2.2700000000000005</v>
      </c>
      <c r="H693" s="21" t="s">
        <v>294</v>
      </c>
      <c r="I693" s="21">
        <v>0</v>
      </c>
      <c r="J693" s="21">
        <v>3</v>
      </c>
      <c r="K693" s="21">
        <v>6</v>
      </c>
      <c r="L693" s="21">
        <v>1</v>
      </c>
      <c r="M693" s="21">
        <v>6</v>
      </c>
      <c r="P693" s="24">
        <f>J693+L693+N693</f>
        <v>4</v>
      </c>
      <c r="Q693" s="24">
        <f>K693+M693+O693</f>
        <v>12</v>
      </c>
      <c r="R693" s="24">
        <v>0.25</v>
      </c>
      <c r="S693" s="21" t="s">
        <v>29</v>
      </c>
      <c r="T693" s="21" t="s">
        <v>297</v>
      </c>
      <c r="U693" s="21" t="s">
        <v>292</v>
      </c>
      <c r="V693" s="21" t="s">
        <v>286</v>
      </c>
      <c r="W693" s="21">
        <v>19</v>
      </c>
      <c r="X693" s="21" t="s">
        <v>285</v>
      </c>
      <c r="Y693" s="21" t="s">
        <v>318</v>
      </c>
      <c r="Z693" s="21" t="s">
        <v>317</v>
      </c>
      <c r="AA693" s="21" t="s">
        <v>1</v>
      </c>
      <c r="AB693" s="21">
        <v>1</v>
      </c>
      <c r="AD693" s="24">
        <v>7.98</v>
      </c>
      <c r="AE693" s="24">
        <v>10.06</v>
      </c>
      <c r="AF693" s="21" t="s">
        <v>304</v>
      </c>
      <c r="AG693" s="21" t="s">
        <v>303</v>
      </c>
    </row>
    <row r="694" spans="1:33">
      <c r="A694" s="21" t="s">
        <v>1</v>
      </c>
      <c r="B694" s="21" t="s">
        <v>534</v>
      </c>
      <c r="C694" s="25">
        <v>46141.645833333336</v>
      </c>
      <c r="D694" s="21" t="s">
        <v>57</v>
      </c>
      <c r="E694" s="24">
        <v>7.89</v>
      </c>
      <c r="F694" s="24">
        <v>5.21</v>
      </c>
      <c r="G694" s="24">
        <f>E694-F694</f>
        <v>2.6799999999999997</v>
      </c>
      <c r="H694" s="21" t="s">
        <v>289</v>
      </c>
      <c r="I694" s="21">
        <v>1</v>
      </c>
      <c r="J694" s="21">
        <v>6</v>
      </c>
      <c r="K694" s="21">
        <v>0</v>
      </c>
      <c r="L694" s="21">
        <v>6</v>
      </c>
      <c r="M694" s="21">
        <v>4</v>
      </c>
      <c r="P694" s="24">
        <f>J694+L694+N694</f>
        <v>12</v>
      </c>
      <c r="Q694" s="24">
        <f>K694+M694+O694</f>
        <v>4</v>
      </c>
      <c r="R694" s="24">
        <v>0.75</v>
      </c>
      <c r="S694" s="21" t="s">
        <v>35</v>
      </c>
      <c r="U694" s="21" t="s">
        <v>287</v>
      </c>
      <c r="V694" s="21" t="s">
        <v>286</v>
      </c>
      <c r="W694" s="21">
        <v>20</v>
      </c>
      <c r="X694" s="21" t="s">
        <v>285</v>
      </c>
      <c r="Y694" s="21" t="s">
        <v>318</v>
      </c>
      <c r="Z694" s="21" t="s">
        <v>317</v>
      </c>
      <c r="AA694" s="21" t="s">
        <v>1</v>
      </c>
      <c r="AB694" s="21">
        <v>1</v>
      </c>
      <c r="AD694" s="24">
        <v>7.98</v>
      </c>
      <c r="AE694" s="24">
        <v>5.96</v>
      </c>
      <c r="AF694" s="21" t="s">
        <v>304</v>
      </c>
      <c r="AG694" s="21" t="s">
        <v>303</v>
      </c>
    </row>
    <row r="695" spans="1:33">
      <c r="A695" s="21" t="s">
        <v>1</v>
      </c>
      <c r="B695" s="21" t="s">
        <v>534</v>
      </c>
      <c r="C695" s="25">
        <v>46142.645833333336</v>
      </c>
      <c r="D695" s="21" t="s">
        <v>21</v>
      </c>
      <c r="E695" s="24">
        <v>7.89</v>
      </c>
      <c r="F695" s="24">
        <v>8.8000000000000007</v>
      </c>
      <c r="G695" s="24">
        <f>E695-F695</f>
        <v>-0.91000000000000103</v>
      </c>
      <c r="H695" s="21" t="s">
        <v>294</v>
      </c>
      <c r="I695" s="21">
        <v>0</v>
      </c>
      <c r="J695" s="21">
        <v>3</v>
      </c>
      <c r="K695" s="21">
        <v>6</v>
      </c>
      <c r="L695" s="21">
        <v>3</v>
      </c>
      <c r="M695" s="21">
        <v>6</v>
      </c>
      <c r="P695" s="24">
        <f>J695+L695+N695</f>
        <v>6</v>
      </c>
      <c r="Q695" s="24">
        <f>K695+M695+O695</f>
        <v>12</v>
      </c>
      <c r="R695" s="24">
        <v>0.33333333333333331</v>
      </c>
      <c r="S695" s="21" t="s">
        <v>19</v>
      </c>
      <c r="U695" s="21" t="s">
        <v>287</v>
      </c>
      <c r="V695" s="21" t="s">
        <v>286</v>
      </c>
      <c r="W695" s="21">
        <v>21</v>
      </c>
      <c r="X695" s="21" t="s">
        <v>285</v>
      </c>
      <c r="Y695" s="21" t="s">
        <v>318</v>
      </c>
      <c r="Z695" s="21" t="s">
        <v>317</v>
      </c>
      <c r="AA695" s="21" t="s">
        <v>1</v>
      </c>
      <c r="AB695" s="21">
        <v>1</v>
      </c>
      <c r="AD695" s="24">
        <v>7.98</v>
      </c>
      <c r="AE695" s="24">
        <v>8.4600000000000009</v>
      </c>
      <c r="AF695" s="21" t="s">
        <v>304</v>
      </c>
      <c r="AG695" s="21" t="s">
        <v>303</v>
      </c>
    </row>
    <row r="696" spans="1:33">
      <c r="A696" s="21" t="s">
        <v>1</v>
      </c>
      <c r="B696" s="21" t="s">
        <v>534</v>
      </c>
      <c r="C696" s="25">
        <v>46147.708333333336</v>
      </c>
      <c r="D696" s="21" t="s">
        <v>2</v>
      </c>
      <c r="E696" s="24">
        <v>7.84</v>
      </c>
      <c r="F696" s="24">
        <v>7.52</v>
      </c>
      <c r="G696" s="24">
        <f>E696-F696</f>
        <v>0.32000000000000028</v>
      </c>
      <c r="H696" s="21" t="s">
        <v>289</v>
      </c>
      <c r="I696" s="21">
        <v>1</v>
      </c>
      <c r="J696" s="21">
        <v>6</v>
      </c>
      <c r="K696" s="21">
        <v>0</v>
      </c>
      <c r="L696" s="21">
        <v>6</v>
      </c>
      <c r="M696" s="21">
        <v>2</v>
      </c>
      <c r="P696" s="24">
        <f>J696+L696+N696</f>
        <v>12</v>
      </c>
      <c r="Q696" s="24">
        <f>K696+M696+O696</f>
        <v>2</v>
      </c>
      <c r="R696" s="24">
        <v>0.8571428571428571</v>
      </c>
      <c r="S696" s="21" t="s">
        <v>3</v>
      </c>
      <c r="U696" s="21" t="s">
        <v>287</v>
      </c>
      <c r="V696" s="21" t="s">
        <v>286</v>
      </c>
      <c r="W696" s="21">
        <v>22</v>
      </c>
      <c r="X696" s="21" t="s">
        <v>285</v>
      </c>
      <c r="Y696" s="21" t="s">
        <v>318</v>
      </c>
      <c r="Z696" s="21" t="s">
        <v>317</v>
      </c>
      <c r="AA696" s="21" t="s">
        <v>1</v>
      </c>
      <c r="AB696" s="21">
        <v>1</v>
      </c>
      <c r="AD696" s="24">
        <v>7.98</v>
      </c>
      <c r="AE696" s="24">
        <v>7.1</v>
      </c>
      <c r="AF696" s="21" t="s">
        <v>304</v>
      </c>
      <c r="AG696" s="21" t="s">
        <v>341</v>
      </c>
    </row>
    <row r="697" spans="1:33">
      <c r="A697" s="21" t="s">
        <v>10</v>
      </c>
      <c r="B697" s="21" t="s">
        <v>473</v>
      </c>
      <c r="C697" s="25">
        <v>46094.645833333336</v>
      </c>
      <c r="D697" s="21" t="s">
        <v>23</v>
      </c>
      <c r="E697" s="24">
        <v>7.15</v>
      </c>
      <c r="F697" s="24">
        <v>6.82</v>
      </c>
      <c r="G697" s="24">
        <f>E697-F697</f>
        <v>0.33000000000000007</v>
      </c>
      <c r="H697" s="21" t="s">
        <v>294</v>
      </c>
      <c r="I697" s="21">
        <v>0</v>
      </c>
      <c r="J697" s="21">
        <v>7</v>
      </c>
      <c r="K697" s="21">
        <v>6</v>
      </c>
      <c r="L697" s="21">
        <v>6</v>
      </c>
      <c r="M697" s="21">
        <v>7</v>
      </c>
      <c r="N697" s="21">
        <v>2</v>
      </c>
      <c r="O697" s="21">
        <v>6</v>
      </c>
      <c r="P697" s="24">
        <f>J697+L697+N697</f>
        <v>15</v>
      </c>
      <c r="Q697" s="24">
        <f>K697+M697+O697</f>
        <v>19</v>
      </c>
      <c r="R697" s="24">
        <v>0.49647887323943662</v>
      </c>
      <c r="S697" s="21" t="s">
        <v>383</v>
      </c>
      <c r="U697" s="21" t="s">
        <v>287</v>
      </c>
      <c r="V697" s="21" t="s">
        <v>286</v>
      </c>
      <c r="W697" s="21">
        <v>0</v>
      </c>
      <c r="X697" s="21" t="s">
        <v>312</v>
      </c>
      <c r="Y697" s="21" t="s">
        <v>318</v>
      </c>
      <c r="Z697" s="21" t="s">
        <v>317</v>
      </c>
      <c r="AA697" s="21" t="s">
        <v>10</v>
      </c>
      <c r="AB697" s="21">
        <v>1</v>
      </c>
      <c r="AD697" s="24">
        <v>6.92</v>
      </c>
      <c r="AE697" s="24">
        <v>7.15</v>
      </c>
      <c r="AF697" s="21" t="s">
        <v>302</v>
      </c>
      <c r="AG697" s="21" t="s">
        <v>301</v>
      </c>
    </row>
    <row r="698" spans="1:33">
      <c r="A698" s="21" t="s">
        <v>10</v>
      </c>
      <c r="B698" s="21" t="s">
        <v>473</v>
      </c>
      <c r="C698" s="25">
        <v>46098.645833333336</v>
      </c>
      <c r="D698" s="21" t="s">
        <v>587</v>
      </c>
      <c r="E698" s="24">
        <v>7.15</v>
      </c>
      <c r="F698" s="24">
        <v>2.87</v>
      </c>
      <c r="G698" s="24">
        <f>E698-F698</f>
        <v>4.28</v>
      </c>
      <c r="H698" s="21" t="s">
        <v>289</v>
      </c>
      <c r="I698" s="21">
        <v>1</v>
      </c>
      <c r="J698" s="21">
        <v>6</v>
      </c>
      <c r="K698" s="21">
        <v>0</v>
      </c>
      <c r="L698" s="21">
        <v>6</v>
      </c>
      <c r="M698" s="21">
        <v>1</v>
      </c>
      <c r="P698" s="24">
        <f>J698+L698+N698</f>
        <v>12</v>
      </c>
      <c r="Q698" s="24">
        <f>K698+M698+O698</f>
        <v>1</v>
      </c>
      <c r="R698" s="24">
        <v>0.92307692307692313</v>
      </c>
      <c r="S698" s="21" t="s">
        <v>334</v>
      </c>
      <c r="U698" s="21" t="s">
        <v>287</v>
      </c>
      <c r="V698" s="21" t="s">
        <v>286</v>
      </c>
      <c r="W698" s="21">
        <v>1</v>
      </c>
      <c r="X698" s="21" t="s">
        <v>323</v>
      </c>
      <c r="Y698" s="21" t="s">
        <v>318</v>
      </c>
      <c r="Z698" s="21" t="s">
        <v>317</v>
      </c>
      <c r="AA698" s="21" t="s">
        <v>10</v>
      </c>
      <c r="AB698" s="21">
        <v>1</v>
      </c>
      <c r="AD698" s="24">
        <v>6.92</v>
      </c>
      <c r="AE698" s="24">
        <v>2.87</v>
      </c>
      <c r="AF698" s="21" t="s">
        <v>304</v>
      </c>
      <c r="AG698" s="21" t="s">
        <v>303</v>
      </c>
    </row>
    <row r="699" spans="1:33">
      <c r="A699" s="21" t="s">
        <v>10</v>
      </c>
      <c r="B699" s="21" t="s">
        <v>473</v>
      </c>
      <c r="C699" s="25">
        <v>46099.645833333336</v>
      </c>
      <c r="D699" s="21" t="s">
        <v>170</v>
      </c>
      <c r="E699" s="24">
        <v>7.15</v>
      </c>
      <c r="F699" s="24">
        <v>5.23</v>
      </c>
      <c r="G699" s="24">
        <f>E699-F699</f>
        <v>1.92</v>
      </c>
      <c r="H699" s="21" t="s">
        <v>289</v>
      </c>
      <c r="I699" s="21">
        <v>1</v>
      </c>
      <c r="J699" s="21">
        <v>6</v>
      </c>
      <c r="K699" s="21">
        <v>4</v>
      </c>
      <c r="L699" s="21">
        <v>6</v>
      </c>
      <c r="M699" s="21">
        <v>2</v>
      </c>
      <c r="P699" s="24">
        <f>J699+L699+N699</f>
        <v>12</v>
      </c>
      <c r="Q699" s="24">
        <f>K699+M699+O699</f>
        <v>6</v>
      </c>
      <c r="R699" s="24">
        <v>0.66666666666666663</v>
      </c>
      <c r="S699" s="21" t="s">
        <v>237</v>
      </c>
      <c r="U699" s="21" t="s">
        <v>287</v>
      </c>
      <c r="V699" s="21" t="s">
        <v>286</v>
      </c>
      <c r="W699" s="21">
        <v>2</v>
      </c>
      <c r="X699" s="21" t="s">
        <v>310</v>
      </c>
      <c r="Y699" s="21" t="s">
        <v>318</v>
      </c>
      <c r="Z699" s="21" t="s">
        <v>317</v>
      </c>
      <c r="AA699" s="21" t="s">
        <v>10</v>
      </c>
      <c r="AB699" s="21">
        <v>1</v>
      </c>
      <c r="AD699" s="24">
        <v>6.92</v>
      </c>
      <c r="AE699" s="24">
        <v>6.27</v>
      </c>
      <c r="AF699" s="21" t="s">
        <v>304</v>
      </c>
      <c r="AG699" s="21" t="s">
        <v>303</v>
      </c>
    </row>
    <row r="700" spans="1:33">
      <c r="A700" s="21" t="s">
        <v>10</v>
      </c>
      <c r="B700" s="21" t="s">
        <v>473</v>
      </c>
      <c r="C700" s="25">
        <v>46106.645833333336</v>
      </c>
      <c r="D700" s="21" t="s">
        <v>131</v>
      </c>
      <c r="E700" s="24">
        <v>7.15</v>
      </c>
      <c r="F700" s="24">
        <v>5.8</v>
      </c>
      <c r="G700" s="24">
        <f>E700-F700</f>
        <v>1.3500000000000005</v>
      </c>
      <c r="H700" s="21" t="s">
        <v>289</v>
      </c>
      <c r="I700" s="21">
        <v>1</v>
      </c>
      <c r="J700" s="21">
        <v>6</v>
      </c>
      <c r="K700" s="21">
        <v>1</v>
      </c>
      <c r="L700" s="21">
        <v>6</v>
      </c>
      <c r="M700" s="21">
        <v>2</v>
      </c>
      <c r="P700" s="24">
        <f>J700+L700+N700</f>
        <v>12</v>
      </c>
      <c r="Q700" s="24">
        <f>K700+M700+O700</f>
        <v>3</v>
      </c>
      <c r="R700" s="24">
        <v>0.8</v>
      </c>
      <c r="S700" s="21" t="s">
        <v>209</v>
      </c>
      <c r="U700" s="21" t="s">
        <v>287</v>
      </c>
      <c r="V700" s="21" t="s">
        <v>286</v>
      </c>
      <c r="W700" s="21">
        <v>3</v>
      </c>
      <c r="X700" s="21" t="s">
        <v>285</v>
      </c>
      <c r="Y700" s="21" t="s">
        <v>318</v>
      </c>
      <c r="Z700" s="21" t="s">
        <v>317</v>
      </c>
      <c r="AA700" s="21" t="s">
        <v>10</v>
      </c>
      <c r="AB700" s="21">
        <v>1</v>
      </c>
      <c r="AD700" s="24">
        <v>6.92</v>
      </c>
      <c r="AE700" s="24">
        <v>5.95</v>
      </c>
      <c r="AF700" s="21" t="s">
        <v>304</v>
      </c>
      <c r="AG700" s="21" t="s">
        <v>303</v>
      </c>
    </row>
    <row r="701" spans="1:33">
      <c r="A701" s="21" t="s">
        <v>10</v>
      </c>
      <c r="B701" s="21" t="s">
        <v>473</v>
      </c>
      <c r="C701" s="25">
        <v>46107.645833333336</v>
      </c>
      <c r="D701" s="21" t="s">
        <v>33</v>
      </c>
      <c r="E701" s="24">
        <v>7.15</v>
      </c>
      <c r="F701" s="24">
        <v>5.33</v>
      </c>
      <c r="G701" s="24">
        <f>E701-F701</f>
        <v>1.8200000000000003</v>
      </c>
      <c r="H701" s="21" t="s">
        <v>289</v>
      </c>
      <c r="I701" s="21">
        <v>1</v>
      </c>
      <c r="J701" s="21">
        <v>5</v>
      </c>
      <c r="K701" s="21">
        <v>7</v>
      </c>
      <c r="L701" s="21">
        <v>6</v>
      </c>
      <c r="M701" s="21">
        <v>1</v>
      </c>
      <c r="N701" s="21">
        <v>6</v>
      </c>
      <c r="O701" s="21">
        <v>4</v>
      </c>
      <c r="P701" s="24">
        <f>J701+L701+N701</f>
        <v>17</v>
      </c>
      <c r="Q701" s="24">
        <f>K701+M701+O701</f>
        <v>12</v>
      </c>
      <c r="R701" s="24">
        <v>0.58620689655172409</v>
      </c>
      <c r="S701" s="21" t="s">
        <v>202</v>
      </c>
      <c r="U701" s="21" t="s">
        <v>287</v>
      </c>
      <c r="V701" s="21" t="s">
        <v>286</v>
      </c>
      <c r="W701" s="21">
        <v>4</v>
      </c>
      <c r="X701" s="21" t="s">
        <v>285</v>
      </c>
      <c r="Y701" s="21" t="s">
        <v>318</v>
      </c>
      <c r="Z701" s="21" t="s">
        <v>317</v>
      </c>
      <c r="AA701" s="21" t="s">
        <v>10</v>
      </c>
      <c r="AB701" s="21">
        <v>1</v>
      </c>
      <c r="AD701" s="24">
        <v>6.92</v>
      </c>
      <c r="AE701" s="24">
        <v>6.45</v>
      </c>
      <c r="AF701" s="21" t="s">
        <v>302</v>
      </c>
      <c r="AG701" s="21" t="s">
        <v>301</v>
      </c>
    </row>
    <row r="702" spans="1:33">
      <c r="A702" s="21" t="s">
        <v>10</v>
      </c>
      <c r="B702" s="21" t="s">
        <v>473</v>
      </c>
      <c r="C702" s="25">
        <v>46108.645833333336</v>
      </c>
      <c r="D702" s="21" t="s">
        <v>9</v>
      </c>
      <c r="E702" s="24">
        <v>7.15</v>
      </c>
      <c r="F702" s="24">
        <v>7.48</v>
      </c>
      <c r="G702" s="24">
        <f>E702-F702</f>
        <v>-0.33000000000000007</v>
      </c>
      <c r="H702" s="21" t="s">
        <v>289</v>
      </c>
      <c r="I702" s="21">
        <v>1</v>
      </c>
      <c r="J702" s="21">
        <v>0</v>
      </c>
      <c r="K702" s="21">
        <v>6</v>
      </c>
      <c r="L702" s="21">
        <v>7</v>
      </c>
      <c r="M702" s="21">
        <v>5</v>
      </c>
      <c r="N702" s="21">
        <v>6</v>
      </c>
      <c r="O702" s="21">
        <v>4</v>
      </c>
      <c r="P702" s="24">
        <f>J702+L702+N702</f>
        <v>13</v>
      </c>
      <c r="Q702" s="24">
        <f>K702+M702+O702</f>
        <v>15</v>
      </c>
      <c r="R702" s="24">
        <v>0.4642857142857143</v>
      </c>
      <c r="S702" s="21" t="s">
        <v>11</v>
      </c>
      <c r="U702" s="21" t="s">
        <v>287</v>
      </c>
      <c r="V702" s="21" t="s">
        <v>286</v>
      </c>
      <c r="W702" s="21">
        <v>5</v>
      </c>
      <c r="X702" s="21" t="s">
        <v>285</v>
      </c>
      <c r="Y702" s="21" t="s">
        <v>318</v>
      </c>
      <c r="Z702" s="21" t="s">
        <v>317</v>
      </c>
      <c r="AA702" s="21" t="s">
        <v>10</v>
      </c>
      <c r="AB702" s="21">
        <v>1</v>
      </c>
      <c r="AD702" s="24">
        <v>6.92</v>
      </c>
      <c r="AE702" s="24">
        <v>7.82</v>
      </c>
      <c r="AF702" s="21" t="s">
        <v>302</v>
      </c>
      <c r="AG702" s="21" t="s">
        <v>301</v>
      </c>
    </row>
    <row r="703" spans="1:33">
      <c r="A703" s="21" t="s">
        <v>10</v>
      </c>
      <c r="B703" s="21" t="s">
        <v>473</v>
      </c>
      <c r="C703" s="25">
        <v>46122.645833333336</v>
      </c>
      <c r="D703" s="21" t="s">
        <v>333</v>
      </c>
      <c r="E703" s="24">
        <v>6.77</v>
      </c>
      <c r="F703" s="24">
        <v>3.93</v>
      </c>
      <c r="G703" s="24">
        <f>E703-F703</f>
        <v>2.8399999999999994</v>
      </c>
      <c r="H703" s="21" t="s">
        <v>289</v>
      </c>
      <c r="I703" s="21">
        <v>1</v>
      </c>
      <c r="J703" s="21">
        <v>6</v>
      </c>
      <c r="K703" s="21">
        <v>1</v>
      </c>
      <c r="L703" s="21">
        <v>6</v>
      </c>
      <c r="M703" s="21">
        <v>0</v>
      </c>
      <c r="P703" s="24">
        <f>J703+L703+N703</f>
        <v>12</v>
      </c>
      <c r="Q703" s="24">
        <f>K703+M703+O703</f>
        <v>1</v>
      </c>
      <c r="R703" s="24">
        <v>0.92307692307692313</v>
      </c>
      <c r="S703" s="21" t="s">
        <v>476</v>
      </c>
      <c r="U703" s="21" t="s">
        <v>287</v>
      </c>
      <c r="V703" s="21" t="s">
        <v>286</v>
      </c>
      <c r="W703" s="21">
        <v>6</v>
      </c>
      <c r="X703" s="21" t="s">
        <v>285</v>
      </c>
      <c r="Y703" s="21" t="s">
        <v>318</v>
      </c>
      <c r="Z703" s="21" t="s">
        <v>317</v>
      </c>
      <c r="AA703" s="21" t="s">
        <v>10</v>
      </c>
      <c r="AB703" s="21">
        <v>1</v>
      </c>
      <c r="AD703" s="24">
        <v>6.92</v>
      </c>
      <c r="AE703" s="24">
        <v>3.93</v>
      </c>
      <c r="AF703" s="21" t="s">
        <v>302</v>
      </c>
      <c r="AG703" s="21" t="s">
        <v>301</v>
      </c>
    </row>
    <row r="704" spans="1:33">
      <c r="A704" s="21" t="s">
        <v>10</v>
      </c>
      <c r="B704" s="21" t="s">
        <v>473</v>
      </c>
      <c r="C704" s="25">
        <v>46127.645833333336</v>
      </c>
      <c r="D704" s="21" t="s">
        <v>107</v>
      </c>
      <c r="E704" s="24">
        <v>6.92</v>
      </c>
      <c r="F704" s="24">
        <v>5.63</v>
      </c>
      <c r="G704" s="24">
        <f>E704-F704</f>
        <v>1.29</v>
      </c>
      <c r="H704" s="21" t="s">
        <v>294</v>
      </c>
      <c r="I704" s="21">
        <v>0</v>
      </c>
      <c r="J704" s="21">
        <v>2</v>
      </c>
      <c r="K704" s="21">
        <v>6</v>
      </c>
      <c r="L704" s="21">
        <v>4</v>
      </c>
      <c r="M704" s="21">
        <v>6</v>
      </c>
      <c r="P704" s="24">
        <f>J704+L704+N704</f>
        <v>6</v>
      </c>
      <c r="Q704" s="24">
        <f>K704+M704+O704</f>
        <v>12</v>
      </c>
      <c r="R704" s="24">
        <v>0.33333333333333331</v>
      </c>
      <c r="S704" s="21" t="s">
        <v>586</v>
      </c>
      <c r="U704" s="21" t="s">
        <v>287</v>
      </c>
      <c r="V704" s="21" t="s">
        <v>286</v>
      </c>
      <c r="W704" s="21">
        <v>7</v>
      </c>
      <c r="X704" s="21" t="s">
        <v>285</v>
      </c>
      <c r="Y704" s="21" t="s">
        <v>318</v>
      </c>
      <c r="Z704" s="21" t="s">
        <v>317</v>
      </c>
      <c r="AA704" s="21" t="s">
        <v>10</v>
      </c>
      <c r="AB704" s="21">
        <v>1</v>
      </c>
      <c r="AD704" s="24">
        <v>6.92</v>
      </c>
      <c r="AE704" s="24">
        <v>6</v>
      </c>
      <c r="AF704" s="21" t="s">
        <v>302</v>
      </c>
      <c r="AG704" s="21" t="s">
        <v>301</v>
      </c>
    </row>
    <row r="705" spans="1:33">
      <c r="A705" s="21" t="s">
        <v>10</v>
      </c>
      <c r="B705" s="21" t="s">
        <v>473</v>
      </c>
      <c r="C705" s="25">
        <v>46131.777083333334</v>
      </c>
      <c r="D705" s="21" t="s">
        <v>131</v>
      </c>
      <c r="E705" s="24">
        <v>6.92</v>
      </c>
      <c r="F705" s="24">
        <v>5.9</v>
      </c>
      <c r="G705" s="24">
        <f>E705-F705</f>
        <v>1.0199999999999996</v>
      </c>
      <c r="H705" s="21" t="s">
        <v>289</v>
      </c>
      <c r="I705" s="21">
        <v>1</v>
      </c>
      <c r="J705" s="21">
        <v>6</v>
      </c>
      <c r="K705" s="21">
        <v>1</v>
      </c>
      <c r="L705" s="21">
        <v>6</v>
      </c>
      <c r="M705" s="21">
        <v>2</v>
      </c>
      <c r="P705" s="24">
        <f>J705+L705+N705</f>
        <v>12</v>
      </c>
      <c r="Q705" s="24">
        <f>K705+M705+O705</f>
        <v>3</v>
      </c>
      <c r="R705" s="24">
        <v>0.8</v>
      </c>
      <c r="S705" s="21" t="s">
        <v>63</v>
      </c>
      <c r="U705" s="21" t="s">
        <v>287</v>
      </c>
      <c r="V705" s="21" t="s">
        <v>286</v>
      </c>
      <c r="W705" s="21">
        <v>8</v>
      </c>
      <c r="X705" s="21" t="s">
        <v>285</v>
      </c>
      <c r="Y705" s="21" t="s">
        <v>318</v>
      </c>
      <c r="Z705" s="21" t="s">
        <v>317</v>
      </c>
      <c r="AA705" s="21" t="s">
        <v>10</v>
      </c>
      <c r="AB705" s="21">
        <v>1</v>
      </c>
      <c r="AD705" s="24">
        <v>6.92</v>
      </c>
      <c r="AE705" s="24">
        <v>5.95</v>
      </c>
      <c r="AF705" s="21" t="s">
        <v>302</v>
      </c>
      <c r="AG705" s="21" t="s">
        <v>301</v>
      </c>
    </row>
    <row r="706" spans="1:33">
      <c r="A706" s="21" t="s">
        <v>10</v>
      </c>
      <c r="B706" s="21" t="s">
        <v>473</v>
      </c>
      <c r="C706" s="25">
        <v>46131.779861111114</v>
      </c>
      <c r="D706" s="21" t="s">
        <v>84</v>
      </c>
      <c r="E706" s="24">
        <v>6.92</v>
      </c>
      <c r="F706" s="24">
        <v>6.46</v>
      </c>
      <c r="G706" s="24">
        <f>E706-F706</f>
        <v>0.45999999999999996</v>
      </c>
      <c r="H706" s="21" t="s">
        <v>289</v>
      </c>
      <c r="I706" s="21">
        <v>1</v>
      </c>
      <c r="J706" s="21">
        <v>6</v>
      </c>
      <c r="K706" s="21">
        <v>4</v>
      </c>
      <c r="L706" s="21">
        <v>6</v>
      </c>
      <c r="M706" s="21">
        <v>3</v>
      </c>
      <c r="P706" s="24">
        <f>J706+L706+N706</f>
        <v>12</v>
      </c>
      <c r="Q706" s="24">
        <f>K706+M706+O706</f>
        <v>7</v>
      </c>
      <c r="R706" s="24">
        <v>0.63157894736842102</v>
      </c>
      <c r="S706" s="21" t="s">
        <v>63</v>
      </c>
      <c r="U706" s="21" t="s">
        <v>287</v>
      </c>
      <c r="V706" s="21" t="s">
        <v>286</v>
      </c>
      <c r="W706" s="21">
        <v>9</v>
      </c>
      <c r="X706" s="21" t="s">
        <v>285</v>
      </c>
      <c r="Y706" s="21" t="s">
        <v>318</v>
      </c>
      <c r="Z706" s="21" t="s">
        <v>317</v>
      </c>
      <c r="AA706" s="21" t="s">
        <v>10</v>
      </c>
      <c r="AB706" s="21">
        <v>1</v>
      </c>
      <c r="AD706" s="24">
        <v>6.92</v>
      </c>
      <c r="AE706" s="24">
        <v>6.97</v>
      </c>
      <c r="AF706" s="21" t="s">
        <v>304</v>
      </c>
      <c r="AG706" s="21" t="s">
        <v>303</v>
      </c>
    </row>
    <row r="707" spans="1:33">
      <c r="A707" s="21" t="s">
        <v>10</v>
      </c>
      <c r="B707" s="21" t="s">
        <v>473</v>
      </c>
      <c r="C707" s="25">
        <v>46131.78125</v>
      </c>
      <c r="D707" s="21" t="s">
        <v>14</v>
      </c>
      <c r="E707" s="24">
        <v>6.92</v>
      </c>
      <c r="F707" s="24">
        <v>6.78</v>
      </c>
      <c r="G707" s="24">
        <f>E707-F707</f>
        <v>0.13999999999999968</v>
      </c>
      <c r="H707" s="21" t="s">
        <v>294</v>
      </c>
      <c r="I707" s="21">
        <v>0</v>
      </c>
      <c r="J707" s="21">
        <v>2</v>
      </c>
      <c r="K707" s="21">
        <v>6</v>
      </c>
      <c r="L707" s="21">
        <v>4</v>
      </c>
      <c r="M707" s="21">
        <v>6</v>
      </c>
      <c r="P707" s="24">
        <f>J707+L707+N707</f>
        <v>6</v>
      </c>
      <c r="Q707" s="24">
        <f>K707+M707+O707</f>
        <v>12</v>
      </c>
      <c r="R707" s="24">
        <v>0.33333333333333331</v>
      </c>
      <c r="S707" s="21" t="s">
        <v>63</v>
      </c>
      <c r="U707" s="21" t="s">
        <v>287</v>
      </c>
      <c r="V707" s="21" t="s">
        <v>286</v>
      </c>
      <c r="W707" s="21">
        <v>10</v>
      </c>
      <c r="X707" s="21" t="s">
        <v>285</v>
      </c>
      <c r="Y707" s="21" t="s">
        <v>318</v>
      </c>
      <c r="Z707" s="21" t="s">
        <v>317</v>
      </c>
      <c r="AA707" s="21" t="s">
        <v>10</v>
      </c>
      <c r="AB707" s="21">
        <v>1</v>
      </c>
      <c r="AD707" s="24">
        <v>6.92</v>
      </c>
      <c r="AE707" s="24">
        <v>8.06</v>
      </c>
      <c r="AF707" s="21" t="s">
        <v>302</v>
      </c>
      <c r="AG707" s="21" t="s">
        <v>301</v>
      </c>
    </row>
    <row r="708" spans="1:33">
      <c r="A708" s="21" t="s">
        <v>10</v>
      </c>
      <c r="B708" s="21" t="s">
        <v>473</v>
      </c>
      <c r="C708" s="25">
        <v>46131.782638888886</v>
      </c>
      <c r="D708" s="21" t="s">
        <v>107</v>
      </c>
      <c r="E708" s="24">
        <v>6.92</v>
      </c>
      <c r="F708" s="24">
        <v>5.63</v>
      </c>
      <c r="G708" s="24">
        <f>E708-F708</f>
        <v>1.29</v>
      </c>
      <c r="H708" s="21" t="s">
        <v>289</v>
      </c>
      <c r="I708" s="21">
        <v>1</v>
      </c>
      <c r="J708" s="21">
        <v>7</v>
      </c>
      <c r="K708" s="21">
        <v>6</v>
      </c>
      <c r="L708" s="21">
        <v>6</v>
      </c>
      <c r="M708" s="21">
        <v>0</v>
      </c>
      <c r="P708" s="24">
        <f>J708+L708+N708</f>
        <v>13</v>
      </c>
      <c r="Q708" s="24">
        <f>K708+M708+O708</f>
        <v>6</v>
      </c>
      <c r="R708" s="24">
        <v>0.56849315068493156</v>
      </c>
      <c r="S708" s="21" t="s">
        <v>63</v>
      </c>
      <c r="U708" s="21" t="s">
        <v>287</v>
      </c>
      <c r="V708" s="21" t="s">
        <v>286</v>
      </c>
      <c r="W708" s="21">
        <v>11</v>
      </c>
      <c r="X708" s="21" t="s">
        <v>285</v>
      </c>
      <c r="Y708" s="21" t="s">
        <v>318</v>
      </c>
      <c r="Z708" s="21" t="s">
        <v>317</v>
      </c>
      <c r="AA708" s="21" t="s">
        <v>10</v>
      </c>
      <c r="AB708" s="21">
        <v>1</v>
      </c>
      <c r="AD708" s="24">
        <v>6.92</v>
      </c>
      <c r="AE708" s="24">
        <v>6</v>
      </c>
      <c r="AF708" s="21" t="s">
        <v>302</v>
      </c>
      <c r="AG708" s="21" t="s">
        <v>301</v>
      </c>
    </row>
    <row r="709" spans="1:33">
      <c r="A709" s="21" t="s">
        <v>10</v>
      </c>
      <c r="B709" s="21" t="s">
        <v>473</v>
      </c>
      <c r="C709" s="25">
        <v>46133.645833333336</v>
      </c>
      <c r="D709" s="21" t="s">
        <v>434</v>
      </c>
      <c r="E709" s="24">
        <v>7.02</v>
      </c>
      <c r="F709" s="24">
        <v>6.85</v>
      </c>
      <c r="G709" s="24">
        <f>E709-F709</f>
        <v>0.16999999999999993</v>
      </c>
      <c r="H709" s="21" t="s">
        <v>294</v>
      </c>
      <c r="I709" s="21">
        <v>0</v>
      </c>
      <c r="J709" s="21">
        <v>6</v>
      </c>
      <c r="K709" s="21">
        <v>2</v>
      </c>
      <c r="L709" s="21">
        <v>1</v>
      </c>
      <c r="M709" s="21">
        <v>6</v>
      </c>
      <c r="N709" s="21">
        <v>4</v>
      </c>
      <c r="O709" s="21">
        <v>6</v>
      </c>
      <c r="P709" s="24">
        <f>J709+L709+N709</f>
        <v>11</v>
      </c>
      <c r="Q709" s="24">
        <f>K709+M709+O709</f>
        <v>14</v>
      </c>
      <c r="R709" s="24">
        <v>0.44</v>
      </c>
      <c r="S709" s="21" t="s">
        <v>63</v>
      </c>
      <c r="U709" s="21" t="s">
        <v>287</v>
      </c>
      <c r="V709" s="21" t="s">
        <v>286</v>
      </c>
      <c r="W709" s="21">
        <v>12</v>
      </c>
      <c r="X709" s="21" t="s">
        <v>285</v>
      </c>
      <c r="Y709" s="21" t="s">
        <v>318</v>
      </c>
      <c r="Z709" s="21" t="s">
        <v>317</v>
      </c>
      <c r="AA709" s="21" t="s">
        <v>10</v>
      </c>
      <c r="AB709" s="21">
        <v>1</v>
      </c>
      <c r="AD709" s="24">
        <v>6.92</v>
      </c>
      <c r="AE709" s="24">
        <v>7.17</v>
      </c>
      <c r="AF709" s="21" t="s">
        <v>304</v>
      </c>
      <c r="AG709" s="21" t="s">
        <v>303</v>
      </c>
    </row>
    <row r="710" spans="1:33">
      <c r="A710" s="21" t="s">
        <v>10</v>
      </c>
      <c r="B710" s="21" t="s">
        <v>473</v>
      </c>
      <c r="C710" s="25">
        <v>46141.578472222223</v>
      </c>
      <c r="D710" s="21" t="s">
        <v>585</v>
      </c>
      <c r="E710" s="24">
        <v>7.14</v>
      </c>
      <c r="F710" s="24">
        <v>4.4400000000000004</v>
      </c>
      <c r="G710" s="24">
        <f>E710-F710</f>
        <v>2.6999999999999993</v>
      </c>
      <c r="H710" s="21" t="s">
        <v>289</v>
      </c>
      <c r="I710" s="21">
        <v>1</v>
      </c>
      <c r="J710" s="21">
        <v>6</v>
      </c>
      <c r="K710" s="21">
        <v>2</v>
      </c>
      <c r="L710" s="21">
        <v>6</v>
      </c>
      <c r="M710" s="21">
        <v>2</v>
      </c>
      <c r="P710" s="24">
        <f>J710+L710+N710</f>
        <v>12</v>
      </c>
      <c r="Q710" s="24">
        <f>K710+M710+O710</f>
        <v>4</v>
      </c>
      <c r="R710" s="24">
        <v>0.75</v>
      </c>
      <c r="S710" s="21" t="s">
        <v>29</v>
      </c>
      <c r="T710" s="21" t="s">
        <v>298</v>
      </c>
      <c r="U710" s="21" t="s">
        <v>292</v>
      </c>
      <c r="V710" s="21" t="s">
        <v>286</v>
      </c>
      <c r="W710" s="21">
        <v>13</v>
      </c>
      <c r="X710" s="21" t="s">
        <v>285</v>
      </c>
      <c r="Y710" s="21" t="s">
        <v>318</v>
      </c>
      <c r="Z710" s="21" t="s">
        <v>317</v>
      </c>
      <c r="AA710" s="21" t="s">
        <v>10</v>
      </c>
      <c r="AB710" s="21">
        <v>1</v>
      </c>
      <c r="AD710" s="24">
        <v>6.92</v>
      </c>
      <c r="AE710" s="24">
        <v>4.4400000000000004</v>
      </c>
      <c r="AF710" s="21" t="s">
        <v>302</v>
      </c>
      <c r="AG710" s="21" t="s">
        <v>301</v>
      </c>
    </row>
    <row r="711" spans="1:33">
      <c r="A711" s="21" t="s">
        <v>10</v>
      </c>
      <c r="B711" s="21" t="s">
        <v>473</v>
      </c>
      <c r="C711" s="25">
        <v>46141.586805555555</v>
      </c>
      <c r="D711" s="21" t="s">
        <v>38</v>
      </c>
      <c r="E711" s="24">
        <v>7.14</v>
      </c>
      <c r="F711" s="24">
        <v>10.130000000000001</v>
      </c>
      <c r="G711" s="24">
        <f>E711-F711</f>
        <v>-2.9900000000000011</v>
      </c>
      <c r="H711" s="21" t="s">
        <v>294</v>
      </c>
      <c r="I711" s="21">
        <v>0</v>
      </c>
      <c r="J711" s="21">
        <v>1</v>
      </c>
      <c r="K711" s="21">
        <v>6</v>
      </c>
      <c r="L711" s="21">
        <v>3</v>
      </c>
      <c r="M711" s="21">
        <v>6</v>
      </c>
      <c r="P711" s="24">
        <f>J711+L711+N711</f>
        <v>4</v>
      </c>
      <c r="Q711" s="24">
        <f>K711+M711+O711</f>
        <v>12</v>
      </c>
      <c r="R711" s="24">
        <v>0.25</v>
      </c>
      <c r="S711" s="21" t="s">
        <v>29</v>
      </c>
      <c r="T711" s="21" t="s">
        <v>297</v>
      </c>
      <c r="U711" s="21" t="s">
        <v>292</v>
      </c>
      <c r="V711" s="21" t="s">
        <v>286</v>
      </c>
      <c r="W711" s="21">
        <v>14</v>
      </c>
      <c r="X711" s="21" t="s">
        <v>285</v>
      </c>
      <c r="Y711" s="21" t="s">
        <v>318</v>
      </c>
      <c r="Z711" s="21" t="s">
        <v>317</v>
      </c>
      <c r="AA711" s="21" t="s">
        <v>10</v>
      </c>
      <c r="AB711" s="21">
        <v>1</v>
      </c>
      <c r="AD711" s="24">
        <v>6.92</v>
      </c>
      <c r="AE711" s="24">
        <v>10.01</v>
      </c>
      <c r="AF711" s="21" t="s">
        <v>302</v>
      </c>
      <c r="AG711" s="21" t="s">
        <v>301</v>
      </c>
    </row>
    <row r="712" spans="1:33">
      <c r="A712" s="21" t="s">
        <v>10</v>
      </c>
      <c r="B712" s="21" t="s">
        <v>473</v>
      </c>
      <c r="C712" s="25">
        <v>46146.6875</v>
      </c>
      <c r="D712" s="21" t="s">
        <v>9</v>
      </c>
      <c r="E712" s="24">
        <v>7.14</v>
      </c>
      <c r="F712" s="24">
        <v>7.75</v>
      </c>
      <c r="G712" s="24">
        <f>E712-F712</f>
        <v>-0.61000000000000032</v>
      </c>
      <c r="H712" s="21" t="s">
        <v>294</v>
      </c>
      <c r="I712" s="21">
        <v>0</v>
      </c>
      <c r="J712" s="21">
        <v>6</v>
      </c>
      <c r="K712" s="21">
        <v>7</v>
      </c>
      <c r="L712" s="21">
        <v>6</v>
      </c>
      <c r="M712" s="21">
        <v>4</v>
      </c>
      <c r="N712" s="21">
        <v>3</v>
      </c>
      <c r="O712" s="21">
        <v>6</v>
      </c>
      <c r="P712" s="24">
        <f>J712+L712+N712</f>
        <v>15</v>
      </c>
      <c r="Q712" s="24">
        <f>K712+M712+O712</f>
        <v>17</v>
      </c>
      <c r="R712" s="24">
        <v>0.45283018867924529</v>
      </c>
      <c r="S712" s="21" t="s">
        <v>11</v>
      </c>
      <c r="U712" s="21" t="s">
        <v>287</v>
      </c>
      <c r="V712" s="21" t="s">
        <v>286</v>
      </c>
      <c r="W712" s="21">
        <v>15</v>
      </c>
      <c r="X712" s="21" t="s">
        <v>285</v>
      </c>
      <c r="Y712" s="21" t="s">
        <v>318</v>
      </c>
      <c r="Z712" s="21" t="s">
        <v>317</v>
      </c>
      <c r="AA712" s="21" t="s">
        <v>10</v>
      </c>
      <c r="AB712" s="21">
        <v>1</v>
      </c>
      <c r="AD712" s="24">
        <v>6.92</v>
      </c>
      <c r="AE712" s="24">
        <v>7.82</v>
      </c>
      <c r="AF712" s="21" t="s">
        <v>304</v>
      </c>
      <c r="AG712" s="21" t="s">
        <v>303</v>
      </c>
    </row>
    <row r="713" spans="1:33">
      <c r="A713" s="21" t="s">
        <v>10</v>
      </c>
      <c r="B713" s="21" t="s">
        <v>473</v>
      </c>
      <c r="C713" s="25">
        <v>46147.708333333336</v>
      </c>
      <c r="D713" s="21" t="s">
        <v>33</v>
      </c>
      <c r="E713" s="24">
        <v>7.14</v>
      </c>
      <c r="F713" s="24">
        <v>5.74</v>
      </c>
      <c r="G713" s="24">
        <f>E713-F713</f>
        <v>1.3999999999999995</v>
      </c>
      <c r="H713" s="21" t="s">
        <v>289</v>
      </c>
      <c r="I713" s="21">
        <v>1</v>
      </c>
      <c r="J713" s="21">
        <v>4</v>
      </c>
      <c r="K713" s="21">
        <v>6</v>
      </c>
      <c r="L713" s="21">
        <v>6</v>
      </c>
      <c r="M713" s="21">
        <v>3</v>
      </c>
      <c r="N713" s="21">
        <v>7</v>
      </c>
      <c r="O713" s="21">
        <v>6</v>
      </c>
      <c r="P713" s="24">
        <f>J713+L713+N713</f>
        <v>17</v>
      </c>
      <c r="Q713" s="24">
        <f>K713+M713+O713</f>
        <v>15</v>
      </c>
      <c r="R713" s="24">
        <v>0.54374999999999996</v>
      </c>
      <c r="S713" s="21" t="s">
        <v>3</v>
      </c>
      <c r="U713" s="21" t="s">
        <v>287</v>
      </c>
      <c r="V713" s="21" t="s">
        <v>286</v>
      </c>
      <c r="W713" s="21">
        <v>16</v>
      </c>
      <c r="X713" s="21" t="s">
        <v>285</v>
      </c>
      <c r="Y713" s="21" t="s">
        <v>318</v>
      </c>
      <c r="Z713" s="21" t="s">
        <v>317</v>
      </c>
      <c r="AA713" s="21" t="s">
        <v>10</v>
      </c>
      <c r="AB713" s="21">
        <v>1</v>
      </c>
      <c r="AD713" s="24">
        <v>6.92</v>
      </c>
      <c r="AE713" s="24">
        <v>6.45</v>
      </c>
      <c r="AF713" s="21" t="s">
        <v>302</v>
      </c>
      <c r="AG713" s="21" t="s">
        <v>301</v>
      </c>
    </row>
    <row r="714" spans="1:33">
      <c r="A714" s="21" t="s">
        <v>422</v>
      </c>
      <c r="B714" s="21" t="s">
        <v>576</v>
      </c>
      <c r="C714" s="25">
        <v>46031</v>
      </c>
      <c r="D714" s="21" t="s">
        <v>584</v>
      </c>
      <c r="E714" s="24">
        <v>8.99</v>
      </c>
      <c r="F714" s="24">
        <v>11.27</v>
      </c>
      <c r="G714" s="24">
        <f>E714-F714</f>
        <v>-2.2799999999999994</v>
      </c>
      <c r="H714" s="21" t="s">
        <v>294</v>
      </c>
      <c r="I714" s="21">
        <v>0</v>
      </c>
      <c r="J714" s="21">
        <v>3</v>
      </c>
      <c r="K714" s="21">
        <v>6</v>
      </c>
      <c r="L714" s="21">
        <v>1</v>
      </c>
      <c r="M714" s="21">
        <v>6</v>
      </c>
      <c r="P714" s="24">
        <f>J714+L714+N714</f>
        <v>4</v>
      </c>
      <c r="Q714" s="24">
        <f>K714+M714+O714</f>
        <v>12</v>
      </c>
      <c r="R714" s="24">
        <v>0.25</v>
      </c>
      <c r="S714" s="21" t="s">
        <v>452</v>
      </c>
      <c r="T714" s="21" t="s">
        <v>298</v>
      </c>
      <c r="U714" s="21" t="s">
        <v>292</v>
      </c>
      <c r="V714" s="21" t="s">
        <v>286</v>
      </c>
      <c r="W714" s="21">
        <v>0</v>
      </c>
      <c r="X714" s="21" t="s">
        <v>312</v>
      </c>
      <c r="Y714" s="21" t="s">
        <v>326</v>
      </c>
      <c r="Z714" s="21" t="s">
        <v>325</v>
      </c>
      <c r="AA714" s="21" t="s">
        <v>422</v>
      </c>
      <c r="AB714" s="21">
        <v>1</v>
      </c>
      <c r="AD714" s="24">
        <v>9</v>
      </c>
      <c r="AE714" s="24">
        <v>11.27</v>
      </c>
      <c r="AF714" s="21" t="s">
        <v>304</v>
      </c>
      <c r="AG714" s="21" t="s">
        <v>303</v>
      </c>
    </row>
    <row r="715" spans="1:33">
      <c r="A715" s="21" t="s">
        <v>422</v>
      </c>
      <c r="B715" s="21" t="s">
        <v>576</v>
      </c>
      <c r="C715" s="25">
        <v>46067</v>
      </c>
      <c r="D715" s="21" t="s">
        <v>457</v>
      </c>
      <c r="E715" s="24">
        <v>9.02</v>
      </c>
      <c r="F715" s="24">
        <v>9.24</v>
      </c>
      <c r="G715" s="24">
        <f>E715-F715</f>
        <v>-0.22000000000000064</v>
      </c>
      <c r="H715" s="21" t="s">
        <v>294</v>
      </c>
      <c r="I715" s="21">
        <v>0</v>
      </c>
      <c r="J715" s="21">
        <v>4</v>
      </c>
      <c r="K715" s="21">
        <v>6</v>
      </c>
      <c r="L715" s="21">
        <v>7</v>
      </c>
      <c r="M715" s="21">
        <v>5</v>
      </c>
      <c r="N715" s="21">
        <v>0</v>
      </c>
      <c r="O715" s="21">
        <v>1</v>
      </c>
      <c r="P715" s="24">
        <f>J715+L715+N715</f>
        <v>11</v>
      </c>
      <c r="Q715" s="24">
        <f>K715+M715+O715</f>
        <v>12</v>
      </c>
      <c r="R715" s="24">
        <v>0.1357142857142857</v>
      </c>
      <c r="S715" s="21" t="s">
        <v>562</v>
      </c>
      <c r="T715" s="21" t="s">
        <v>297</v>
      </c>
      <c r="U715" s="21" t="s">
        <v>292</v>
      </c>
      <c r="V715" s="21" t="s">
        <v>286</v>
      </c>
      <c r="W715" s="21">
        <v>1</v>
      </c>
      <c r="X715" s="21" t="s">
        <v>323</v>
      </c>
      <c r="Y715" s="21" t="s">
        <v>326</v>
      </c>
      <c r="Z715" s="21" t="s">
        <v>325</v>
      </c>
      <c r="AA715" s="21" t="s">
        <v>422</v>
      </c>
      <c r="AB715" s="21">
        <v>1</v>
      </c>
      <c r="AD715" s="24">
        <v>9</v>
      </c>
      <c r="AE715" s="24">
        <v>9.24</v>
      </c>
      <c r="AF715" s="21" t="s">
        <v>302</v>
      </c>
      <c r="AG715" s="21" t="s">
        <v>301</v>
      </c>
    </row>
    <row r="716" spans="1:33">
      <c r="A716" s="21" t="s">
        <v>422</v>
      </c>
      <c r="B716" s="21" t="s">
        <v>576</v>
      </c>
      <c r="C716" s="25">
        <v>46067</v>
      </c>
      <c r="D716" s="21" t="s">
        <v>583</v>
      </c>
      <c r="E716" s="24">
        <v>9.02</v>
      </c>
      <c r="F716" s="24">
        <v>10.36</v>
      </c>
      <c r="G716" s="24">
        <f>E716-F716</f>
        <v>-1.3399999999999999</v>
      </c>
      <c r="H716" s="21" t="s">
        <v>294</v>
      </c>
      <c r="I716" s="21">
        <v>0</v>
      </c>
      <c r="J716" s="21">
        <v>2</v>
      </c>
      <c r="K716" s="21">
        <v>4</v>
      </c>
      <c r="L716" s="21">
        <v>1</v>
      </c>
      <c r="M716" s="21">
        <v>4</v>
      </c>
      <c r="P716" s="24">
        <f>J716+L716+N716</f>
        <v>3</v>
      </c>
      <c r="Q716" s="24">
        <f>K716+M716+O716</f>
        <v>8</v>
      </c>
      <c r="R716" s="24">
        <v>0.27272727272727271</v>
      </c>
      <c r="S716" s="21" t="s">
        <v>562</v>
      </c>
      <c r="T716" s="21" t="s">
        <v>454</v>
      </c>
      <c r="U716" s="21" t="s">
        <v>292</v>
      </c>
      <c r="V716" s="21" t="s">
        <v>286</v>
      </c>
      <c r="W716" s="21">
        <v>1</v>
      </c>
      <c r="X716" s="21" t="s">
        <v>323</v>
      </c>
      <c r="Y716" s="21" t="s">
        <v>326</v>
      </c>
      <c r="Z716" s="21" t="s">
        <v>325</v>
      </c>
      <c r="AA716" s="21" t="s">
        <v>422</v>
      </c>
      <c r="AB716" s="21">
        <v>1</v>
      </c>
      <c r="AD716" s="24">
        <v>9</v>
      </c>
      <c r="AE716" s="24">
        <v>10.36</v>
      </c>
      <c r="AF716" s="21" t="s">
        <v>302</v>
      </c>
      <c r="AG716" s="21" t="s">
        <v>301</v>
      </c>
    </row>
    <row r="717" spans="1:33">
      <c r="A717" s="21" t="s">
        <v>422</v>
      </c>
      <c r="B717" s="21" t="s">
        <v>576</v>
      </c>
      <c r="C717" s="25">
        <v>46067</v>
      </c>
      <c r="D717" s="21" t="s">
        <v>354</v>
      </c>
      <c r="E717" s="24">
        <v>9.02</v>
      </c>
      <c r="F717" s="24">
        <v>8.5399999999999991</v>
      </c>
      <c r="G717" s="24">
        <f>E717-F717</f>
        <v>0.48000000000000043</v>
      </c>
      <c r="H717" s="21" t="s">
        <v>289</v>
      </c>
      <c r="I717" s="21">
        <v>1</v>
      </c>
      <c r="J717" s="21">
        <v>4</v>
      </c>
      <c r="K717" s="21">
        <v>2</v>
      </c>
      <c r="L717" s="21">
        <v>4</v>
      </c>
      <c r="M717" s="21">
        <v>1</v>
      </c>
      <c r="P717" s="24">
        <f>J717+L717+N717</f>
        <v>8</v>
      </c>
      <c r="Q717" s="24">
        <f>K717+M717+O717</f>
        <v>3</v>
      </c>
      <c r="R717" s="24">
        <v>0.72727272727272729</v>
      </c>
      <c r="S717" s="21" t="s">
        <v>562</v>
      </c>
      <c r="T717" s="21" t="s">
        <v>544</v>
      </c>
      <c r="U717" s="21" t="s">
        <v>292</v>
      </c>
      <c r="V717" s="21" t="s">
        <v>286</v>
      </c>
      <c r="W717" s="21">
        <v>1</v>
      </c>
      <c r="X717" s="21" t="s">
        <v>323</v>
      </c>
      <c r="Y717" s="21" t="s">
        <v>326</v>
      </c>
      <c r="Z717" s="21" t="s">
        <v>325</v>
      </c>
      <c r="AA717" s="21" t="s">
        <v>422</v>
      </c>
      <c r="AB717" s="21">
        <v>1</v>
      </c>
      <c r="AD717" s="24">
        <v>9</v>
      </c>
      <c r="AE717" s="24">
        <v>8.5399999999999991</v>
      </c>
      <c r="AF717" s="21" t="s">
        <v>322</v>
      </c>
      <c r="AG717" s="21" t="s">
        <v>301</v>
      </c>
    </row>
    <row r="718" spans="1:33">
      <c r="A718" s="21" t="s">
        <v>422</v>
      </c>
      <c r="B718" s="21" t="s">
        <v>576</v>
      </c>
      <c r="C718" s="25">
        <v>46083.712500000001</v>
      </c>
      <c r="D718" s="21" t="s">
        <v>582</v>
      </c>
      <c r="E718" s="24">
        <v>9.06</v>
      </c>
      <c r="F718" s="24">
        <v>9.15</v>
      </c>
      <c r="G718" s="24">
        <f>E718-F718</f>
        <v>-8.9999999999999858E-2</v>
      </c>
      <c r="H718" s="21" t="s">
        <v>294</v>
      </c>
      <c r="I718" s="21">
        <v>0</v>
      </c>
      <c r="J718" s="21">
        <v>6</v>
      </c>
      <c r="K718" s="21">
        <v>3</v>
      </c>
      <c r="L718" s="21">
        <v>3</v>
      </c>
      <c r="M718" s="21">
        <v>6</v>
      </c>
      <c r="N718" s="21">
        <v>0</v>
      </c>
      <c r="O718" s="21">
        <v>1</v>
      </c>
      <c r="P718" s="24">
        <f>J718+L718+N718</f>
        <v>9</v>
      </c>
      <c r="Q718" s="24">
        <f>K718+M718+O718</f>
        <v>10</v>
      </c>
      <c r="R718" s="24">
        <v>0.47368421052631576</v>
      </c>
      <c r="S718" s="21" t="s">
        <v>581</v>
      </c>
      <c r="U718" s="21" t="s">
        <v>412</v>
      </c>
      <c r="V718" s="21" t="s">
        <v>286</v>
      </c>
      <c r="W718" s="21">
        <v>4</v>
      </c>
      <c r="X718" s="21" t="s">
        <v>285</v>
      </c>
      <c r="Y718" s="21" t="s">
        <v>326</v>
      </c>
      <c r="Z718" s="21" t="s">
        <v>325</v>
      </c>
      <c r="AA718" s="21" t="s">
        <v>422</v>
      </c>
      <c r="AB718" s="21">
        <v>1</v>
      </c>
      <c r="AD718" s="24">
        <v>9</v>
      </c>
      <c r="AE718" s="24">
        <v>9.15</v>
      </c>
      <c r="AF718" s="21" t="s">
        <v>322</v>
      </c>
      <c r="AG718" s="21" t="s">
        <v>301</v>
      </c>
    </row>
    <row r="719" spans="1:33">
      <c r="A719" s="21" t="s">
        <v>422</v>
      </c>
      <c r="B719" s="21" t="s">
        <v>576</v>
      </c>
      <c r="C719" s="25">
        <v>46094.145833333336</v>
      </c>
      <c r="D719" s="21" t="s">
        <v>141</v>
      </c>
      <c r="E719" s="24">
        <v>9.0299999999999994</v>
      </c>
      <c r="F719" s="24">
        <v>5.53</v>
      </c>
      <c r="G719" s="24">
        <f>E719-F719</f>
        <v>3.4999999999999991</v>
      </c>
      <c r="H719" s="21" t="s">
        <v>289</v>
      </c>
      <c r="I719" s="21">
        <v>1</v>
      </c>
      <c r="J719" s="21">
        <v>6</v>
      </c>
      <c r="K719" s="21">
        <v>1</v>
      </c>
      <c r="L719" s="21">
        <v>6</v>
      </c>
      <c r="M719" s="21">
        <v>2</v>
      </c>
      <c r="P719" s="24">
        <f>J719+L719+N719</f>
        <v>12</v>
      </c>
      <c r="Q719" s="24">
        <f>K719+M719+O719</f>
        <v>3</v>
      </c>
      <c r="R719" s="24">
        <v>0.8</v>
      </c>
      <c r="S719" s="21" t="s">
        <v>468</v>
      </c>
      <c r="U719" s="21" t="s">
        <v>287</v>
      </c>
      <c r="V719" s="21" t="s">
        <v>286</v>
      </c>
      <c r="W719" s="21">
        <v>5</v>
      </c>
      <c r="X719" s="21" t="s">
        <v>285</v>
      </c>
      <c r="Y719" s="21" t="s">
        <v>326</v>
      </c>
      <c r="Z719" s="21" t="s">
        <v>325</v>
      </c>
      <c r="AA719" s="21" t="s">
        <v>422</v>
      </c>
      <c r="AB719" s="21">
        <v>1</v>
      </c>
      <c r="AD719" s="24">
        <v>9</v>
      </c>
      <c r="AE719" s="24">
        <v>5.97</v>
      </c>
      <c r="AF719" s="21" t="s">
        <v>322</v>
      </c>
      <c r="AG719" s="21" t="s">
        <v>301</v>
      </c>
    </row>
    <row r="720" spans="1:33">
      <c r="A720" s="21" t="s">
        <v>422</v>
      </c>
      <c r="B720" s="21" t="s">
        <v>576</v>
      </c>
      <c r="C720" s="25">
        <v>46106.645833333336</v>
      </c>
      <c r="D720" s="21" t="s">
        <v>53</v>
      </c>
      <c r="E720" s="24">
        <v>9.0299999999999994</v>
      </c>
      <c r="F720" s="24">
        <v>4.91</v>
      </c>
      <c r="G720" s="24">
        <f>E720-F720</f>
        <v>4.1199999999999992</v>
      </c>
      <c r="H720" s="21" t="s">
        <v>289</v>
      </c>
      <c r="I720" s="21">
        <v>1</v>
      </c>
      <c r="J720" s="21">
        <v>6</v>
      </c>
      <c r="K720" s="21">
        <v>0</v>
      </c>
      <c r="L720" s="21">
        <v>6</v>
      </c>
      <c r="M720" s="21">
        <v>0</v>
      </c>
      <c r="P720" s="24">
        <f>J720+L720+N720</f>
        <v>12</v>
      </c>
      <c r="Q720" s="24">
        <f>K720+M720+O720</f>
        <v>0</v>
      </c>
      <c r="R720" s="24">
        <v>1</v>
      </c>
      <c r="S720" s="21" t="s">
        <v>580</v>
      </c>
      <c r="U720" s="21" t="s">
        <v>287</v>
      </c>
      <c r="V720" s="21" t="s">
        <v>286</v>
      </c>
      <c r="W720" s="21">
        <v>6</v>
      </c>
      <c r="X720" s="21" t="s">
        <v>285</v>
      </c>
      <c r="Y720" s="21" t="s">
        <v>326</v>
      </c>
      <c r="Z720" s="21" t="s">
        <v>325</v>
      </c>
      <c r="AA720" s="21" t="s">
        <v>422</v>
      </c>
      <c r="AB720" s="21">
        <v>1</v>
      </c>
      <c r="AD720" s="24">
        <v>9</v>
      </c>
      <c r="AE720" s="24">
        <v>4.91</v>
      </c>
      <c r="AF720" s="21" t="s">
        <v>322</v>
      </c>
      <c r="AG720" s="21" t="s">
        <v>301</v>
      </c>
    </row>
    <row r="721" spans="1:33">
      <c r="A721" s="21" t="s">
        <v>422</v>
      </c>
      <c r="B721" s="21" t="s">
        <v>576</v>
      </c>
      <c r="C721" s="25">
        <v>46107.645833333336</v>
      </c>
      <c r="D721" s="21" t="s">
        <v>503</v>
      </c>
      <c r="E721" s="24">
        <v>9.0299999999999994</v>
      </c>
      <c r="F721" s="24">
        <v>6.94</v>
      </c>
      <c r="G721" s="24">
        <f>E721-F721</f>
        <v>2.089999999999999</v>
      </c>
      <c r="H721" s="21" t="s">
        <v>289</v>
      </c>
      <c r="I721" s="21">
        <v>1</v>
      </c>
      <c r="J721" s="21">
        <v>6</v>
      </c>
      <c r="K721" s="21">
        <v>1</v>
      </c>
      <c r="L721" s="21">
        <v>6</v>
      </c>
      <c r="M721" s="21">
        <v>0</v>
      </c>
      <c r="P721" s="24">
        <f>J721+L721+N721</f>
        <v>12</v>
      </c>
      <c r="Q721" s="24">
        <f>K721+M721+O721</f>
        <v>1</v>
      </c>
      <c r="R721" s="24">
        <v>0.92307692307692313</v>
      </c>
      <c r="S721" s="21" t="s">
        <v>579</v>
      </c>
      <c r="U721" s="21" t="s">
        <v>287</v>
      </c>
      <c r="V721" s="21" t="s">
        <v>286</v>
      </c>
      <c r="W721" s="21">
        <v>7</v>
      </c>
      <c r="X721" s="21" t="s">
        <v>285</v>
      </c>
      <c r="Y721" s="21" t="s">
        <v>326</v>
      </c>
      <c r="Z721" s="21" t="s">
        <v>325</v>
      </c>
      <c r="AA721" s="21" t="s">
        <v>422</v>
      </c>
      <c r="AB721" s="21">
        <v>1</v>
      </c>
      <c r="AD721" s="24">
        <v>9</v>
      </c>
      <c r="AE721" s="24">
        <v>6.94</v>
      </c>
      <c r="AF721" s="21" t="s">
        <v>322</v>
      </c>
      <c r="AG721" s="21" t="s">
        <v>301</v>
      </c>
    </row>
    <row r="722" spans="1:33">
      <c r="A722" s="21" t="s">
        <v>422</v>
      </c>
      <c r="B722" s="21" t="s">
        <v>576</v>
      </c>
      <c r="C722" s="25">
        <v>46119.645833333336</v>
      </c>
      <c r="D722" s="21" t="s">
        <v>46</v>
      </c>
      <c r="E722" s="24">
        <v>9.02</v>
      </c>
      <c r="F722" s="24">
        <v>7.42</v>
      </c>
      <c r="G722" s="24">
        <f>E722-F722</f>
        <v>1.5999999999999996</v>
      </c>
      <c r="H722" s="21" t="s">
        <v>289</v>
      </c>
      <c r="I722" s="21">
        <v>1</v>
      </c>
      <c r="J722" s="21">
        <v>6</v>
      </c>
      <c r="K722" s="21">
        <v>4</v>
      </c>
      <c r="L722" s="21">
        <v>7</v>
      </c>
      <c r="M722" s="21">
        <v>5</v>
      </c>
      <c r="P722" s="24">
        <f>J722+L722+N722</f>
        <v>13</v>
      </c>
      <c r="Q722" s="24">
        <f>K722+M722+O722</f>
        <v>9</v>
      </c>
      <c r="R722" s="24">
        <v>0.59090909090909094</v>
      </c>
      <c r="S722" s="21" t="s">
        <v>421</v>
      </c>
      <c r="U722" s="21" t="s">
        <v>287</v>
      </c>
      <c r="V722" s="21" t="s">
        <v>286</v>
      </c>
      <c r="W722" s="21">
        <v>8</v>
      </c>
      <c r="X722" s="21" t="s">
        <v>285</v>
      </c>
      <c r="Y722" s="21" t="s">
        <v>326</v>
      </c>
      <c r="Z722" s="21" t="s">
        <v>325</v>
      </c>
      <c r="AA722" s="21" t="s">
        <v>422</v>
      </c>
      <c r="AB722" s="21">
        <v>1</v>
      </c>
      <c r="AD722" s="24">
        <v>9</v>
      </c>
      <c r="AE722" s="24">
        <v>7.96</v>
      </c>
      <c r="AF722" s="21" t="s">
        <v>322</v>
      </c>
      <c r="AG722" s="21" t="s">
        <v>301</v>
      </c>
    </row>
    <row r="723" spans="1:33">
      <c r="A723" s="21" t="s">
        <v>422</v>
      </c>
      <c r="B723" s="21" t="s">
        <v>576</v>
      </c>
      <c r="C723" s="25">
        <v>46123</v>
      </c>
      <c r="D723" s="21" t="s">
        <v>457</v>
      </c>
      <c r="E723" s="24">
        <v>9.02</v>
      </c>
      <c r="F723" s="24">
        <v>9.24</v>
      </c>
      <c r="G723" s="24">
        <f>E723-F723</f>
        <v>-0.22000000000000064</v>
      </c>
      <c r="H723" s="21" t="s">
        <v>294</v>
      </c>
      <c r="I723" s="21">
        <v>0</v>
      </c>
      <c r="J723" s="21">
        <v>5</v>
      </c>
      <c r="K723" s="21">
        <v>7</v>
      </c>
      <c r="L723" s="21">
        <v>2</v>
      </c>
      <c r="M723" s="21">
        <v>6</v>
      </c>
      <c r="P723" s="24">
        <f>J723+L723+N723</f>
        <v>7</v>
      </c>
      <c r="Q723" s="24">
        <f>K723+M723+O723</f>
        <v>13</v>
      </c>
      <c r="R723" s="24">
        <v>0.35</v>
      </c>
      <c r="S723" s="21" t="s">
        <v>353</v>
      </c>
      <c r="T723" s="21" t="s">
        <v>297</v>
      </c>
      <c r="U723" s="21" t="s">
        <v>292</v>
      </c>
      <c r="V723" s="21" t="s">
        <v>286</v>
      </c>
      <c r="W723" s="21">
        <v>9</v>
      </c>
      <c r="X723" s="21" t="s">
        <v>285</v>
      </c>
      <c r="Y723" s="21" t="s">
        <v>326</v>
      </c>
      <c r="Z723" s="21" t="s">
        <v>325</v>
      </c>
      <c r="AA723" s="21" t="s">
        <v>422</v>
      </c>
      <c r="AB723" s="21">
        <v>1</v>
      </c>
      <c r="AD723" s="24">
        <v>9</v>
      </c>
      <c r="AE723" s="24">
        <v>9.24</v>
      </c>
      <c r="AF723" s="21" t="s">
        <v>322</v>
      </c>
      <c r="AG723" s="21" t="s">
        <v>301</v>
      </c>
    </row>
    <row r="724" spans="1:33">
      <c r="A724" s="21" t="s">
        <v>422</v>
      </c>
      <c r="B724" s="21" t="s">
        <v>576</v>
      </c>
      <c r="C724" s="25">
        <v>46123</v>
      </c>
      <c r="D724" s="21" t="s">
        <v>371</v>
      </c>
      <c r="E724" s="24">
        <v>9.02</v>
      </c>
      <c r="F724" s="24">
        <v>8.9700000000000006</v>
      </c>
      <c r="G724" s="24">
        <f>E724-F724</f>
        <v>4.9999999999998934E-2</v>
      </c>
      <c r="H724" s="21" t="s">
        <v>294</v>
      </c>
      <c r="I724" s="21">
        <v>0</v>
      </c>
      <c r="J724" s="21">
        <v>5</v>
      </c>
      <c r="K724" s="21">
        <v>4</v>
      </c>
      <c r="L724" s="21">
        <v>0</v>
      </c>
      <c r="M724" s="21">
        <v>4</v>
      </c>
      <c r="N724" s="21">
        <v>0</v>
      </c>
      <c r="O724" s="21">
        <v>1</v>
      </c>
      <c r="P724" s="24">
        <f>J724+L724+N724</f>
        <v>5</v>
      </c>
      <c r="Q724" s="24">
        <f>K724+M724+O724</f>
        <v>9</v>
      </c>
      <c r="R724" s="24">
        <v>0.54285714285714282</v>
      </c>
      <c r="S724" s="21" t="s">
        <v>353</v>
      </c>
      <c r="T724" s="21" t="s">
        <v>544</v>
      </c>
      <c r="U724" s="21" t="s">
        <v>292</v>
      </c>
      <c r="V724" s="21" t="s">
        <v>286</v>
      </c>
      <c r="W724" s="21">
        <v>9</v>
      </c>
      <c r="X724" s="21" t="s">
        <v>285</v>
      </c>
      <c r="Y724" s="21" t="s">
        <v>326</v>
      </c>
      <c r="Z724" s="21" t="s">
        <v>325</v>
      </c>
      <c r="AA724" s="21" t="s">
        <v>422</v>
      </c>
      <c r="AB724" s="21">
        <v>1</v>
      </c>
      <c r="AD724" s="24">
        <v>9</v>
      </c>
      <c r="AE724" s="24">
        <v>8.9700000000000006</v>
      </c>
      <c r="AF724" s="21" t="s">
        <v>322</v>
      </c>
      <c r="AG724" s="21" t="s">
        <v>301</v>
      </c>
    </row>
    <row r="725" spans="1:33">
      <c r="A725" s="21" t="s">
        <v>422</v>
      </c>
      <c r="B725" s="21" t="s">
        <v>576</v>
      </c>
      <c r="C725" s="25">
        <v>46129.645833333336</v>
      </c>
      <c r="D725" s="21" t="s">
        <v>42</v>
      </c>
      <c r="E725" s="24">
        <v>9.02</v>
      </c>
      <c r="F725" s="24">
        <v>7.84</v>
      </c>
      <c r="G725" s="24">
        <f>E725-F725</f>
        <v>1.1799999999999997</v>
      </c>
      <c r="H725" s="21" t="s">
        <v>289</v>
      </c>
      <c r="I725" s="21">
        <v>1</v>
      </c>
      <c r="J725" s="21">
        <v>6</v>
      </c>
      <c r="K725" s="21">
        <v>4</v>
      </c>
      <c r="L725" s="21">
        <v>6</v>
      </c>
      <c r="M725" s="21">
        <v>2</v>
      </c>
      <c r="P725" s="24">
        <f>J725+L725+N725</f>
        <v>12</v>
      </c>
      <c r="Q725" s="24">
        <f>K725+M725+O725</f>
        <v>6</v>
      </c>
      <c r="R725" s="24">
        <v>0.66666666666666663</v>
      </c>
      <c r="S725" s="21" t="s">
        <v>388</v>
      </c>
      <c r="U725" s="21" t="s">
        <v>287</v>
      </c>
      <c r="V725" s="21" t="s">
        <v>286</v>
      </c>
      <c r="W725" s="21">
        <v>11</v>
      </c>
      <c r="X725" s="21" t="s">
        <v>285</v>
      </c>
      <c r="Y725" s="21" t="s">
        <v>326</v>
      </c>
      <c r="Z725" s="21" t="s">
        <v>325</v>
      </c>
      <c r="AA725" s="21" t="s">
        <v>422</v>
      </c>
      <c r="AB725" s="21">
        <v>1</v>
      </c>
      <c r="AD725" s="24">
        <v>9</v>
      </c>
      <c r="AE725" s="24">
        <v>8.3699999999999992</v>
      </c>
      <c r="AF725" s="21" t="s">
        <v>322</v>
      </c>
      <c r="AG725" s="21" t="s">
        <v>301</v>
      </c>
    </row>
    <row r="726" spans="1:33">
      <c r="A726" s="21" t="s">
        <v>422</v>
      </c>
      <c r="B726" s="21" t="s">
        <v>576</v>
      </c>
      <c r="C726" s="25">
        <v>46140.665972222225</v>
      </c>
      <c r="D726" s="21" t="s">
        <v>578</v>
      </c>
      <c r="E726" s="24">
        <v>8.77</v>
      </c>
      <c r="F726" s="24">
        <v>5.53</v>
      </c>
      <c r="G726" s="24">
        <f>E726-F726</f>
        <v>3.2399999999999993</v>
      </c>
      <c r="H726" s="21" t="s">
        <v>289</v>
      </c>
      <c r="I726" s="21">
        <v>1</v>
      </c>
      <c r="J726" s="21">
        <v>6</v>
      </c>
      <c r="K726" s="21">
        <v>0</v>
      </c>
      <c r="L726" s="21">
        <v>6</v>
      </c>
      <c r="M726" s="21">
        <v>0</v>
      </c>
      <c r="P726" s="24">
        <f>J726+L726+N726</f>
        <v>12</v>
      </c>
      <c r="Q726" s="24">
        <f>K726+M726+O726</f>
        <v>0</v>
      </c>
      <c r="R726" s="24">
        <v>1</v>
      </c>
      <c r="S726" s="21" t="s">
        <v>29</v>
      </c>
      <c r="T726" s="21" t="s">
        <v>295</v>
      </c>
      <c r="U726" s="21" t="s">
        <v>292</v>
      </c>
      <c r="V726" s="21" t="s">
        <v>286</v>
      </c>
      <c r="W726" s="21">
        <v>12</v>
      </c>
      <c r="X726" s="21" t="s">
        <v>285</v>
      </c>
      <c r="Y726" s="21" t="s">
        <v>326</v>
      </c>
      <c r="Z726" s="21" t="s">
        <v>325</v>
      </c>
      <c r="AA726" s="21" t="s">
        <v>422</v>
      </c>
      <c r="AB726" s="21">
        <v>1</v>
      </c>
      <c r="AD726" s="24">
        <v>9</v>
      </c>
      <c r="AE726" s="24">
        <v>5.53</v>
      </c>
      <c r="AF726" s="21" t="s">
        <v>322</v>
      </c>
      <c r="AG726" s="21" t="s">
        <v>301</v>
      </c>
    </row>
    <row r="727" spans="1:33">
      <c r="A727" s="21" t="s">
        <v>422</v>
      </c>
      <c r="B727" s="21" t="s">
        <v>576</v>
      </c>
      <c r="C727" s="25">
        <v>46140.666666666664</v>
      </c>
      <c r="D727" s="21" t="s">
        <v>228</v>
      </c>
      <c r="E727" s="24">
        <v>8.77</v>
      </c>
      <c r="F727" s="24">
        <v>9.07</v>
      </c>
      <c r="G727" s="24">
        <f>E727-F727</f>
        <v>-0.30000000000000071</v>
      </c>
      <c r="H727" s="21" t="s">
        <v>289</v>
      </c>
      <c r="I727" s="21">
        <v>1</v>
      </c>
      <c r="J727" s="21">
        <v>6</v>
      </c>
      <c r="K727" s="21">
        <v>3</v>
      </c>
      <c r="L727" s="21">
        <v>6</v>
      </c>
      <c r="M727" s="21">
        <v>0</v>
      </c>
      <c r="P727" s="24">
        <f>J727+L727+N727</f>
        <v>12</v>
      </c>
      <c r="Q727" s="24">
        <f>K727+M727+O727</f>
        <v>3</v>
      </c>
      <c r="R727" s="24">
        <v>0.8</v>
      </c>
      <c r="S727" s="21" t="s">
        <v>29</v>
      </c>
      <c r="T727" s="21" t="s">
        <v>293</v>
      </c>
      <c r="U727" s="21" t="s">
        <v>292</v>
      </c>
      <c r="V727" s="21" t="s">
        <v>286</v>
      </c>
      <c r="W727" s="21">
        <v>13</v>
      </c>
      <c r="X727" s="21" t="s">
        <v>285</v>
      </c>
      <c r="Y727" s="21" t="s">
        <v>326</v>
      </c>
      <c r="Z727" s="21" t="s">
        <v>325</v>
      </c>
      <c r="AA727" s="21" t="s">
        <v>422</v>
      </c>
      <c r="AB727" s="21">
        <v>1</v>
      </c>
      <c r="AD727" s="24">
        <v>9</v>
      </c>
      <c r="AE727" s="24">
        <v>8.76</v>
      </c>
      <c r="AF727" s="21" t="s">
        <v>322</v>
      </c>
      <c r="AG727" s="21" t="s">
        <v>301</v>
      </c>
    </row>
    <row r="728" spans="1:33">
      <c r="A728" s="21" t="s">
        <v>422</v>
      </c>
      <c r="B728" s="21" t="s">
        <v>576</v>
      </c>
      <c r="C728" s="25">
        <v>46178</v>
      </c>
      <c r="D728" s="21" t="s">
        <v>577</v>
      </c>
      <c r="E728" s="24">
        <v>8.9600000000000009</v>
      </c>
      <c r="F728" s="24">
        <v>7.91</v>
      </c>
      <c r="G728" s="24">
        <f>E728-F728</f>
        <v>1.0500000000000007</v>
      </c>
      <c r="H728" s="21" t="s">
        <v>289</v>
      </c>
      <c r="I728" s="21">
        <v>1</v>
      </c>
      <c r="J728" s="21">
        <v>6</v>
      </c>
      <c r="K728" s="21">
        <v>1</v>
      </c>
      <c r="L728" s="21">
        <v>6</v>
      </c>
      <c r="M728" s="21">
        <v>3</v>
      </c>
      <c r="P728" s="24">
        <f>J728+L728+N728</f>
        <v>12</v>
      </c>
      <c r="Q728" s="24">
        <f>K728+M728+O728</f>
        <v>4</v>
      </c>
      <c r="R728" s="24">
        <v>0.75</v>
      </c>
      <c r="S728" s="21" t="s">
        <v>574</v>
      </c>
      <c r="T728" s="21" t="s">
        <v>298</v>
      </c>
      <c r="U728" s="21" t="s">
        <v>292</v>
      </c>
      <c r="V728" s="21" t="s">
        <v>286</v>
      </c>
      <c r="W728" s="21">
        <v>14</v>
      </c>
      <c r="X728" s="21" t="s">
        <v>285</v>
      </c>
      <c r="Y728" s="21" t="s">
        <v>326</v>
      </c>
      <c r="Z728" s="21" t="s">
        <v>325</v>
      </c>
      <c r="AA728" s="21" t="s">
        <v>422</v>
      </c>
      <c r="AB728" s="21">
        <v>1</v>
      </c>
      <c r="AD728" s="24">
        <v>9</v>
      </c>
      <c r="AE728" s="24">
        <v>7.91</v>
      </c>
      <c r="AF728" s="21" t="s">
        <v>322</v>
      </c>
      <c r="AG728" s="21" t="s">
        <v>301</v>
      </c>
    </row>
    <row r="729" spans="1:33">
      <c r="A729" s="21" t="s">
        <v>422</v>
      </c>
      <c r="B729" s="21" t="s">
        <v>576</v>
      </c>
      <c r="C729" s="25">
        <v>46178</v>
      </c>
      <c r="D729" s="21" t="s">
        <v>575</v>
      </c>
      <c r="E729" s="24">
        <v>8.9600000000000009</v>
      </c>
      <c r="F729" s="24">
        <v>11.54</v>
      </c>
      <c r="G729" s="24">
        <f>E729-F729</f>
        <v>-2.5799999999999983</v>
      </c>
      <c r="H729" s="21" t="s">
        <v>294</v>
      </c>
      <c r="I729" s="21">
        <v>0</v>
      </c>
      <c r="J729" s="21">
        <v>2</v>
      </c>
      <c r="K729" s="21">
        <v>6</v>
      </c>
      <c r="L729" s="21">
        <v>1</v>
      </c>
      <c r="M729" s="21">
        <v>6</v>
      </c>
      <c r="P729" s="24">
        <f>J729+L729+N729</f>
        <v>3</v>
      </c>
      <c r="Q729" s="24">
        <f>K729+M729+O729</f>
        <v>12</v>
      </c>
      <c r="R729" s="24">
        <v>0.2</v>
      </c>
      <c r="S729" s="21" t="s">
        <v>574</v>
      </c>
      <c r="T729" s="21" t="s">
        <v>297</v>
      </c>
      <c r="U729" s="21" t="s">
        <v>292</v>
      </c>
      <c r="V729" s="21" t="s">
        <v>286</v>
      </c>
      <c r="W729" s="21">
        <v>14</v>
      </c>
      <c r="X729" s="21" t="s">
        <v>285</v>
      </c>
      <c r="Y729" s="21" t="s">
        <v>326</v>
      </c>
      <c r="Z729" s="21" t="s">
        <v>325</v>
      </c>
      <c r="AA729" s="21" t="s">
        <v>422</v>
      </c>
      <c r="AB729" s="21">
        <v>1</v>
      </c>
      <c r="AD729" s="24">
        <v>9</v>
      </c>
      <c r="AE729" s="24">
        <v>11.54</v>
      </c>
      <c r="AF729" s="21" t="s">
        <v>322</v>
      </c>
      <c r="AG729" s="21" t="s">
        <v>301</v>
      </c>
    </row>
    <row r="730" spans="1:33">
      <c r="A730" s="21" t="s">
        <v>40</v>
      </c>
      <c r="B730" s="21" t="s">
        <v>435</v>
      </c>
      <c r="C730" s="25">
        <v>46019</v>
      </c>
      <c r="D730" s="21" t="s">
        <v>573</v>
      </c>
      <c r="E730" s="24">
        <v>10.01</v>
      </c>
      <c r="F730" s="24">
        <v>11.29</v>
      </c>
      <c r="G730" s="24">
        <f>E730-F730</f>
        <v>-1.2799999999999994</v>
      </c>
      <c r="H730" s="21" t="s">
        <v>294</v>
      </c>
      <c r="I730" s="21">
        <v>0</v>
      </c>
      <c r="J730" s="21">
        <v>4</v>
      </c>
      <c r="K730" s="21">
        <v>6</v>
      </c>
      <c r="L730" s="21">
        <v>2</v>
      </c>
      <c r="M730" s="21">
        <v>6</v>
      </c>
      <c r="P730" s="24">
        <f>J730+L730+N730</f>
        <v>6</v>
      </c>
      <c r="Q730" s="24">
        <f>K730+M730+O730</f>
        <v>12</v>
      </c>
      <c r="R730" s="24">
        <v>0.33333333333333331</v>
      </c>
      <c r="S730" s="21" t="s">
        <v>570</v>
      </c>
      <c r="T730" s="21" t="s">
        <v>572</v>
      </c>
      <c r="U730" s="21" t="s">
        <v>292</v>
      </c>
      <c r="V730" s="21" t="s">
        <v>286</v>
      </c>
      <c r="W730" s="21">
        <v>0</v>
      </c>
      <c r="X730" s="21" t="s">
        <v>312</v>
      </c>
      <c r="Y730" s="21" t="s">
        <v>318</v>
      </c>
      <c r="Z730" s="21" t="s">
        <v>317</v>
      </c>
      <c r="AA730" s="21" t="s">
        <v>40</v>
      </c>
      <c r="AB730" s="21">
        <v>1</v>
      </c>
      <c r="AD730" s="24">
        <v>10.01</v>
      </c>
      <c r="AE730" s="24">
        <v>11.29</v>
      </c>
      <c r="AF730" s="21" t="s">
        <v>322</v>
      </c>
      <c r="AG730" s="21" t="s">
        <v>301</v>
      </c>
    </row>
    <row r="731" spans="1:33">
      <c r="A731" s="21" t="s">
        <v>40</v>
      </c>
      <c r="B731" s="21" t="s">
        <v>435</v>
      </c>
      <c r="C731" s="25">
        <v>46019</v>
      </c>
      <c r="D731" s="21" t="s">
        <v>571</v>
      </c>
      <c r="E731" s="24">
        <v>10.01</v>
      </c>
      <c r="F731" s="24">
        <v>10.91</v>
      </c>
      <c r="G731" s="24">
        <f>E731-F731</f>
        <v>-0.90000000000000036</v>
      </c>
      <c r="H731" s="21" t="s">
        <v>294</v>
      </c>
      <c r="I731" s="21">
        <v>0</v>
      </c>
      <c r="J731" s="21">
        <v>2</v>
      </c>
      <c r="K731" s="21">
        <v>6</v>
      </c>
      <c r="L731" s="21">
        <v>6</v>
      </c>
      <c r="M731" s="21">
        <v>3</v>
      </c>
      <c r="N731" s="21">
        <v>0</v>
      </c>
      <c r="O731" s="21">
        <v>1</v>
      </c>
      <c r="P731" s="24">
        <f>J731+L731+N731</f>
        <v>8</v>
      </c>
      <c r="Q731" s="24">
        <f>K731+M731+O731</f>
        <v>10</v>
      </c>
      <c r="R731" s="24">
        <v>7.03125E-2</v>
      </c>
      <c r="S731" s="21" t="s">
        <v>570</v>
      </c>
      <c r="T731" s="21" t="s">
        <v>569</v>
      </c>
      <c r="U731" s="21" t="s">
        <v>292</v>
      </c>
      <c r="V731" s="21" t="s">
        <v>286</v>
      </c>
      <c r="W731" s="21">
        <v>0</v>
      </c>
      <c r="X731" s="21" t="s">
        <v>312</v>
      </c>
      <c r="Y731" s="21" t="s">
        <v>318</v>
      </c>
      <c r="Z731" s="21" t="s">
        <v>317</v>
      </c>
      <c r="AA731" s="21" t="s">
        <v>40</v>
      </c>
      <c r="AB731" s="21">
        <v>1</v>
      </c>
      <c r="AD731" s="24">
        <v>10.01</v>
      </c>
      <c r="AE731" s="24">
        <v>10.91</v>
      </c>
      <c r="AF731" s="21" t="s">
        <v>322</v>
      </c>
      <c r="AG731" s="21" t="s">
        <v>301</v>
      </c>
    </row>
    <row r="732" spans="1:33">
      <c r="A732" s="21" t="s">
        <v>40</v>
      </c>
      <c r="B732" s="21" t="s">
        <v>435</v>
      </c>
      <c r="C732" s="25">
        <v>46031</v>
      </c>
      <c r="D732" s="21" t="s">
        <v>568</v>
      </c>
      <c r="E732" s="24">
        <v>10.01</v>
      </c>
      <c r="F732" s="24">
        <v>11.26</v>
      </c>
      <c r="G732" s="24">
        <f>E732-F732</f>
        <v>-1.25</v>
      </c>
      <c r="H732" s="21" t="s">
        <v>294</v>
      </c>
      <c r="I732" s="21">
        <v>0</v>
      </c>
      <c r="J732" s="21">
        <v>1</v>
      </c>
      <c r="K732" s="21">
        <v>6</v>
      </c>
      <c r="L732" s="21">
        <v>2</v>
      </c>
      <c r="M732" s="21">
        <v>6</v>
      </c>
      <c r="P732" s="24">
        <f>J732+L732+N732</f>
        <v>3</v>
      </c>
      <c r="Q732" s="24">
        <f>K732+M732+O732</f>
        <v>12</v>
      </c>
      <c r="R732" s="24">
        <v>0.2</v>
      </c>
      <c r="S732" s="21" t="s">
        <v>370</v>
      </c>
      <c r="T732" s="21" t="s">
        <v>295</v>
      </c>
      <c r="U732" s="21" t="s">
        <v>292</v>
      </c>
      <c r="V732" s="21" t="s">
        <v>286</v>
      </c>
      <c r="W732" s="21">
        <v>2</v>
      </c>
      <c r="X732" s="21" t="s">
        <v>310</v>
      </c>
      <c r="Y732" s="21" t="s">
        <v>318</v>
      </c>
      <c r="Z732" s="21" t="s">
        <v>317</v>
      </c>
      <c r="AA732" s="21" t="s">
        <v>40</v>
      </c>
      <c r="AB732" s="21">
        <v>1</v>
      </c>
      <c r="AD732" s="24">
        <v>10.01</v>
      </c>
      <c r="AE732" s="24">
        <v>11.26</v>
      </c>
      <c r="AF732" s="21" t="s">
        <v>302</v>
      </c>
      <c r="AG732" s="21" t="s">
        <v>301</v>
      </c>
    </row>
    <row r="733" spans="1:33">
      <c r="A733" s="21" t="s">
        <v>40</v>
      </c>
      <c r="B733" s="21" t="s">
        <v>435</v>
      </c>
      <c r="C733" s="25">
        <v>46031</v>
      </c>
      <c r="D733" s="21" t="s">
        <v>53</v>
      </c>
      <c r="E733" s="24">
        <v>10.01</v>
      </c>
      <c r="F733" s="24">
        <v>4.91</v>
      </c>
      <c r="G733" s="24">
        <f>E733-F733</f>
        <v>5.0999999999999996</v>
      </c>
      <c r="H733" s="21" t="s">
        <v>289</v>
      </c>
      <c r="I733" s="21">
        <v>1</v>
      </c>
      <c r="J733" s="21">
        <v>6</v>
      </c>
      <c r="K733" s="21">
        <v>0</v>
      </c>
      <c r="L733" s="21">
        <v>6</v>
      </c>
      <c r="M733" s="21">
        <v>0</v>
      </c>
      <c r="P733" s="24">
        <f>J733+L733+N733</f>
        <v>12</v>
      </c>
      <c r="Q733" s="24">
        <f>K733+M733+O733</f>
        <v>0</v>
      </c>
      <c r="R733" s="24">
        <v>1</v>
      </c>
      <c r="S733" s="21" t="s">
        <v>370</v>
      </c>
      <c r="T733" s="21" t="s">
        <v>298</v>
      </c>
      <c r="U733" s="21" t="s">
        <v>292</v>
      </c>
      <c r="V733" s="21" t="s">
        <v>286</v>
      </c>
      <c r="W733" s="21">
        <v>2</v>
      </c>
      <c r="X733" s="21" t="s">
        <v>310</v>
      </c>
      <c r="Y733" s="21" t="s">
        <v>318</v>
      </c>
      <c r="Z733" s="21" t="s">
        <v>317</v>
      </c>
      <c r="AA733" s="21" t="s">
        <v>40</v>
      </c>
      <c r="AB733" s="21">
        <v>1</v>
      </c>
      <c r="AD733" s="24">
        <v>10.01</v>
      </c>
      <c r="AE733" s="24">
        <v>4.91</v>
      </c>
      <c r="AF733" s="21" t="s">
        <v>302</v>
      </c>
      <c r="AG733" s="21" t="s">
        <v>301</v>
      </c>
    </row>
    <row r="734" spans="1:33">
      <c r="A734" s="21" t="s">
        <v>40</v>
      </c>
      <c r="B734" s="21" t="s">
        <v>435</v>
      </c>
      <c r="C734" s="25">
        <v>46031</v>
      </c>
      <c r="D734" s="21" t="s">
        <v>567</v>
      </c>
      <c r="E734" s="24">
        <v>10.01</v>
      </c>
      <c r="F734" s="24">
        <v>9.33</v>
      </c>
      <c r="G734" s="24">
        <f>E734-F734</f>
        <v>0.67999999999999972</v>
      </c>
      <c r="H734" s="21" t="s">
        <v>289</v>
      </c>
      <c r="I734" s="21">
        <v>1</v>
      </c>
      <c r="J734" s="21">
        <v>6</v>
      </c>
      <c r="K734" s="21">
        <v>3</v>
      </c>
      <c r="L734" s="21">
        <v>6</v>
      </c>
      <c r="M734" s="21">
        <v>2</v>
      </c>
      <c r="P734" s="24">
        <f>J734+L734+N734</f>
        <v>12</v>
      </c>
      <c r="Q734" s="24">
        <f>K734+M734+O734</f>
        <v>5</v>
      </c>
      <c r="R734" s="24">
        <v>0.70588235294117652</v>
      </c>
      <c r="S734" s="21" t="s">
        <v>370</v>
      </c>
      <c r="T734" s="21" t="s">
        <v>296</v>
      </c>
      <c r="U734" s="21" t="s">
        <v>292</v>
      </c>
      <c r="V734" s="21" t="s">
        <v>286</v>
      </c>
      <c r="W734" s="21">
        <v>2</v>
      </c>
      <c r="X734" s="21" t="s">
        <v>310</v>
      </c>
      <c r="Y734" s="21" t="s">
        <v>318</v>
      </c>
      <c r="Z734" s="21" t="s">
        <v>317</v>
      </c>
      <c r="AA734" s="21" t="s">
        <v>40</v>
      </c>
      <c r="AB734" s="21">
        <v>1</v>
      </c>
      <c r="AD734" s="24">
        <v>10.01</v>
      </c>
      <c r="AE734" s="24">
        <v>9.33</v>
      </c>
      <c r="AF734" s="21" t="s">
        <v>302</v>
      </c>
      <c r="AG734" s="21" t="s">
        <v>301</v>
      </c>
    </row>
    <row r="735" spans="1:33">
      <c r="A735" s="21" t="s">
        <v>40</v>
      </c>
      <c r="B735" s="21" t="s">
        <v>435</v>
      </c>
      <c r="C735" s="25">
        <v>46031</v>
      </c>
      <c r="D735" s="21" t="s">
        <v>450</v>
      </c>
      <c r="E735" s="24">
        <v>10.01</v>
      </c>
      <c r="F735" s="24">
        <v>10.42</v>
      </c>
      <c r="G735" s="24">
        <f>E735-F735</f>
        <v>-0.41000000000000014</v>
      </c>
      <c r="H735" s="21" t="s">
        <v>294</v>
      </c>
      <c r="I735" s="21">
        <v>0</v>
      </c>
      <c r="J735" s="21">
        <v>6</v>
      </c>
      <c r="K735" s="21">
        <v>7</v>
      </c>
      <c r="L735" s="21">
        <v>6</v>
      </c>
      <c r="M735" s="21">
        <v>4</v>
      </c>
      <c r="N735" s="21">
        <v>0</v>
      </c>
      <c r="O735" s="21">
        <v>1</v>
      </c>
      <c r="P735" s="24">
        <f>J735+L735+N735</f>
        <v>12</v>
      </c>
      <c r="Q735" s="24">
        <f>K735+M735+O735</f>
        <v>12</v>
      </c>
      <c r="R735" s="24">
        <v>0.29151291512915128</v>
      </c>
      <c r="S735" s="21" t="s">
        <v>370</v>
      </c>
      <c r="U735" s="21" t="s">
        <v>292</v>
      </c>
      <c r="V735" s="21" t="s">
        <v>286</v>
      </c>
      <c r="W735" s="21">
        <v>2</v>
      </c>
      <c r="X735" s="21" t="s">
        <v>310</v>
      </c>
      <c r="Y735" s="21" t="s">
        <v>318</v>
      </c>
      <c r="Z735" s="21" t="s">
        <v>317</v>
      </c>
      <c r="AA735" s="21" t="s">
        <v>40</v>
      </c>
      <c r="AB735" s="21">
        <v>1</v>
      </c>
      <c r="AD735" s="24">
        <v>10.01</v>
      </c>
      <c r="AE735" s="24">
        <v>10.42</v>
      </c>
      <c r="AF735" s="21" t="s">
        <v>302</v>
      </c>
      <c r="AG735" s="21" t="s">
        <v>301</v>
      </c>
    </row>
    <row r="736" spans="1:33">
      <c r="A736" s="21" t="s">
        <v>40</v>
      </c>
      <c r="B736" s="21" t="s">
        <v>435</v>
      </c>
      <c r="C736" s="25">
        <v>46031</v>
      </c>
      <c r="D736" s="21" t="s">
        <v>565</v>
      </c>
      <c r="E736" s="24">
        <v>10.01</v>
      </c>
      <c r="F736" s="24">
        <v>8.3800000000000008</v>
      </c>
      <c r="G736" s="24">
        <f>E736-F736</f>
        <v>1.629999999999999</v>
      </c>
      <c r="H736" s="21" t="s">
        <v>289</v>
      </c>
      <c r="I736" s="21">
        <v>1</v>
      </c>
      <c r="J736" s="21">
        <v>6</v>
      </c>
      <c r="K736" s="21">
        <v>2</v>
      </c>
      <c r="L736" s="21">
        <v>6</v>
      </c>
      <c r="M736" s="21">
        <v>0</v>
      </c>
      <c r="P736" s="24">
        <f>J736+L736+N736</f>
        <v>12</v>
      </c>
      <c r="Q736" s="24">
        <f>K736+M736+O736</f>
        <v>2</v>
      </c>
      <c r="R736" s="24">
        <v>0.8571428571428571</v>
      </c>
      <c r="S736" s="21" t="s">
        <v>370</v>
      </c>
      <c r="T736" s="21" t="s">
        <v>297</v>
      </c>
      <c r="U736" s="21" t="s">
        <v>292</v>
      </c>
      <c r="V736" s="21" t="s">
        <v>286</v>
      </c>
      <c r="W736" s="21">
        <v>2</v>
      </c>
      <c r="X736" s="21" t="s">
        <v>310</v>
      </c>
      <c r="Y736" s="21" t="s">
        <v>318</v>
      </c>
      <c r="Z736" s="21" t="s">
        <v>317</v>
      </c>
      <c r="AA736" s="21" t="s">
        <v>40</v>
      </c>
      <c r="AB736" s="21">
        <v>1</v>
      </c>
      <c r="AD736" s="24">
        <v>10.01</v>
      </c>
      <c r="AE736" s="24">
        <v>8.3800000000000008</v>
      </c>
      <c r="AF736" s="21" t="s">
        <v>302</v>
      </c>
      <c r="AG736" s="21" t="s">
        <v>301</v>
      </c>
    </row>
    <row r="737" spans="1:33">
      <c r="A737" s="21" t="s">
        <v>40</v>
      </c>
      <c r="B737" s="21" t="s">
        <v>435</v>
      </c>
      <c r="C737" s="25">
        <v>46060</v>
      </c>
      <c r="D737" s="21" t="s">
        <v>361</v>
      </c>
      <c r="E737" s="24">
        <v>10.01</v>
      </c>
      <c r="F737" s="24">
        <v>8.48</v>
      </c>
      <c r="G737" s="24">
        <f>E737-F737</f>
        <v>1.5299999999999994</v>
      </c>
      <c r="H737" s="21" t="s">
        <v>289</v>
      </c>
      <c r="I737" s="21">
        <v>1</v>
      </c>
      <c r="J737" s="21">
        <v>6</v>
      </c>
      <c r="K737" s="21">
        <v>3</v>
      </c>
      <c r="L737" s="21">
        <v>6</v>
      </c>
      <c r="M737" s="21">
        <v>1</v>
      </c>
      <c r="P737" s="24">
        <f>J737+L737+N737</f>
        <v>12</v>
      </c>
      <c r="Q737" s="24">
        <f>K737+M737+O737</f>
        <v>4</v>
      </c>
      <c r="R737" s="24">
        <v>0.75</v>
      </c>
      <c r="S737" s="21" t="s">
        <v>447</v>
      </c>
      <c r="T737" s="21" t="s">
        <v>297</v>
      </c>
      <c r="U737" s="21" t="s">
        <v>292</v>
      </c>
      <c r="V737" s="21" t="s">
        <v>286</v>
      </c>
      <c r="W737" s="21">
        <v>7</v>
      </c>
      <c r="X737" s="21" t="s">
        <v>285</v>
      </c>
      <c r="Y737" s="21" t="s">
        <v>318</v>
      </c>
      <c r="Z737" s="21" t="s">
        <v>317</v>
      </c>
      <c r="AA737" s="21" t="s">
        <v>40</v>
      </c>
      <c r="AB737" s="21">
        <v>1</v>
      </c>
      <c r="AD737" s="24">
        <v>10.01</v>
      </c>
      <c r="AE737" s="24">
        <v>8.48</v>
      </c>
      <c r="AF737" s="21" t="s">
        <v>302</v>
      </c>
      <c r="AG737" s="21" t="s">
        <v>301</v>
      </c>
    </row>
    <row r="738" spans="1:33">
      <c r="A738" s="21" t="s">
        <v>40</v>
      </c>
      <c r="B738" s="21" t="s">
        <v>435</v>
      </c>
      <c r="C738" s="25">
        <v>46060</v>
      </c>
      <c r="D738" s="21" t="s">
        <v>566</v>
      </c>
      <c r="E738" s="24">
        <v>10.01</v>
      </c>
      <c r="F738" s="24">
        <v>10.35</v>
      </c>
      <c r="G738" s="24">
        <f>E738-F738</f>
        <v>-0.33999999999999986</v>
      </c>
      <c r="H738" s="21" t="s">
        <v>294</v>
      </c>
      <c r="I738" s="21">
        <v>0</v>
      </c>
      <c r="J738" s="21">
        <v>4</v>
      </c>
      <c r="K738" s="21">
        <v>6</v>
      </c>
      <c r="L738" s="21">
        <v>4</v>
      </c>
      <c r="M738" s="21">
        <v>6</v>
      </c>
      <c r="P738" s="24">
        <f>J738+L738+N738</f>
        <v>8</v>
      </c>
      <c r="Q738" s="24">
        <f>K738+M738+O738</f>
        <v>12</v>
      </c>
      <c r="R738" s="24">
        <v>0.4</v>
      </c>
      <c r="S738" s="21" t="s">
        <v>447</v>
      </c>
      <c r="T738" s="21" t="s">
        <v>355</v>
      </c>
      <c r="U738" s="21" t="s">
        <v>292</v>
      </c>
      <c r="V738" s="21" t="s">
        <v>286</v>
      </c>
      <c r="W738" s="21">
        <v>7</v>
      </c>
      <c r="X738" s="21" t="s">
        <v>285</v>
      </c>
      <c r="Y738" s="21" t="s">
        <v>318</v>
      </c>
      <c r="Z738" s="21" t="s">
        <v>317</v>
      </c>
      <c r="AA738" s="21" t="s">
        <v>40</v>
      </c>
      <c r="AB738" s="21">
        <v>1</v>
      </c>
      <c r="AD738" s="24">
        <v>10.01</v>
      </c>
      <c r="AE738" s="24">
        <v>10.35</v>
      </c>
      <c r="AF738" s="21" t="s">
        <v>302</v>
      </c>
      <c r="AG738" s="21" t="s">
        <v>301</v>
      </c>
    </row>
    <row r="739" spans="1:33">
      <c r="A739" s="21" t="s">
        <v>40</v>
      </c>
      <c r="B739" s="21" t="s">
        <v>435</v>
      </c>
      <c r="C739" s="25">
        <v>46060</v>
      </c>
      <c r="D739" s="21" t="s">
        <v>37</v>
      </c>
      <c r="E739" s="24">
        <v>10.01</v>
      </c>
      <c r="F739" s="24">
        <v>10.06</v>
      </c>
      <c r="G739" s="24">
        <f>E739-F739</f>
        <v>-5.0000000000000711E-2</v>
      </c>
      <c r="H739" s="21" t="s">
        <v>289</v>
      </c>
      <c r="I739" s="21">
        <v>1</v>
      </c>
      <c r="J739" s="21">
        <v>6</v>
      </c>
      <c r="K739" s="21">
        <v>4</v>
      </c>
      <c r="L739" s="21">
        <v>7</v>
      </c>
      <c r="M739" s="21">
        <v>6</v>
      </c>
      <c r="P739" s="24">
        <f>J739+L739+N739</f>
        <v>13</v>
      </c>
      <c r="Q739" s="24">
        <f>K739+M739+O739</f>
        <v>10</v>
      </c>
      <c r="R739" s="24">
        <v>0.54487179487179482</v>
      </c>
      <c r="S739" s="21" t="s">
        <v>447</v>
      </c>
      <c r="T739" s="21" t="s">
        <v>295</v>
      </c>
      <c r="U739" s="21" t="s">
        <v>292</v>
      </c>
      <c r="V739" s="21" t="s">
        <v>286</v>
      </c>
      <c r="W739" s="21">
        <v>7</v>
      </c>
      <c r="X739" s="21" t="s">
        <v>285</v>
      </c>
      <c r="Y739" s="21" t="s">
        <v>318</v>
      </c>
      <c r="Z739" s="21" t="s">
        <v>317</v>
      </c>
      <c r="AA739" s="21" t="s">
        <v>40</v>
      </c>
      <c r="AB739" s="21">
        <v>1</v>
      </c>
      <c r="AD739" s="24">
        <v>10.01</v>
      </c>
      <c r="AE739" s="24">
        <v>10.06</v>
      </c>
      <c r="AF739" s="21" t="s">
        <v>304</v>
      </c>
      <c r="AG739" s="21" t="s">
        <v>303</v>
      </c>
    </row>
    <row r="740" spans="1:33">
      <c r="A740" s="21" t="s">
        <v>40</v>
      </c>
      <c r="B740" s="21" t="s">
        <v>435</v>
      </c>
      <c r="C740" s="25">
        <v>46060</v>
      </c>
      <c r="D740" s="21" t="s">
        <v>565</v>
      </c>
      <c r="E740" s="24">
        <v>10.01</v>
      </c>
      <c r="F740" s="24">
        <v>8.3800000000000008</v>
      </c>
      <c r="G740" s="24">
        <f>E740-F740</f>
        <v>1.629999999999999</v>
      </c>
      <c r="H740" s="21" t="s">
        <v>289</v>
      </c>
      <c r="I740" s="21">
        <v>1</v>
      </c>
      <c r="J740" s="21">
        <v>6</v>
      </c>
      <c r="K740" s="21">
        <v>3</v>
      </c>
      <c r="L740" s="21">
        <v>6</v>
      </c>
      <c r="M740" s="21">
        <v>2</v>
      </c>
      <c r="P740" s="24">
        <f>J740+L740+N740</f>
        <v>12</v>
      </c>
      <c r="Q740" s="24">
        <f>K740+M740+O740</f>
        <v>5</v>
      </c>
      <c r="R740" s="24">
        <v>0.70588235294117652</v>
      </c>
      <c r="S740" s="21" t="s">
        <v>447</v>
      </c>
      <c r="T740" s="21" t="s">
        <v>296</v>
      </c>
      <c r="U740" s="21" t="s">
        <v>292</v>
      </c>
      <c r="V740" s="21" t="s">
        <v>286</v>
      </c>
      <c r="W740" s="21">
        <v>7</v>
      </c>
      <c r="X740" s="21" t="s">
        <v>285</v>
      </c>
      <c r="Y740" s="21" t="s">
        <v>318</v>
      </c>
      <c r="Z740" s="21" t="s">
        <v>317</v>
      </c>
      <c r="AA740" s="21" t="s">
        <v>40</v>
      </c>
      <c r="AB740" s="21">
        <v>1</v>
      </c>
      <c r="AD740" s="24">
        <v>10.01</v>
      </c>
      <c r="AE740" s="24">
        <v>8.3800000000000008</v>
      </c>
      <c r="AF740" s="21" t="s">
        <v>304</v>
      </c>
      <c r="AG740" s="21" t="s">
        <v>303</v>
      </c>
    </row>
    <row r="741" spans="1:33">
      <c r="A741" s="21" t="s">
        <v>40</v>
      </c>
      <c r="B741" s="21" t="s">
        <v>435</v>
      </c>
      <c r="C741" s="25">
        <v>46067</v>
      </c>
      <c r="D741" s="21" t="s">
        <v>564</v>
      </c>
      <c r="E741" s="24">
        <v>10.01</v>
      </c>
      <c r="F741" s="24">
        <v>11.06</v>
      </c>
      <c r="G741" s="24">
        <f>E741-F741</f>
        <v>-1.0500000000000007</v>
      </c>
      <c r="H741" s="21" t="s">
        <v>294</v>
      </c>
      <c r="I741" s="21">
        <v>0</v>
      </c>
      <c r="J741" s="21">
        <v>3</v>
      </c>
      <c r="K741" s="21">
        <v>6</v>
      </c>
      <c r="L741" s="21">
        <v>2</v>
      </c>
      <c r="M741" s="21">
        <v>6</v>
      </c>
      <c r="P741" s="24">
        <f>J741+L741+N741</f>
        <v>5</v>
      </c>
      <c r="Q741" s="24">
        <f>K741+M741+O741</f>
        <v>12</v>
      </c>
      <c r="R741" s="24">
        <v>0.29411764705882354</v>
      </c>
      <c r="S741" s="21" t="s">
        <v>562</v>
      </c>
      <c r="T741" s="21" t="s">
        <v>297</v>
      </c>
      <c r="U741" s="21" t="s">
        <v>292</v>
      </c>
      <c r="V741" s="21" t="s">
        <v>286</v>
      </c>
      <c r="W741" s="21">
        <v>11</v>
      </c>
      <c r="X741" s="21" t="s">
        <v>285</v>
      </c>
      <c r="Y741" s="21" t="s">
        <v>318</v>
      </c>
      <c r="Z741" s="21" t="s">
        <v>317</v>
      </c>
      <c r="AA741" s="21" t="s">
        <v>40</v>
      </c>
      <c r="AB741" s="21">
        <v>1</v>
      </c>
      <c r="AD741" s="24">
        <v>10.01</v>
      </c>
      <c r="AE741" s="24">
        <v>11.06</v>
      </c>
      <c r="AF741" s="21" t="s">
        <v>304</v>
      </c>
      <c r="AG741" s="21" t="s">
        <v>303</v>
      </c>
    </row>
    <row r="742" spans="1:33">
      <c r="A742" s="21" t="s">
        <v>40</v>
      </c>
      <c r="B742" s="21" t="s">
        <v>435</v>
      </c>
      <c r="C742" s="25">
        <v>46067</v>
      </c>
      <c r="D742" s="21" t="s">
        <v>455</v>
      </c>
      <c r="E742" s="24">
        <v>10.01</v>
      </c>
      <c r="F742" s="24">
        <v>9.98</v>
      </c>
      <c r="G742" s="24">
        <f>E742-F742</f>
        <v>2.9999999999999361E-2</v>
      </c>
      <c r="H742" s="21" t="s">
        <v>294</v>
      </c>
      <c r="I742" s="21">
        <v>0</v>
      </c>
      <c r="J742" s="21">
        <v>2</v>
      </c>
      <c r="K742" s="21">
        <v>4</v>
      </c>
      <c r="L742" s="21">
        <v>5</v>
      </c>
      <c r="M742" s="21">
        <v>4</v>
      </c>
      <c r="N742" s="21">
        <v>0</v>
      </c>
      <c r="O742" s="21">
        <v>1</v>
      </c>
      <c r="P742" s="24">
        <f>J742+L742+N742</f>
        <v>7</v>
      </c>
      <c r="Q742" s="24">
        <f>K742+M742+O742</f>
        <v>9</v>
      </c>
      <c r="R742" s="24">
        <v>0.54128440366972475</v>
      </c>
      <c r="S742" s="21" t="s">
        <v>562</v>
      </c>
      <c r="T742" s="21" t="s">
        <v>454</v>
      </c>
      <c r="U742" s="21" t="s">
        <v>292</v>
      </c>
      <c r="V742" s="21" t="s">
        <v>286</v>
      </c>
      <c r="W742" s="21">
        <v>11</v>
      </c>
      <c r="X742" s="21" t="s">
        <v>285</v>
      </c>
      <c r="Y742" s="21" t="s">
        <v>318</v>
      </c>
      <c r="Z742" s="21" t="s">
        <v>317</v>
      </c>
      <c r="AA742" s="21" t="s">
        <v>40</v>
      </c>
      <c r="AB742" s="21">
        <v>1</v>
      </c>
      <c r="AD742" s="24">
        <v>10.01</v>
      </c>
      <c r="AE742" s="24">
        <v>9.98</v>
      </c>
      <c r="AF742" s="21" t="s">
        <v>302</v>
      </c>
      <c r="AG742" s="21" t="s">
        <v>301</v>
      </c>
    </row>
    <row r="743" spans="1:33">
      <c r="A743" s="21" t="s">
        <v>40</v>
      </c>
      <c r="B743" s="21" t="s">
        <v>435</v>
      </c>
      <c r="C743" s="25">
        <v>46067</v>
      </c>
      <c r="D743" s="21" t="s">
        <v>563</v>
      </c>
      <c r="E743" s="24">
        <v>10.01</v>
      </c>
      <c r="F743" s="24">
        <v>10.29</v>
      </c>
      <c r="G743" s="24">
        <f>E743-F743</f>
        <v>-0.27999999999999936</v>
      </c>
      <c r="H743" s="21" t="s">
        <v>289</v>
      </c>
      <c r="I743" s="21">
        <v>1</v>
      </c>
      <c r="J743" s="21">
        <v>1</v>
      </c>
      <c r="K743" s="21">
        <v>4</v>
      </c>
      <c r="L743" s="21">
        <v>4</v>
      </c>
      <c r="M743" s="21">
        <v>1</v>
      </c>
      <c r="N743" s="21">
        <v>1</v>
      </c>
      <c r="O743" s="21">
        <v>0</v>
      </c>
      <c r="P743" s="24">
        <f>J743+L743+N743</f>
        <v>6</v>
      </c>
      <c r="Q743" s="24">
        <f>K743+M743+O743</f>
        <v>5</v>
      </c>
      <c r="R743" s="24">
        <v>0.54545454545454541</v>
      </c>
      <c r="S743" s="21" t="s">
        <v>562</v>
      </c>
      <c r="T743" s="21" t="s">
        <v>544</v>
      </c>
      <c r="U743" s="21" t="s">
        <v>292</v>
      </c>
      <c r="V743" s="21" t="s">
        <v>286</v>
      </c>
      <c r="W743" s="21">
        <v>11</v>
      </c>
      <c r="X743" s="21" t="s">
        <v>285</v>
      </c>
      <c r="Y743" s="21" t="s">
        <v>318</v>
      </c>
      <c r="Z743" s="21" t="s">
        <v>317</v>
      </c>
      <c r="AA743" s="21" t="s">
        <v>40</v>
      </c>
      <c r="AB743" s="21">
        <v>1</v>
      </c>
      <c r="AD743" s="24">
        <v>10.01</v>
      </c>
      <c r="AE743" s="24">
        <v>10.29</v>
      </c>
      <c r="AF743" s="21" t="s">
        <v>302</v>
      </c>
      <c r="AG743" s="21" t="s">
        <v>301</v>
      </c>
    </row>
    <row r="744" spans="1:33">
      <c r="A744" s="21" t="s">
        <v>40</v>
      </c>
      <c r="B744" s="21" t="s">
        <v>435</v>
      </c>
      <c r="C744" s="25">
        <v>46074</v>
      </c>
      <c r="D744" s="21" t="s">
        <v>561</v>
      </c>
      <c r="E744" s="24">
        <v>10.01</v>
      </c>
      <c r="F744" s="24">
        <v>10.45</v>
      </c>
      <c r="G744" s="24">
        <f>E744-F744</f>
        <v>-0.4399999999999995</v>
      </c>
      <c r="H744" s="21" t="s">
        <v>294</v>
      </c>
      <c r="I744" s="21">
        <v>0</v>
      </c>
      <c r="J744" s="21">
        <v>1</v>
      </c>
      <c r="K744" s="21">
        <v>6</v>
      </c>
      <c r="L744" s="21">
        <v>4</v>
      </c>
      <c r="M744" s="21">
        <v>6</v>
      </c>
      <c r="P744" s="24">
        <f>J744+L744+N744</f>
        <v>5</v>
      </c>
      <c r="Q744" s="24">
        <f>K744+M744+O744</f>
        <v>12</v>
      </c>
      <c r="R744" s="24">
        <v>0.29411764705882354</v>
      </c>
      <c r="S744" s="21" t="s">
        <v>367</v>
      </c>
      <c r="T744" s="21" t="s">
        <v>297</v>
      </c>
      <c r="U744" s="21" t="s">
        <v>292</v>
      </c>
      <c r="V744" s="21" t="s">
        <v>286</v>
      </c>
      <c r="W744" s="21">
        <v>14</v>
      </c>
      <c r="X744" s="21" t="s">
        <v>285</v>
      </c>
      <c r="Y744" s="21" t="s">
        <v>318</v>
      </c>
      <c r="Z744" s="21" t="s">
        <v>317</v>
      </c>
      <c r="AA744" s="21" t="s">
        <v>40</v>
      </c>
      <c r="AB744" s="21">
        <v>1</v>
      </c>
      <c r="AD744" s="24">
        <v>10.01</v>
      </c>
      <c r="AE744" s="24">
        <v>10.45</v>
      </c>
      <c r="AF744" s="21" t="s">
        <v>302</v>
      </c>
      <c r="AG744" s="21" t="s">
        <v>301</v>
      </c>
    </row>
    <row r="745" spans="1:33">
      <c r="A745" s="21" t="s">
        <v>40</v>
      </c>
      <c r="B745" s="21" t="s">
        <v>435</v>
      </c>
      <c r="C745" s="25">
        <v>46095</v>
      </c>
      <c r="D745" s="21" t="s">
        <v>560</v>
      </c>
      <c r="E745" s="24">
        <v>9.6300000000000008</v>
      </c>
      <c r="F745" s="24">
        <v>9.93</v>
      </c>
      <c r="G745" s="24">
        <f>E745-F745</f>
        <v>-0.29999999999999893</v>
      </c>
      <c r="H745" s="21" t="s">
        <v>289</v>
      </c>
      <c r="I745" s="21">
        <v>1</v>
      </c>
      <c r="J745" s="21">
        <v>7</v>
      </c>
      <c r="K745" s="21">
        <v>5</v>
      </c>
      <c r="L745" s="21">
        <v>6</v>
      </c>
      <c r="M745" s="21">
        <v>2</v>
      </c>
      <c r="P745" s="24">
        <f>J745+L745+N745</f>
        <v>13</v>
      </c>
      <c r="Q745" s="24">
        <f>K745+M745+O745</f>
        <v>7</v>
      </c>
      <c r="R745" s="24">
        <v>0.65</v>
      </c>
      <c r="S745" s="21" t="s">
        <v>554</v>
      </c>
      <c r="U745" s="21" t="s">
        <v>292</v>
      </c>
      <c r="V745" s="21" t="s">
        <v>286</v>
      </c>
      <c r="W745" s="21">
        <v>15</v>
      </c>
      <c r="X745" s="21" t="s">
        <v>285</v>
      </c>
      <c r="Y745" s="21" t="s">
        <v>318</v>
      </c>
      <c r="Z745" s="21" t="s">
        <v>317</v>
      </c>
      <c r="AA745" s="21" t="s">
        <v>40</v>
      </c>
      <c r="AB745" s="21">
        <v>1</v>
      </c>
      <c r="AD745" s="24">
        <v>10.01</v>
      </c>
      <c r="AE745" s="24">
        <v>9.93</v>
      </c>
      <c r="AF745" s="21" t="s">
        <v>304</v>
      </c>
      <c r="AG745" s="21" t="s">
        <v>303</v>
      </c>
    </row>
    <row r="746" spans="1:33">
      <c r="A746" s="21" t="s">
        <v>40</v>
      </c>
      <c r="B746" s="21" t="s">
        <v>435</v>
      </c>
      <c r="C746" s="25">
        <v>46095</v>
      </c>
      <c r="D746" s="21" t="s">
        <v>559</v>
      </c>
      <c r="E746" s="24">
        <v>9.6300000000000008</v>
      </c>
      <c r="F746" s="24">
        <v>10.26</v>
      </c>
      <c r="G746" s="24">
        <f>E746-F746</f>
        <v>-0.62999999999999901</v>
      </c>
      <c r="H746" s="21" t="s">
        <v>294</v>
      </c>
      <c r="I746" s="21">
        <v>0</v>
      </c>
      <c r="J746" s="21">
        <v>1</v>
      </c>
      <c r="K746" s="21">
        <v>6</v>
      </c>
      <c r="L746" s="21">
        <v>3</v>
      </c>
      <c r="M746" s="21">
        <v>6</v>
      </c>
      <c r="P746" s="24">
        <f>J746+L746+N746</f>
        <v>4</v>
      </c>
      <c r="Q746" s="24">
        <f>K746+M746+O746</f>
        <v>12</v>
      </c>
      <c r="R746" s="24">
        <v>0.25</v>
      </c>
      <c r="S746" s="21" t="s">
        <v>554</v>
      </c>
      <c r="U746" s="21" t="s">
        <v>292</v>
      </c>
      <c r="V746" s="21" t="s">
        <v>286</v>
      </c>
      <c r="W746" s="21">
        <v>15</v>
      </c>
      <c r="X746" s="21" t="s">
        <v>285</v>
      </c>
      <c r="Y746" s="21" t="s">
        <v>318</v>
      </c>
      <c r="Z746" s="21" t="s">
        <v>317</v>
      </c>
      <c r="AA746" s="21" t="s">
        <v>40</v>
      </c>
      <c r="AB746" s="21">
        <v>1</v>
      </c>
      <c r="AD746" s="24">
        <v>10.01</v>
      </c>
      <c r="AE746" s="24">
        <v>10.26</v>
      </c>
      <c r="AF746" s="21" t="s">
        <v>302</v>
      </c>
      <c r="AG746" s="21" t="s">
        <v>301</v>
      </c>
    </row>
    <row r="747" spans="1:33">
      <c r="A747" s="21" t="s">
        <v>40</v>
      </c>
      <c r="B747" s="21" t="s">
        <v>435</v>
      </c>
      <c r="C747" s="25">
        <v>46095</v>
      </c>
      <c r="D747" s="21" t="s">
        <v>558</v>
      </c>
      <c r="E747" s="24">
        <v>9.6300000000000008</v>
      </c>
      <c r="F747" s="24">
        <v>10.5</v>
      </c>
      <c r="G747" s="24">
        <f>E747-F747</f>
        <v>-0.86999999999999922</v>
      </c>
      <c r="H747" s="21" t="s">
        <v>294</v>
      </c>
      <c r="I747" s="21">
        <v>0</v>
      </c>
      <c r="J747" s="21">
        <v>3</v>
      </c>
      <c r="K747" s="21">
        <v>6</v>
      </c>
      <c r="L747" s="21">
        <v>5</v>
      </c>
      <c r="M747" s="21">
        <v>7</v>
      </c>
      <c r="P747" s="24">
        <f>J747+L747+N747</f>
        <v>8</v>
      </c>
      <c r="Q747" s="24">
        <f>K747+M747+O747</f>
        <v>13</v>
      </c>
      <c r="R747" s="24">
        <v>0.38095238095238093</v>
      </c>
      <c r="S747" s="21" t="s">
        <v>554</v>
      </c>
      <c r="T747" s="21" t="s">
        <v>365</v>
      </c>
      <c r="U747" s="21" t="s">
        <v>292</v>
      </c>
      <c r="V747" s="21" t="s">
        <v>286</v>
      </c>
      <c r="W747" s="21">
        <v>15</v>
      </c>
      <c r="X747" s="21" t="s">
        <v>285</v>
      </c>
      <c r="Y747" s="21" t="s">
        <v>318</v>
      </c>
      <c r="Z747" s="21" t="s">
        <v>317</v>
      </c>
      <c r="AA747" s="21" t="s">
        <v>40</v>
      </c>
      <c r="AB747" s="21">
        <v>1</v>
      </c>
      <c r="AD747" s="24">
        <v>10.01</v>
      </c>
      <c r="AE747" s="24">
        <v>10.5</v>
      </c>
      <c r="AF747" s="21" t="s">
        <v>302</v>
      </c>
      <c r="AG747" s="21" t="s">
        <v>301</v>
      </c>
    </row>
    <row r="748" spans="1:33">
      <c r="A748" s="21" t="s">
        <v>40</v>
      </c>
      <c r="B748" s="21" t="s">
        <v>435</v>
      </c>
      <c r="C748" s="25">
        <v>46102</v>
      </c>
      <c r="D748" s="21" t="s">
        <v>361</v>
      </c>
      <c r="E748" s="24">
        <v>9.6300000000000008</v>
      </c>
      <c r="F748" s="24">
        <v>8.48</v>
      </c>
      <c r="G748" s="24">
        <f>E748-F748</f>
        <v>1.1500000000000004</v>
      </c>
      <c r="H748" s="21" t="s">
        <v>289</v>
      </c>
      <c r="I748" s="21">
        <v>1</v>
      </c>
      <c r="J748" s="21">
        <v>6</v>
      </c>
      <c r="K748" s="21">
        <v>3</v>
      </c>
      <c r="L748" s="21">
        <v>6</v>
      </c>
      <c r="M748" s="21">
        <v>1</v>
      </c>
      <c r="P748" s="24">
        <f>J748+L748+N748</f>
        <v>12</v>
      </c>
      <c r="Q748" s="24">
        <f>K748+M748+O748</f>
        <v>4</v>
      </c>
      <c r="R748" s="24">
        <v>0.75</v>
      </c>
      <c r="S748" s="21" t="s">
        <v>554</v>
      </c>
      <c r="T748" s="21" t="s">
        <v>297</v>
      </c>
      <c r="U748" s="21" t="s">
        <v>292</v>
      </c>
      <c r="V748" s="21" t="s">
        <v>286</v>
      </c>
      <c r="W748" s="21">
        <v>18</v>
      </c>
      <c r="X748" s="21" t="s">
        <v>285</v>
      </c>
      <c r="Y748" s="21" t="s">
        <v>318</v>
      </c>
      <c r="Z748" s="21" t="s">
        <v>317</v>
      </c>
      <c r="AA748" s="21" t="s">
        <v>40</v>
      </c>
      <c r="AB748" s="21">
        <v>1</v>
      </c>
      <c r="AD748" s="24">
        <v>10.01</v>
      </c>
      <c r="AE748" s="24">
        <v>8.48</v>
      </c>
      <c r="AF748" s="21" t="s">
        <v>304</v>
      </c>
      <c r="AG748" s="21" t="s">
        <v>303</v>
      </c>
    </row>
    <row r="749" spans="1:33">
      <c r="A749" s="21" t="s">
        <v>40</v>
      </c>
      <c r="B749" s="21" t="s">
        <v>435</v>
      </c>
      <c r="C749" s="25">
        <v>46102</v>
      </c>
      <c r="D749" s="21" t="s">
        <v>557</v>
      </c>
      <c r="E749" s="24">
        <v>9.6300000000000008</v>
      </c>
      <c r="F749" s="24">
        <v>9.15</v>
      </c>
      <c r="G749" s="24">
        <f>E749-F749</f>
        <v>0.48000000000000043</v>
      </c>
      <c r="H749" s="21" t="s">
        <v>289</v>
      </c>
      <c r="I749" s="21">
        <v>1</v>
      </c>
      <c r="J749" s="21">
        <v>6</v>
      </c>
      <c r="K749" s="21">
        <v>2</v>
      </c>
      <c r="L749" s="21">
        <v>6</v>
      </c>
      <c r="M749" s="21">
        <v>1</v>
      </c>
      <c r="P749" s="24">
        <f>J749+L749+N749</f>
        <v>12</v>
      </c>
      <c r="Q749" s="24">
        <f>K749+M749+O749</f>
        <v>3</v>
      </c>
      <c r="R749" s="24">
        <v>0.8</v>
      </c>
      <c r="S749" s="21" t="s">
        <v>554</v>
      </c>
      <c r="T749" s="21" t="s">
        <v>295</v>
      </c>
      <c r="U749" s="21" t="s">
        <v>292</v>
      </c>
      <c r="V749" s="21" t="s">
        <v>286</v>
      </c>
      <c r="W749" s="21">
        <v>18</v>
      </c>
      <c r="X749" s="21" t="s">
        <v>285</v>
      </c>
      <c r="Y749" s="21" t="s">
        <v>318</v>
      </c>
      <c r="Z749" s="21" t="s">
        <v>317</v>
      </c>
      <c r="AA749" s="21" t="s">
        <v>40</v>
      </c>
      <c r="AB749" s="21">
        <v>1</v>
      </c>
      <c r="AD749" s="24">
        <v>10.01</v>
      </c>
      <c r="AE749" s="24">
        <v>9.15</v>
      </c>
      <c r="AF749" s="21" t="s">
        <v>304</v>
      </c>
      <c r="AG749" s="21" t="s">
        <v>303</v>
      </c>
    </row>
    <row r="750" spans="1:33">
      <c r="A750" s="21" t="s">
        <v>40</v>
      </c>
      <c r="B750" s="21" t="s">
        <v>435</v>
      </c>
      <c r="C750" s="25">
        <v>46102</v>
      </c>
      <c r="D750" s="21" t="s">
        <v>556</v>
      </c>
      <c r="E750" s="24">
        <v>9.6300000000000008</v>
      </c>
      <c r="F750" s="24">
        <v>10.119999999999999</v>
      </c>
      <c r="G750" s="24">
        <f>E750-F750</f>
        <v>-0.48999999999999844</v>
      </c>
      <c r="H750" s="21" t="s">
        <v>294</v>
      </c>
      <c r="I750" s="21">
        <v>0</v>
      </c>
      <c r="J750" s="21">
        <v>2</v>
      </c>
      <c r="K750" s="21">
        <v>6</v>
      </c>
      <c r="L750" s="21">
        <v>3</v>
      </c>
      <c r="M750" s="21">
        <v>6</v>
      </c>
      <c r="P750" s="24">
        <f>J750+L750+N750</f>
        <v>5</v>
      </c>
      <c r="Q750" s="24">
        <f>K750+M750+O750</f>
        <v>12</v>
      </c>
      <c r="R750" s="24">
        <v>0.29411764705882354</v>
      </c>
      <c r="S750" s="21" t="s">
        <v>554</v>
      </c>
      <c r="T750" s="21" t="s">
        <v>355</v>
      </c>
      <c r="U750" s="21" t="s">
        <v>292</v>
      </c>
      <c r="V750" s="21" t="s">
        <v>286</v>
      </c>
      <c r="W750" s="21">
        <v>18</v>
      </c>
      <c r="X750" s="21" t="s">
        <v>285</v>
      </c>
      <c r="Y750" s="21" t="s">
        <v>318</v>
      </c>
      <c r="Z750" s="21" t="s">
        <v>317</v>
      </c>
      <c r="AA750" s="21" t="s">
        <v>40</v>
      </c>
      <c r="AB750" s="21">
        <v>1</v>
      </c>
      <c r="AD750" s="24">
        <v>10.01</v>
      </c>
      <c r="AE750" s="24">
        <v>10.119999999999999</v>
      </c>
      <c r="AF750" s="21" t="s">
        <v>304</v>
      </c>
      <c r="AG750" s="21" t="s">
        <v>303</v>
      </c>
    </row>
    <row r="751" spans="1:33">
      <c r="A751" s="21" t="s">
        <v>40</v>
      </c>
      <c r="B751" s="21" t="s">
        <v>435</v>
      </c>
      <c r="C751" s="25">
        <v>46102</v>
      </c>
      <c r="D751" s="21" t="s">
        <v>555</v>
      </c>
      <c r="E751" s="24">
        <v>9.6300000000000008</v>
      </c>
      <c r="F751" s="24">
        <v>8.85</v>
      </c>
      <c r="G751" s="24">
        <f>E751-F751</f>
        <v>0.78000000000000114</v>
      </c>
      <c r="H751" s="21" t="s">
        <v>289</v>
      </c>
      <c r="I751" s="21">
        <v>1</v>
      </c>
      <c r="J751" s="21">
        <v>6</v>
      </c>
      <c r="K751" s="21">
        <v>3</v>
      </c>
      <c r="L751" s="21">
        <v>6</v>
      </c>
      <c r="M751" s="21">
        <v>3</v>
      </c>
      <c r="P751" s="24">
        <f>J751+L751+N751</f>
        <v>12</v>
      </c>
      <c r="Q751" s="24">
        <f>K751+M751+O751</f>
        <v>6</v>
      </c>
      <c r="R751" s="24">
        <v>0.66666666666666663</v>
      </c>
      <c r="S751" s="21" t="s">
        <v>554</v>
      </c>
      <c r="T751" s="21" t="s">
        <v>296</v>
      </c>
      <c r="U751" s="21" t="s">
        <v>292</v>
      </c>
      <c r="V751" s="21" t="s">
        <v>286</v>
      </c>
      <c r="W751" s="21">
        <v>18</v>
      </c>
      <c r="X751" s="21" t="s">
        <v>285</v>
      </c>
      <c r="Y751" s="21" t="s">
        <v>318</v>
      </c>
      <c r="Z751" s="21" t="s">
        <v>317</v>
      </c>
      <c r="AA751" s="21" t="s">
        <v>40</v>
      </c>
      <c r="AB751" s="21">
        <v>1</v>
      </c>
      <c r="AD751" s="24">
        <v>10.01</v>
      </c>
      <c r="AE751" s="24">
        <v>8.85</v>
      </c>
      <c r="AF751" s="21" t="s">
        <v>304</v>
      </c>
      <c r="AG751" s="21" t="s">
        <v>303</v>
      </c>
    </row>
    <row r="752" spans="1:33">
      <c r="A752" s="21" t="s">
        <v>40</v>
      </c>
      <c r="B752" s="21" t="s">
        <v>435</v>
      </c>
      <c r="C752" s="25">
        <v>46105.625</v>
      </c>
      <c r="D752" s="21" t="s">
        <v>13</v>
      </c>
      <c r="E752" s="24">
        <v>9.61</v>
      </c>
      <c r="F752" s="24">
        <v>7.16</v>
      </c>
      <c r="G752" s="24">
        <f>E752-F752</f>
        <v>2.4499999999999993</v>
      </c>
      <c r="H752" s="21" t="s">
        <v>289</v>
      </c>
      <c r="I752" s="21">
        <v>1</v>
      </c>
      <c r="J752" s="21">
        <v>6</v>
      </c>
      <c r="K752" s="21">
        <v>1</v>
      </c>
      <c r="L752" s="21">
        <v>6</v>
      </c>
      <c r="M752" s="21">
        <v>1</v>
      </c>
      <c r="P752" s="24">
        <f>J752+L752+N752</f>
        <v>12</v>
      </c>
      <c r="Q752" s="24">
        <f>K752+M752+O752</f>
        <v>2</v>
      </c>
      <c r="R752" s="24">
        <v>0.8571428571428571</v>
      </c>
      <c r="S752" s="21" t="s">
        <v>215</v>
      </c>
      <c r="U752" s="21" t="s">
        <v>412</v>
      </c>
      <c r="V752" s="21" t="s">
        <v>286</v>
      </c>
      <c r="W752" s="21">
        <v>22</v>
      </c>
      <c r="X752" s="21" t="s">
        <v>285</v>
      </c>
      <c r="Y752" s="21" t="s">
        <v>318</v>
      </c>
      <c r="Z752" s="21" t="s">
        <v>317</v>
      </c>
      <c r="AA752" s="21" t="s">
        <v>40</v>
      </c>
      <c r="AB752" s="21">
        <v>1</v>
      </c>
      <c r="AD752" s="24">
        <v>10.01</v>
      </c>
      <c r="AE752" s="24">
        <v>7.52</v>
      </c>
      <c r="AF752" s="21" t="s">
        <v>302</v>
      </c>
      <c r="AG752" s="21" t="s">
        <v>301</v>
      </c>
    </row>
    <row r="753" spans="1:33">
      <c r="A753" s="21" t="s">
        <v>40</v>
      </c>
      <c r="B753" s="21" t="s">
        <v>435</v>
      </c>
      <c r="C753" s="25">
        <v>46106.645833333336</v>
      </c>
      <c r="D753" s="21" t="s">
        <v>44</v>
      </c>
      <c r="E753" s="24">
        <v>9.61</v>
      </c>
      <c r="F753" s="24">
        <v>8.6</v>
      </c>
      <c r="G753" s="24">
        <f>E753-F753</f>
        <v>1.0099999999999998</v>
      </c>
      <c r="H753" s="21" t="s">
        <v>289</v>
      </c>
      <c r="I753" s="21">
        <v>1</v>
      </c>
      <c r="J753" s="21">
        <v>6</v>
      </c>
      <c r="K753" s="21">
        <v>1</v>
      </c>
      <c r="L753" s="21">
        <v>6</v>
      </c>
      <c r="M753" s="21">
        <v>1</v>
      </c>
      <c r="P753" s="24">
        <f>J753+L753+N753</f>
        <v>12</v>
      </c>
      <c r="Q753" s="24">
        <f>K753+M753+O753</f>
        <v>2</v>
      </c>
      <c r="R753" s="24">
        <v>0.8571428571428571</v>
      </c>
      <c r="S753" s="21" t="s">
        <v>211</v>
      </c>
      <c r="U753" s="21" t="s">
        <v>287</v>
      </c>
      <c r="V753" s="21" t="s">
        <v>286</v>
      </c>
      <c r="W753" s="21">
        <v>23</v>
      </c>
      <c r="X753" s="21" t="s">
        <v>285</v>
      </c>
      <c r="Y753" s="21" t="s">
        <v>318</v>
      </c>
      <c r="Z753" s="21" t="s">
        <v>317</v>
      </c>
      <c r="AA753" s="21" t="s">
        <v>40</v>
      </c>
      <c r="AB753" s="21">
        <v>1</v>
      </c>
      <c r="AD753" s="24">
        <v>10.01</v>
      </c>
      <c r="AE753" s="24">
        <v>8.42</v>
      </c>
      <c r="AF753" s="21" t="s">
        <v>302</v>
      </c>
      <c r="AG753" s="21" t="s">
        <v>301</v>
      </c>
    </row>
    <row r="754" spans="1:33">
      <c r="A754" s="21" t="s">
        <v>40</v>
      </c>
      <c r="B754" s="21" t="s">
        <v>435</v>
      </c>
      <c r="C754" s="25">
        <v>46107.645833333336</v>
      </c>
      <c r="D754" s="21" t="s">
        <v>37</v>
      </c>
      <c r="E754" s="24">
        <v>9.61</v>
      </c>
      <c r="F754" s="24">
        <v>10.029999999999999</v>
      </c>
      <c r="G754" s="24">
        <f>E754-F754</f>
        <v>-0.41999999999999993</v>
      </c>
      <c r="H754" s="21" t="s">
        <v>294</v>
      </c>
      <c r="I754" s="21">
        <v>0</v>
      </c>
      <c r="J754" s="21">
        <v>5</v>
      </c>
      <c r="K754" s="21">
        <v>7</v>
      </c>
      <c r="L754" s="21">
        <v>6</v>
      </c>
      <c r="M754" s="21">
        <v>3</v>
      </c>
      <c r="N754" s="21">
        <v>0</v>
      </c>
      <c r="O754" s="21">
        <v>1</v>
      </c>
      <c r="P754" s="24">
        <f>J754+L754+N754</f>
        <v>11</v>
      </c>
      <c r="Q754" s="24">
        <f>K754+M754+O754</f>
        <v>11</v>
      </c>
      <c r="R754" s="24">
        <v>0.11764705882352941</v>
      </c>
      <c r="S754" s="21" t="s">
        <v>198</v>
      </c>
      <c r="U754" s="21" t="s">
        <v>287</v>
      </c>
      <c r="V754" s="21" t="s">
        <v>286</v>
      </c>
      <c r="W754" s="21">
        <v>24</v>
      </c>
      <c r="X754" s="21" t="s">
        <v>285</v>
      </c>
      <c r="Y754" s="21" t="s">
        <v>318</v>
      </c>
      <c r="Z754" s="21" t="s">
        <v>317</v>
      </c>
      <c r="AA754" s="21" t="s">
        <v>40</v>
      </c>
      <c r="AB754" s="21">
        <v>1</v>
      </c>
      <c r="AD754" s="24">
        <v>10.01</v>
      </c>
      <c r="AE754" s="24">
        <v>10.06</v>
      </c>
      <c r="AF754" s="21" t="s">
        <v>302</v>
      </c>
      <c r="AG754" s="21" t="s">
        <v>301</v>
      </c>
    </row>
    <row r="755" spans="1:33">
      <c r="A755" s="21" t="s">
        <v>40</v>
      </c>
      <c r="B755" s="21" t="s">
        <v>435</v>
      </c>
      <c r="C755" s="25">
        <v>46123</v>
      </c>
      <c r="D755" s="21" t="s">
        <v>553</v>
      </c>
      <c r="E755" s="24">
        <v>9.57</v>
      </c>
      <c r="F755" s="24">
        <v>9.61</v>
      </c>
      <c r="G755" s="24">
        <f>E755-F755</f>
        <v>-3.9999999999999147E-2</v>
      </c>
      <c r="H755" s="21" t="s">
        <v>294</v>
      </c>
      <c r="I755" s="21">
        <v>0</v>
      </c>
      <c r="J755" s="21">
        <v>2</v>
      </c>
      <c r="K755" s="21">
        <v>6</v>
      </c>
      <c r="L755" s="21">
        <v>5</v>
      </c>
      <c r="M755" s="21">
        <v>7</v>
      </c>
      <c r="P755" s="24">
        <f>J755+L755+N755</f>
        <v>7</v>
      </c>
      <c r="Q755" s="24">
        <f>K755+M755+O755</f>
        <v>13</v>
      </c>
      <c r="R755" s="24">
        <v>0.35</v>
      </c>
      <c r="S755" s="21" t="s">
        <v>122</v>
      </c>
      <c r="T755" s="21" t="s">
        <v>365</v>
      </c>
      <c r="U755" s="21" t="s">
        <v>287</v>
      </c>
      <c r="V755" s="21" t="s">
        <v>286</v>
      </c>
      <c r="W755" s="21">
        <v>25</v>
      </c>
      <c r="X755" s="21" t="s">
        <v>285</v>
      </c>
      <c r="Y755" s="21" t="s">
        <v>318</v>
      </c>
      <c r="Z755" s="21" t="s">
        <v>317</v>
      </c>
      <c r="AA755" s="21" t="s">
        <v>40</v>
      </c>
      <c r="AB755" s="21">
        <v>1</v>
      </c>
      <c r="AD755" s="24">
        <v>10.01</v>
      </c>
      <c r="AE755" s="24">
        <v>9.61</v>
      </c>
      <c r="AF755" s="21" t="s">
        <v>302</v>
      </c>
      <c r="AG755" s="21" t="s">
        <v>301</v>
      </c>
    </row>
    <row r="756" spans="1:33">
      <c r="A756" s="21" t="s">
        <v>40</v>
      </c>
      <c r="B756" s="21" t="s">
        <v>435</v>
      </c>
      <c r="C756" s="25">
        <v>46123</v>
      </c>
      <c r="D756" s="21" t="s">
        <v>552</v>
      </c>
      <c r="E756" s="24">
        <v>9.57</v>
      </c>
      <c r="F756" s="24">
        <v>10.66</v>
      </c>
      <c r="G756" s="24">
        <f>E756-F756</f>
        <v>-1.0899999999999999</v>
      </c>
      <c r="H756" s="21" t="s">
        <v>289</v>
      </c>
      <c r="I756" s="21">
        <v>1</v>
      </c>
      <c r="J756" s="21">
        <v>6</v>
      </c>
      <c r="K756" s="21">
        <v>2</v>
      </c>
      <c r="L756" s="21">
        <v>6</v>
      </c>
      <c r="M756" s="21">
        <v>1</v>
      </c>
      <c r="P756" s="24">
        <f>J756+L756+N756</f>
        <v>12</v>
      </c>
      <c r="Q756" s="24">
        <f>K756+M756+O756</f>
        <v>3</v>
      </c>
      <c r="R756" s="24">
        <v>0.8</v>
      </c>
      <c r="S756" s="21" t="s">
        <v>122</v>
      </c>
      <c r="T756" s="21" t="s">
        <v>316</v>
      </c>
      <c r="U756" s="21" t="s">
        <v>287</v>
      </c>
      <c r="V756" s="21" t="s">
        <v>286</v>
      </c>
      <c r="W756" s="21">
        <v>25</v>
      </c>
      <c r="X756" s="21" t="s">
        <v>285</v>
      </c>
      <c r="Y756" s="21" t="s">
        <v>318</v>
      </c>
      <c r="Z756" s="21" t="s">
        <v>317</v>
      </c>
      <c r="AA756" s="21" t="s">
        <v>40</v>
      </c>
      <c r="AB756" s="21">
        <v>1</v>
      </c>
      <c r="AD756" s="24">
        <v>10.01</v>
      </c>
      <c r="AE756" s="24">
        <v>10.66</v>
      </c>
      <c r="AF756" s="21" t="s">
        <v>302</v>
      </c>
      <c r="AG756" s="21" t="s">
        <v>301</v>
      </c>
    </row>
    <row r="757" spans="1:33">
      <c r="A757" s="21" t="s">
        <v>40</v>
      </c>
      <c r="B757" s="21" t="s">
        <v>435</v>
      </c>
      <c r="C757" s="25">
        <v>46123</v>
      </c>
      <c r="D757" s="21" t="s">
        <v>551</v>
      </c>
      <c r="E757" s="24">
        <v>9.57</v>
      </c>
      <c r="F757" s="24">
        <v>10.58</v>
      </c>
      <c r="G757" s="24">
        <f>E757-F757</f>
        <v>-1.0099999999999998</v>
      </c>
      <c r="H757" s="21" t="s">
        <v>294</v>
      </c>
      <c r="I757" s="21">
        <v>0</v>
      </c>
      <c r="J757" s="21">
        <v>2</v>
      </c>
      <c r="K757" s="21">
        <v>6</v>
      </c>
      <c r="L757" s="21">
        <v>5</v>
      </c>
      <c r="M757" s="21">
        <v>7</v>
      </c>
      <c r="P757" s="24">
        <f>J757+L757+N757</f>
        <v>7</v>
      </c>
      <c r="Q757" s="24">
        <f>K757+M757+O757</f>
        <v>13</v>
      </c>
      <c r="R757" s="24">
        <v>0.35</v>
      </c>
      <c r="S757" s="21" t="s">
        <v>122</v>
      </c>
      <c r="T757" s="21" t="s">
        <v>481</v>
      </c>
      <c r="U757" s="21" t="s">
        <v>287</v>
      </c>
      <c r="V757" s="21" t="s">
        <v>286</v>
      </c>
      <c r="W757" s="21">
        <v>25</v>
      </c>
      <c r="X757" s="21" t="s">
        <v>285</v>
      </c>
      <c r="Y757" s="21" t="s">
        <v>318</v>
      </c>
      <c r="Z757" s="21" t="s">
        <v>317</v>
      </c>
      <c r="AA757" s="21" t="s">
        <v>40</v>
      </c>
      <c r="AB757" s="21">
        <v>1</v>
      </c>
      <c r="AD757" s="24">
        <v>10.01</v>
      </c>
      <c r="AE757" s="24">
        <v>10.58</v>
      </c>
      <c r="AF757" s="21" t="s">
        <v>302</v>
      </c>
      <c r="AG757" s="21" t="s">
        <v>301</v>
      </c>
    </row>
    <row r="758" spans="1:33">
      <c r="A758" s="21" t="s">
        <v>40</v>
      </c>
      <c r="B758" s="21" t="s">
        <v>435</v>
      </c>
      <c r="C758" s="25">
        <v>46125.645833333336</v>
      </c>
      <c r="D758" s="21" t="s">
        <v>91</v>
      </c>
      <c r="E758" s="24">
        <v>9.57</v>
      </c>
      <c r="F758" s="24">
        <v>5.68</v>
      </c>
      <c r="G758" s="24">
        <f>E758-F758</f>
        <v>3.8900000000000006</v>
      </c>
      <c r="H758" s="21" t="s">
        <v>289</v>
      </c>
      <c r="I758" s="21">
        <v>1</v>
      </c>
      <c r="J758" s="21">
        <v>6</v>
      </c>
      <c r="K758" s="21">
        <v>0</v>
      </c>
      <c r="L758" s="21">
        <v>6</v>
      </c>
      <c r="M758" s="21">
        <v>0</v>
      </c>
      <c r="P758" s="24">
        <f>J758+L758+N758</f>
        <v>12</v>
      </c>
      <c r="Q758" s="24">
        <f>K758+M758+O758</f>
        <v>0</v>
      </c>
      <c r="R758" s="24">
        <v>1</v>
      </c>
      <c r="S758" s="21" t="s">
        <v>122</v>
      </c>
      <c r="U758" s="21" t="s">
        <v>287</v>
      </c>
      <c r="V758" s="21" t="s">
        <v>286</v>
      </c>
      <c r="W758" s="21">
        <v>28</v>
      </c>
      <c r="X758" s="21" t="s">
        <v>285</v>
      </c>
      <c r="Y758" s="21" t="s">
        <v>318</v>
      </c>
      <c r="Z758" s="21" t="s">
        <v>317</v>
      </c>
      <c r="AA758" s="21" t="s">
        <v>40</v>
      </c>
      <c r="AB758" s="21">
        <v>1</v>
      </c>
      <c r="AD758" s="24">
        <v>10.01</v>
      </c>
      <c r="AE758" s="24">
        <v>6.61</v>
      </c>
      <c r="AF758" s="21" t="s">
        <v>322</v>
      </c>
      <c r="AG758" s="21" t="s">
        <v>301</v>
      </c>
    </row>
    <row r="759" spans="1:33">
      <c r="A759" s="21" t="s">
        <v>40</v>
      </c>
      <c r="B759" s="21" t="s">
        <v>435</v>
      </c>
      <c r="C759" s="25">
        <v>46130</v>
      </c>
      <c r="D759" s="21" t="s">
        <v>550</v>
      </c>
      <c r="E759" s="24">
        <v>9.57</v>
      </c>
      <c r="F759" s="24">
        <v>10.43</v>
      </c>
      <c r="G759" s="24">
        <f>E759-F759</f>
        <v>-0.85999999999999943</v>
      </c>
      <c r="H759" s="21" t="s">
        <v>294</v>
      </c>
      <c r="I759" s="21">
        <v>0</v>
      </c>
      <c r="J759" s="21">
        <v>3</v>
      </c>
      <c r="K759" s="21">
        <v>6</v>
      </c>
      <c r="L759" s="21">
        <v>1</v>
      </c>
      <c r="M759" s="21">
        <v>6</v>
      </c>
      <c r="P759" s="24">
        <f>J759+L759+N759</f>
        <v>4</v>
      </c>
      <c r="Q759" s="24">
        <f>K759+M759+O759</f>
        <v>12</v>
      </c>
      <c r="R759" s="24">
        <v>0.25</v>
      </c>
      <c r="S759" s="21" t="s">
        <v>548</v>
      </c>
      <c r="T759" s="21" t="s">
        <v>295</v>
      </c>
      <c r="U759" s="21" t="s">
        <v>292</v>
      </c>
      <c r="V759" s="21" t="s">
        <v>286</v>
      </c>
      <c r="W759" s="21">
        <v>29</v>
      </c>
      <c r="X759" s="21" t="s">
        <v>285</v>
      </c>
      <c r="Y759" s="21" t="s">
        <v>318</v>
      </c>
      <c r="Z759" s="21" t="s">
        <v>317</v>
      </c>
      <c r="AA759" s="21" t="s">
        <v>40</v>
      </c>
      <c r="AB759" s="21">
        <v>1</v>
      </c>
      <c r="AD759" s="24">
        <v>10.01</v>
      </c>
      <c r="AE759" s="24">
        <v>10.43</v>
      </c>
      <c r="AF759" s="21" t="s">
        <v>322</v>
      </c>
      <c r="AG759" s="21" t="s">
        <v>301</v>
      </c>
    </row>
    <row r="760" spans="1:33">
      <c r="A760" s="21" t="s">
        <v>40</v>
      </c>
      <c r="B760" s="21" t="s">
        <v>435</v>
      </c>
      <c r="C760" s="25">
        <v>46130</v>
      </c>
      <c r="D760" s="21" t="s">
        <v>549</v>
      </c>
      <c r="E760" s="24">
        <v>9.57</v>
      </c>
      <c r="F760" s="24">
        <v>9.39</v>
      </c>
      <c r="G760" s="24">
        <f>E760-F760</f>
        <v>0.17999999999999972</v>
      </c>
      <c r="H760" s="21" t="s">
        <v>289</v>
      </c>
      <c r="I760" s="21">
        <v>1</v>
      </c>
      <c r="J760" s="21">
        <v>7</v>
      </c>
      <c r="K760" s="21">
        <v>6</v>
      </c>
      <c r="L760" s="21">
        <v>6</v>
      </c>
      <c r="M760" s="21">
        <v>2</v>
      </c>
      <c r="P760" s="24">
        <f>J760+L760+N760</f>
        <v>13</v>
      </c>
      <c r="Q760" s="24">
        <f>K760+M760+O760</f>
        <v>8</v>
      </c>
      <c r="R760" s="24">
        <v>0.55333333333333334</v>
      </c>
      <c r="S760" s="21" t="s">
        <v>548</v>
      </c>
      <c r="T760" s="21" t="s">
        <v>296</v>
      </c>
      <c r="U760" s="21" t="s">
        <v>292</v>
      </c>
      <c r="V760" s="21" t="s">
        <v>286</v>
      </c>
      <c r="W760" s="21">
        <v>29</v>
      </c>
      <c r="X760" s="21" t="s">
        <v>285</v>
      </c>
      <c r="Y760" s="21" t="s">
        <v>318</v>
      </c>
      <c r="Z760" s="21" t="s">
        <v>317</v>
      </c>
      <c r="AA760" s="21" t="s">
        <v>40</v>
      </c>
      <c r="AB760" s="21">
        <v>1</v>
      </c>
      <c r="AD760" s="24">
        <v>10.01</v>
      </c>
      <c r="AE760" s="24">
        <v>9.39</v>
      </c>
      <c r="AF760" s="21" t="s">
        <v>322</v>
      </c>
      <c r="AG760" s="21" t="s">
        <v>301</v>
      </c>
    </row>
    <row r="761" spans="1:33">
      <c r="A761" s="21" t="s">
        <v>40</v>
      </c>
      <c r="B761" s="21" t="s">
        <v>435</v>
      </c>
      <c r="C761" s="25">
        <v>46141.582638888889</v>
      </c>
      <c r="D761" s="21" t="s">
        <v>65</v>
      </c>
      <c r="E761" s="24">
        <v>9.56</v>
      </c>
      <c r="F761" s="24">
        <v>7.72</v>
      </c>
      <c r="G761" s="24">
        <f>E761-F761</f>
        <v>1.8400000000000007</v>
      </c>
      <c r="H761" s="21" t="s">
        <v>289</v>
      </c>
      <c r="I761" s="21">
        <v>1</v>
      </c>
      <c r="J761" s="21">
        <v>6</v>
      </c>
      <c r="K761" s="21">
        <v>2</v>
      </c>
      <c r="L761" s="21">
        <v>6</v>
      </c>
      <c r="M761" s="21">
        <v>0</v>
      </c>
      <c r="P761" s="24">
        <f>J761+L761+N761</f>
        <v>12</v>
      </c>
      <c r="Q761" s="24">
        <f>K761+M761+O761</f>
        <v>2</v>
      </c>
      <c r="R761" s="24">
        <v>0.8571428571428571</v>
      </c>
      <c r="S761" s="21" t="s">
        <v>29</v>
      </c>
      <c r="T761" s="21" t="s">
        <v>297</v>
      </c>
      <c r="U761" s="21" t="s">
        <v>292</v>
      </c>
      <c r="V761" s="21" t="s">
        <v>286</v>
      </c>
      <c r="W761" s="21">
        <v>31</v>
      </c>
      <c r="X761" s="21" t="s">
        <v>285</v>
      </c>
      <c r="Y761" s="21" t="s">
        <v>318</v>
      </c>
      <c r="Z761" s="21" t="s">
        <v>317</v>
      </c>
      <c r="AA761" s="21" t="s">
        <v>40</v>
      </c>
      <c r="AB761" s="21">
        <v>1</v>
      </c>
      <c r="AD761" s="24">
        <v>10.01</v>
      </c>
      <c r="AE761" s="24">
        <v>8.31</v>
      </c>
      <c r="AF761" s="21" t="s">
        <v>322</v>
      </c>
      <c r="AG761" s="21" t="s">
        <v>301</v>
      </c>
    </row>
    <row r="762" spans="1:33">
      <c r="A762" s="21" t="s">
        <v>40</v>
      </c>
      <c r="B762" s="21" t="s">
        <v>435</v>
      </c>
      <c r="C762" s="25">
        <v>46141.587500000001</v>
      </c>
      <c r="D762" s="21" t="s">
        <v>6</v>
      </c>
      <c r="E762" s="24">
        <v>9.56</v>
      </c>
      <c r="F762" s="24">
        <v>8.64</v>
      </c>
      <c r="G762" s="24">
        <f>E762-F762</f>
        <v>0.91999999999999993</v>
      </c>
      <c r="H762" s="21" t="s">
        <v>289</v>
      </c>
      <c r="I762" s="21">
        <v>1</v>
      </c>
      <c r="J762" s="21">
        <v>6</v>
      </c>
      <c r="K762" s="21">
        <v>1</v>
      </c>
      <c r="L762" s="21">
        <v>6</v>
      </c>
      <c r="M762" s="21">
        <v>4</v>
      </c>
      <c r="P762" s="24">
        <f>J762+L762+N762</f>
        <v>12</v>
      </c>
      <c r="Q762" s="24">
        <f>K762+M762+O762</f>
        <v>5</v>
      </c>
      <c r="R762" s="24">
        <v>0.70588235294117652</v>
      </c>
      <c r="S762" s="21" t="s">
        <v>29</v>
      </c>
      <c r="T762" s="21" t="s">
        <v>296</v>
      </c>
      <c r="U762" s="21" t="s">
        <v>292</v>
      </c>
      <c r="V762" s="21" t="s">
        <v>286</v>
      </c>
      <c r="W762" s="21">
        <v>32</v>
      </c>
      <c r="X762" s="21" t="s">
        <v>285</v>
      </c>
      <c r="Y762" s="21" t="s">
        <v>318</v>
      </c>
      <c r="Z762" s="21" t="s">
        <v>317</v>
      </c>
      <c r="AA762" s="21" t="s">
        <v>40</v>
      </c>
      <c r="AB762" s="21">
        <v>1</v>
      </c>
      <c r="AD762" s="24">
        <v>10.01</v>
      </c>
      <c r="AE762" s="24">
        <v>8.9700000000000006</v>
      </c>
      <c r="AF762" s="21" t="s">
        <v>304</v>
      </c>
      <c r="AG762" s="21" t="s">
        <v>303</v>
      </c>
    </row>
    <row r="763" spans="1:33">
      <c r="A763" s="21" t="s">
        <v>40</v>
      </c>
      <c r="B763" s="21" t="s">
        <v>435</v>
      </c>
      <c r="C763" s="25">
        <v>46141.59097222222</v>
      </c>
      <c r="D763" s="21" t="s">
        <v>78</v>
      </c>
      <c r="E763" s="24">
        <v>9.56</v>
      </c>
      <c r="F763" s="24">
        <v>10.37</v>
      </c>
      <c r="G763" s="24">
        <f>E763-F763</f>
        <v>-0.80999999999999872</v>
      </c>
      <c r="H763" s="21" t="s">
        <v>289</v>
      </c>
      <c r="I763" s="21">
        <v>1</v>
      </c>
      <c r="J763" s="21">
        <v>6</v>
      </c>
      <c r="K763" s="21">
        <v>3</v>
      </c>
      <c r="L763" s="21">
        <v>6</v>
      </c>
      <c r="M763" s="21">
        <v>4</v>
      </c>
      <c r="P763" s="24">
        <f>J763+L763+N763</f>
        <v>12</v>
      </c>
      <c r="Q763" s="24">
        <f>K763+M763+O763</f>
        <v>7</v>
      </c>
      <c r="R763" s="24">
        <v>0.63157894736842102</v>
      </c>
      <c r="S763" s="21" t="s">
        <v>29</v>
      </c>
      <c r="T763" s="21" t="s">
        <v>295</v>
      </c>
      <c r="U763" s="21" t="s">
        <v>292</v>
      </c>
      <c r="V763" s="21" t="s">
        <v>286</v>
      </c>
      <c r="W763" s="21">
        <v>33</v>
      </c>
      <c r="X763" s="21" t="s">
        <v>285</v>
      </c>
      <c r="Y763" s="21" t="s">
        <v>318</v>
      </c>
      <c r="Z763" s="21" t="s">
        <v>317</v>
      </c>
      <c r="AA763" s="21" t="s">
        <v>40</v>
      </c>
      <c r="AB763" s="21">
        <v>1</v>
      </c>
      <c r="AD763" s="24">
        <v>10.01</v>
      </c>
      <c r="AE763" s="24">
        <v>9.77</v>
      </c>
      <c r="AF763" s="21" t="s">
        <v>302</v>
      </c>
      <c r="AG763" s="21" t="s">
        <v>301</v>
      </c>
    </row>
    <row r="764" spans="1:33">
      <c r="A764" s="21" t="s">
        <v>40</v>
      </c>
      <c r="B764" s="21" t="s">
        <v>435</v>
      </c>
      <c r="C764" s="25">
        <v>46141.591666666667</v>
      </c>
      <c r="D764" s="21" t="s">
        <v>38</v>
      </c>
      <c r="E764" s="24">
        <v>9.56</v>
      </c>
      <c r="F764" s="24">
        <v>10.130000000000001</v>
      </c>
      <c r="G764" s="24">
        <f>E764-F764</f>
        <v>-0.57000000000000028</v>
      </c>
      <c r="H764" s="21" t="s">
        <v>294</v>
      </c>
      <c r="I764" s="21">
        <v>0</v>
      </c>
      <c r="J764" s="21">
        <v>6</v>
      </c>
      <c r="K764" s="21">
        <v>7</v>
      </c>
      <c r="L764" s="21">
        <v>3</v>
      </c>
      <c r="M764" s="21">
        <v>6</v>
      </c>
      <c r="P764" s="24">
        <f>J764+L764+N764</f>
        <v>9</v>
      </c>
      <c r="Q764" s="24">
        <f>K764+M764+O764</f>
        <v>13</v>
      </c>
      <c r="R764" s="24">
        <v>0.45033112582781459</v>
      </c>
      <c r="S764" s="21" t="s">
        <v>29</v>
      </c>
      <c r="T764" s="21" t="s">
        <v>293</v>
      </c>
      <c r="U764" s="21" t="s">
        <v>292</v>
      </c>
      <c r="V764" s="21" t="s">
        <v>286</v>
      </c>
      <c r="W764" s="21">
        <v>34</v>
      </c>
      <c r="X764" s="21" t="s">
        <v>285</v>
      </c>
      <c r="Y764" s="21" t="s">
        <v>318</v>
      </c>
      <c r="Z764" s="21" t="s">
        <v>317</v>
      </c>
      <c r="AA764" s="21" t="s">
        <v>40</v>
      </c>
      <c r="AB764" s="21">
        <v>1</v>
      </c>
      <c r="AD764" s="24">
        <v>10.01</v>
      </c>
      <c r="AE764" s="24">
        <v>10.01</v>
      </c>
      <c r="AF764" s="21" t="s">
        <v>304</v>
      </c>
      <c r="AG764" s="21" t="s">
        <v>303</v>
      </c>
    </row>
    <row r="765" spans="1:33">
      <c r="A765" s="21" t="s">
        <v>40</v>
      </c>
      <c r="B765" s="21" t="s">
        <v>435</v>
      </c>
      <c r="C765" s="25">
        <v>46158</v>
      </c>
      <c r="D765" s="21" t="s">
        <v>547</v>
      </c>
      <c r="E765" s="24">
        <v>9.59</v>
      </c>
      <c r="F765" s="24">
        <v>10.8</v>
      </c>
      <c r="G765" s="24">
        <f>E765-F765</f>
        <v>-1.2100000000000009</v>
      </c>
      <c r="H765" s="21" t="s">
        <v>294</v>
      </c>
      <c r="I765" s="21">
        <v>0</v>
      </c>
      <c r="J765" s="21">
        <v>1</v>
      </c>
      <c r="K765" s="21">
        <v>6</v>
      </c>
      <c r="L765" s="21">
        <v>1</v>
      </c>
      <c r="M765" s="21">
        <v>6</v>
      </c>
      <c r="P765" s="24">
        <f>J765+L765+N765</f>
        <v>2</v>
      </c>
      <c r="Q765" s="24">
        <f>K765+M765+O765</f>
        <v>12</v>
      </c>
      <c r="R765" s="24">
        <v>0.14285714285714285</v>
      </c>
      <c r="S765" s="21" t="s">
        <v>542</v>
      </c>
      <c r="T765" s="21" t="s">
        <v>451</v>
      </c>
      <c r="U765" s="21" t="s">
        <v>292</v>
      </c>
      <c r="V765" s="21" t="s">
        <v>286</v>
      </c>
      <c r="W765" s="21">
        <v>35</v>
      </c>
      <c r="X765" s="21" t="s">
        <v>285</v>
      </c>
      <c r="Y765" s="21" t="s">
        <v>318</v>
      </c>
      <c r="Z765" s="21" t="s">
        <v>317</v>
      </c>
      <c r="AA765" s="21" t="s">
        <v>40</v>
      </c>
      <c r="AB765" s="21">
        <v>1</v>
      </c>
      <c r="AD765" s="24">
        <v>10.01</v>
      </c>
      <c r="AE765" s="24">
        <v>10.8</v>
      </c>
      <c r="AF765" s="21" t="s">
        <v>302</v>
      </c>
      <c r="AG765" s="21" t="s">
        <v>301</v>
      </c>
    </row>
    <row r="766" spans="1:33">
      <c r="A766" s="21" t="s">
        <v>40</v>
      </c>
      <c r="B766" s="21" t="s">
        <v>435</v>
      </c>
      <c r="C766" s="25">
        <v>46158</v>
      </c>
      <c r="D766" s="21" t="s">
        <v>546</v>
      </c>
      <c r="E766" s="24">
        <v>9.59</v>
      </c>
      <c r="F766" s="24">
        <v>10.62</v>
      </c>
      <c r="G766" s="24">
        <f>E766-F766</f>
        <v>-1.0299999999999994</v>
      </c>
      <c r="H766" s="21" t="s">
        <v>294</v>
      </c>
      <c r="I766" s="21">
        <v>0</v>
      </c>
      <c r="J766" s="21">
        <v>3</v>
      </c>
      <c r="K766" s="21">
        <v>6</v>
      </c>
      <c r="L766" s="21">
        <v>3</v>
      </c>
      <c r="M766" s="21">
        <v>6</v>
      </c>
      <c r="P766" s="24">
        <f>J766+L766+N766</f>
        <v>6</v>
      </c>
      <c r="Q766" s="24">
        <f>K766+M766+O766</f>
        <v>12</v>
      </c>
      <c r="R766" s="24">
        <v>0.33333333333333331</v>
      </c>
      <c r="S766" s="21" t="s">
        <v>542</v>
      </c>
      <c r="T766" s="21" t="s">
        <v>298</v>
      </c>
      <c r="U766" s="21" t="s">
        <v>292</v>
      </c>
      <c r="V766" s="21" t="s">
        <v>286</v>
      </c>
      <c r="W766" s="21">
        <v>35</v>
      </c>
      <c r="X766" s="21" t="s">
        <v>285</v>
      </c>
      <c r="Y766" s="21" t="s">
        <v>318</v>
      </c>
      <c r="Z766" s="21" t="s">
        <v>317</v>
      </c>
      <c r="AA766" s="21" t="s">
        <v>40</v>
      </c>
      <c r="AB766" s="21">
        <v>1</v>
      </c>
      <c r="AD766" s="24">
        <v>10.01</v>
      </c>
      <c r="AE766" s="24">
        <v>10.62</v>
      </c>
      <c r="AF766" s="21" t="s">
        <v>304</v>
      </c>
      <c r="AG766" s="21" t="s">
        <v>303</v>
      </c>
    </row>
    <row r="767" spans="1:33">
      <c r="A767" s="21" t="s">
        <v>40</v>
      </c>
      <c r="B767" s="21" t="s">
        <v>435</v>
      </c>
      <c r="C767" s="25">
        <v>46178</v>
      </c>
      <c r="D767" s="21" t="s">
        <v>545</v>
      </c>
      <c r="E767" s="24">
        <v>9.69</v>
      </c>
      <c r="F767" s="24">
        <v>8.9700000000000006</v>
      </c>
      <c r="G767" s="24">
        <f>E767-F767</f>
        <v>0.71999999999999886</v>
      </c>
      <c r="H767" s="21" t="s">
        <v>289</v>
      </c>
      <c r="I767" s="21">
        <v>1</v>
      </c>
      <c r="J767" s="21">
        <v>6</v>
      </c>
      <c r="K767" s="21">
        <v>3</v>
      </c>
      <c r="L767" s="21">
        <v>6</v>
      </c>
      <c r="M767" s="21">
        <v>3</v>
      </c>
      <c r="P767" s="24">
        <f>J767+L767+N767</f>
        <v>12</v>
      </c>
      <c r="Q767" s="24">
        <f>K767+M767+O767</f>
        <v>6</v>
      </c>
      <c r="R767" s="24">
        <v>0.66666666666666663</v>
      </c>
      <c r="S767" s="21" t="s">
        <v>542</v>
      </c>
      <c r="T767" s="21" t="s">
        <v>372</v>
      </c>
      <c r="U767" s="21" t="s">
        <v>292</v>
      </c>
      <c r="V767" s="21" t="s">
        <v>286</v>
      </c>
      <c r="W767" s="21">
        <v>37</v>
      </c>
      <c r="X767" s="21" t="s">
        <v>285</v>
      </c>
      <c r="Y767" s="21" t="s">
        <v>318</v>
      </c>
      <c r="Z767" s="21" t="s">
        <v>317</v>
      </c>
      <c r="AA767" s="21" t="s">
        <v>40</v>
      </c>
      <c r="AB767" s="21">
        <v>1</v>
      </c>
      <c r="AD767" s="24">
        <v>10.01</v>
      </c>
      <c r="AE767" s="24">
        <v>8.9700000000000006</v>
      </c>
      <c r="AF767" s="21" t="s">
        <v>304</v>
      </c>
      <c r="AG767" s="21" t="s">
        <v>303</v>
      </c>
    </row>
    <row r="768" spans="1:33">
      <c r="A768" s="21" t="s">
        <v>40</v>
      </c>
      <c r="B768" s="21" t="s">
        <v>435</v>
      </c>
      <c r="C768" s="25">
        <v>46178</v>
      </c>
      <c r="D768" s="21" t="s">
        <v>369</v>
      </c>
      <c r="E768" s="24">
        <v>9.69</v>
      </c>
      <c r="F768" s="24">
        <v>9.5299999999999994</v>
      </c>
      <c r="G768" s="24">
        <f>E768-F768</f>
        <v>0.16000000000000014</v>
      </c>
      <c r="H768" s="21" t="s">
        <v>289</v>
      </c>
      <c r="I768" s="21">
        <v>1</v>
      </c>
      <c r="J768" s="21">
        <v>7</v>
      </c>
      <c r="K768" s="21">
        <v>5</v>
      </c>
      <c r="L768" s="21">
        <v>6</v>
      </c>
      <c r="M768" s="21">
        <v>2</v>
      </c>
      <c r="P768" s="24">
        <f>J768+L768+N768</f>
        <v>13</v>
      </c>
      <c r="Q768" s="24">
        <f>K768+M768+O768</f>
        <v>7</v>
      </c>
      <c r="R768" s="24">
        <v>0.65</v>
      </c>
      <c r="S768" s="21" t="s">
        <v>542</v>
      </c>
      <c r="T768" s="21" t="s">
        <v>544</v>
      </c>
      <c r="U768" s="21" t="s">
        <v>292</v>
      </c>
      <c r="V768" s="21" t="s">
        <v>286</v>
      </c>
      <c r="W768" s="21">
        <v>37</v>
      </c>
      <c r="X768" s="21" t="s">
        <v>285</v>
      </c>
      <c r="Y768" s="21" t="s">
        <v>318</v>
      </c>
      <c r="Z768" s="21" t="s">
        <v>317</v>
      </c>
      <c r="AA768" s="21" t="s">
        <v>40</v>
      </c>
      <c r="AB768" s="21">
        <v>1</v>
      </c>
      <c r="AD768" s="24">
        <v>10.01</v>
      </c>
      <c r="AE768" s="24">
        <v>9.5299999999999994</v>
      </c>
      <c r="AF768" s="21" t="s">
        <v>304</v>
      </c>
      <c r="AG768" s="21" t="s">
        <v>303</v>
      </c>
    </row>
    <row r="769" spans="1:33">
      <c r="A769" s="21" t="s">
        <v>40</v>
      </c>
      <c r="B769" s="21" t="s">
        <v>435</v>
      </c>
      <c r="C769" s="25">
        <v>46178</v>
      </c>
      <c r="D769" s="21" t="s">
        <v>543</v>
      </c>
      <c r="E769" s="24">
        <v>9.69</v>
      </c>
      <c r="F769" s="24">
        <v>10.58</v>
      </c>
      <c r="G769" s="24">
        <f>E769-F769</f>
        <v>-0.89000000000000057</v>
      </c>
      <c r="H769" s="21" t="s">
        <v>294</v>
      </c>
      <c r="I769" s="21">
        <v>0</v>
      </c>
      <c r="J769" s="21">
        <v>6</v>
      </c>
      <c r="K769" s="21">
        <v>4</v>
      </c>
      <c r="L769" s="21">
        <v>3</v>
      </c>
      <c r="M769" s="21">
        <v>6</v>
      </c>
      <c r="N769" s="21">
        <v>0</v>
      </c>
      <c r="O769" s="21">
        <v>1</v>
      </c>
      <c r="P769" s="24">
        <f>J769+L769+N769</f>
        <v>9</v>
      </c>
      <c r="Q769" s="24">
        <f>K769+M769+O769</f>
        <v>11</v>
      </c>
      <c r="R769" s="24">
        <v>9.7744360902255634E-2</v>
      </c>
      <c r="S769" s="21" t="s">
        <v>542</v>
      </c>
      <c r="T769" s="21" t="s">
        <v>454</v>
      </c>
      <c r="U769" s="21" t="s">
        <v>292</v>
      </c>
      <c r="V769" s="21" t="s">
        <v>286</v>
      </c>
      <c r="W769" s="21">
        <v>37</v>
      </c>
      <c r="X769" s="21" t="s">
        <v>285</v>
      </c>
      <c r="Y769" s="21" t="s">
        <v>318</v>
      </c>
      <c r="Z769" s="21" t="s">
        <v>317</v>
      </c>
      <c r="AA769" s="21" t="s">
        <v>40</v>
      </c>
      <c r="AB769" s="21">
        <v>1</v>
      </c>
      <c r="AD769" s="24">
        <v>10.01</v>
      </c>
      <c r="AE769" s="24">
        <v>10.58</v>
      </c>
      <c r="AF769" s="21" t="s">
        <v>304</v>
      </c>
      <c r="AG769" s="21" t="s">
        <v>303</v>
      </c>
    </row>
    <row r="770" spans="1:33">
      <c r="A770" s="21" t="s">
        <v>40</v>
      </c>
      <c r="B770" s="21" t="s">
        <v>435</v>
      </c>
      <c r="C770" s="25">
        <v>46178</v>
      </c>
      <c r="D770" s="21" t="s">
        <v>448</v>
      </c>
      <c r="E770" s="24">
        <v>9.69</v>
      </c>
      <c r="F770" s="24">
        <v>8.92</v>
      </c>
      <c r="G770" s="24">
        <f>E770-F770</f>
        <v>0.76999999999999957</v>
      </c>
      <c r="H770" s="21" t="s">
        <v>294</v>
      </c>
      <c r="I770" s="21">
        <v>0</v>
      </c>
      <c r="J770" s="21">
        <v>4</v>
      </c>
      <c r="K770" s="21">
        <v>6</v>
      </c>
      <c r="L770" s="21">
        <v>2</v>
      </c>
      <c r="M770" s="21">
        <v>6</v>
      </c>
      <c r="P770" s="24">
        <f>J770+L770+N770</f>
        <v>6</v>
      </c>
      <c r="Q770" s="24">
        <f>K770+M770+O770</f>
        <v>12</v>
      </c>
      <c r="R770" s="24">
        <v>0.33333333333333331</v>
      </c>
      <c r="S770" s="21" t="s">
        <v>542</v>
      </c>
      <c r="T770" s="21" t="s">
        <v>298</v>
      </c>
      <c r="U770" s="21" t="s">
        <v>292</v>
      </c>
      <c r="V770" s="21" t="s">
        <v>286</v>
      </c>
      <c r="W770" s="21">
        <v>37</v>
      </c>
      <c r="X770" s="21" t="s">
        <v>285</v>
      </c>
      <c r="Y770" s="21" t="s">
        <v>318</v>
      </c>
      <c r="Z770" s="21" t="s">
        <v>317</v>
      </c>
      <c r="AA770" s="21" t="s">
        <v>40</v>
      </c>
      <c r="AB770" s="21">
        <v>1</v>
      </c>
      <c r="AD770" s="24">
        <v>10.01</v>
      </c>
      <c r="AE770" s="24">
        <v>8.92</v>
      </c>
      <c r="AF770" s="21" t="s">
        <v>304</v>
      </c>
      <c r="AG770" s="21" t="s">
        <v>303</v>
      </c>
    </row>
    <row r="771" spans="1:33">
      <c r="A771" s="21" t="s">
        <v>38</v>
      </c>
      <c r="B771" s="21" t="s">
        <v>534</v>
      </c>
      <c r="C771" s="25">
        <v>46031</v>
      </c>
      <c r="D771" s="21" t="s">
        <v>541</v>
      </c>
      <c r="E771" s="24">
        <v>10.050000000000001</v>
      </c>
      <c r="F771" s="24">
        <v>11.16</v>
      </c>
      <c r="G771" s="24">
        <f>E771-F771</f>
        <v>-1.1099999999999994</v>
      </c>
      <c r="H771" s="21" t="s">
        <v>294</v>
      </c>
      <c r="I771" s="21">
        <v>0</v>
      </c>
      <c r="J771" s="21">
        <v>1</v>
      </c>
      <c r="K771" s="21">
        <v>6</v>
      </c>
      <c r="L771" s="21">
        <v>6</v>
      </c>
      <c r="M771" s="21">
        <v>7</v>
      </c>
      <c r="P771" s="24">
        <f>J771+L771+N771</f>
        <v>7</v>
      </c>
      <c r="Q771" s="24">
        <f>K771+M771+O771</f>
        <v>13</v>
      </c>
      <c r="R771" s="24">
        <v>0.44295302013422821</v>
      </c>
      <c r="S771" s="21" t="s">
        <v>452</v>
      </c>
      <c r="T771" s="21" t="s">
        <v>296</v>
      </c>
      <c r="U771" s="21" t="s">
        <v>292</v>
      </c>
      <c r="V771" s="21" t="s">
        <v>286</v>
      </c>
      <c r="W771" s="21">
        <v>0</v>
      </c>
      <c r="X771" s="21" t="s">
        <v>312</v>
      </c>
      <c r="Y771" s="21" t="s">
        <v>284</v>
      </c>
      <c r="Z771" s="21" t="s">
        <v>283</v>
      </c>
      <c r="AA771" s="21" t="s">
        <v>38</v>
      </c>
      <c r="AB771" s="21">
        <v>1</v>
      </c>
      <c r="AD771" s="24">
        <v>10.050000000000001</v>
      </c>
      <c r="AE771" s="24">
        <v>11.16</v>
      </c>
      <c r="AF771" s="21" t="s">
        <v>304</v>
      </c>
      <c r="AG771" s="21" t="s">
        <v>303</v>
      </c>
    </row>
    <row r="772" spans="1:33">
      <c r="A772" s="21" t="s">
        <v>38</v>
      </c>
      <c r="B772" s="21" t="s">
        <v>534</v>
      </c>
      <c r="C772" s="25">
        <v>46031</v>
      </c>
      <c r="D772" s="21" t="s">
        <v>540</v>
      </c>
      <c r="E772" s="24">
        <v>10.050000000000001</v>
      </c>
      <c r="F772" s="24">
        <v>11.48</v>
      </c>
      <c r="G772" s="24">
        <f>E772-F772</f>
        <v>-1.4299999999999997</v>
      </c>
      <c r="H772" s="21" t="s">
        <v>294</v>
      </c>
      <c r="I772" s="21">
        <v>0</v>
      </c>
      <c r="J772" s="21">
        <v>3</v>
      </c>
      <c r="K772" s="21">
        <v>6</v>
      </c>
      <c r="L772" s="21">
        <v>4</v>
      </c>
      <c r="M772" s="21">
        <v>6</v>
      </c>
      <c r="P772" s="24">
        <f>J772+L772+N772</f>
        <v>7</v>
      </c>
      <c r="Q772" s="24">
        <f>K772+M772+O772</f>
        <v>12</v>
      </c>
      <c r="R772" s="24">
        <v>0.36842105263157893</v>
      </c>
      <c r="S772" s="21" t="s">
        <v>452</v>
      </c>
      <c r="U772" s="21" t="s">
        <v>292</v>
      </c>
      <c r="V772" s="21" t="s">
        <v>286</v>
      </c>
      <c r="W772" s="21">
        <v>0</v>
      </c>
      <c r="X772" s="21" t="s">
        <v>312</v>
      </c>
      <c r="Y772" s="21" t="s">
        <v>284</v>
      </c>
      <c r="Z772" s="21" t="s">
        <v>283</v>
      </c>
      <c r="AA772" s="21" t="s">
        <v>38</v>
      </c>
      <c r="AB772" s="21">
        <v>1</v>
      </c>
      <c r="AD772" s="24">
        <v>10.050000000000001</v>
      </c>
      <c r="AE772" s="24">
        <v>11.48</v>
      </c>
      <c r="AF772" s="21" t="s">
        <v>304</v>
      </c>
      <c r="AG772" s="21" t="s">
        <v>303</v>
      </c>
    </row>
    <row r="773" spans="1:33">
      <c r="A773" s="21" t="s">
        <v>38</v>
      </c>
      <c r="B773" s="21" t="s">
        <v>534</v>
      </c>
      <c r="C773" s="25">
        <v>46031</v>
      </c>
      <c r="D773" s="21" t="s">
        <v>539</v>
      </c>
      <c r="E773" s="24">
        <v>10.050000000000001</v>
      </c>
      <c r="F773" s="24">
        <v>7.7</v>
      </c>
      <c r="G773" s="24">
        <f>E773-F773</f>
        <v>2.3500000000000005</v>
      </c>
      <c r="H773" s="21" t="s">
        <v>289</v>
      </c>
      <c r="I773" s="21">
        <v>1</v>
      </c>
      <c r="J773" s="21">
        <v>6</v>
      </c>
      <c r="K773" s="21">
        <v>1</v>
      </c>
      <c r="L773" s="21">
        <v>6</v>
      </c>
      <c r="M773" s="21">
        <v>1</v>
      </c>
      <c r="P773" s="24">
        <f>J773+L773+N773</f>
        <v>12</v>
      </c>
      <c r="Q773" s="24">
        <f>K773+M773+O773</f>
        <v>2</v>
      </c>
      <c r="R773" s="24">
        <v>0.8571428571428571</v>
      </c>
      <c r="S773" s="21" t="s">
        <v>452</v>
      </c>
      <c r="T773" s="21" t="s">
        <v>298</v>
      </c>
      <c r="U773" s="21" t="s">
        <v>292</v>
      </c>
      <c r="V773" s="21" t="s">
        <v>286</v>
      </c>
      <c r="W773" s="21">
        <v>0</v>
      </c>
      <c r="X773" s="21" t="s">
        <v>312</v>
      </c>
      <c r="Y773" s="21" t="s">
        <v>284</v>
      </c>
      <c r="Z773" s="21" t="s">
        <v>283</v>
      </c>
      <c r="AA773" s="21" t="s">
        <v>38</v>
      </c>
      <c r="AB773" s="21">
        <v>1</v>
      </c>
      <c r="AD773" s="24">
        <v>10.050000000000001</v>
      </c>
      <c r="AE773" s="24">
        <v>7.7</v>
      </c>
      <c r="AF773" s="21" t="s">
        <v>304</v>
      </c>
      <c r="AG773" s="21" t="s">
        <v>303</v>
      </c>
    </row>
    <row r="774" spans="1:33">
      <c r="A774" s="21" t="s">
        <v>38</v>
      </c>
      <c r="B774" s="21" t="s">
        <v>534</v>
      </c>
      <c r="C774" s="25">
        <v>46031</v>
      </c>
      <c r="D774" s="21" t="s">
        <v>94</v>
      </c>
      <c r="E774" s="24">
        <v>10.050000000000001</v>
      </c>
      <c r="F774" s="24">
        <v>9.73</v>
      </c>
      <c r="G774" s="24">
        <f>E774-F774</f>
        <v>0.32000000000000028</v>
      </c>
      <c r="H774" s="21" t="s">
        <v>289</v>
      </c>
      <c r="I774" s="21">
        <v>1</v>
      </c>
      <c r="J774" s="21">
        <v>6</v>
      </c>
      <c r="K774" s="21">
        <v>3</v>
      </c>
      <c r="L774" s="21">
        <v>6</v>
      </c>
      <c r="M774" s="21">
        <v>4</v>
      </c>
      <c r="P774" s="24">
        <f>J774+L774+N774</f>
        <v>12</v>
      </c>
      <c r="Q774" s="24">
        <f>K774+M774+O774</f>
        <v>7</v>
      </c>
      <c r="R774" s="24">
        <v>0.63157894736842102</v>
      </c>
      <c r="S774" s="21" t="s">
        <v>452</v>
      </c>
      <c r="T774" s="21" t="s">
        <v>297</v>
      </c>
      <c r="U774" s="21" t="s">
        <v>292</v>
      </c>
      <c r="V774" s="21" t="s">
        <v>286</v>
      </c>
      <c r="W774" s="21">
        <v>0</v>
      </c>
      <c r="X774" s="21" t="s">
        <v>312</v>
      </c>
      <c r="Y774" s="21" t="s">
        <v>284</v>
      </c>
      <c r="Z774" s="21" t="s">
        <v>283</v>
      </c>
      <c r="AA774" s="21" t="s">
        <v>38</v>
      </c>
      <c r="AB774" s="21">
        <v>1</v>
      </c>
      <c r="AD774" s="24">
        <v>10.050000000000001</v>
      </c>
      <c r="AE774" s="24">
        <v>9.73</v>
      </c>
      <c r="AF774" s="21" t="s">
        <v>304</v>
      </c>
      <c r="AG774" s="21" t="s">
        <v>303</v>
      </c>
    </row>
    <row r="775" spans="1:33">
      <c r="A775" s="21" t="s">
        <v>38</v>
      </c>
      <c r="B775" s="21" t="s">
        <v>534</v>
      </c>
      <c r="C775" s="25">
        <v>46091.145833333336</v>
      </c>
      <c r="D775" s="21" t="s">
        <v>61</v>
      </c>
      <c r="E775" s="24">
        <v>10.11</v>
      </c>
      <c r="F775" s="24">
        <v>7.09</v>
      </c>
      <c r="G775" s="24">
        <f>E775-F775</f>
        <v>3.0199999999999996</v>
      </c>
      <c r="H775" s="21" t="s">
        <v>289</v>
      </c>
      <c r="I775" s="21">
        <v>1</v>
      </c>
      <c r="J775" s="21">
        <v>6</v>
      </c>
      <c r="K775" s="21">
        <v>0</v>
      </c>
      <c r="L775" s="21">
        <v>6</v>
      </c>
      <c r="M775" s="21">
        <v>0</v>
      </c>
      <c r="P775" s="24">
        <f>J775+L775+N775</f>
        <v>12</v>
      </c>
      <c r="Q775" s="24">
        <f>K775+M775+O775</f>
        <v>0</v>
      </c>
      <c r="R775" s="24">
        <v>1</v>
      </c>
      <c r="S775" s="21" t="s">
        <v>533</v>
      </c>
      <c r="U775" s="21" t="s">
        <v>287</v>
      </c>
      <c r="V775" s="21" t="s">
        <v>286</v>
      </c>
      <c r="W775" s="21">
        <v>4</v>
      </c>
      <c r="X775" s="21" t="s">
        <v>285</v>
      </c>
      <c r="Y775" s="21" t="s">
        <v>284</v>
      </c>
      <c r="Z775" s="21" t="s">
        <v>283</v>
      </c>
      <c r="AA775" s="21" t="s">
        <v>38</v>
      </c>
      <c r="AB775" s="21">
        <v>1</v>
      </c>
      <c r="AD775" s="24">
        <v>10.050000000000001</v>
      </c>
      <c r="AE775" s="24">
        <v>6.96</v>
      </c>
      <c r="AF775" s="21" t="s">
        <v>304</v>
      </c>
      <c r="AG775" s="21" t="s">
        <v>341</v>
      </c>
    </row>
    <row r="776" spans="1:33">
      <c r="A776" s="21" t="s">
        <v>38</v>
      </c>
      <c r="B776" s="21" t="s">
        <v>534</v>
      </c>
      <c r="C776" s="25">
        <v>46094.666666666664</v>
      </c>
      <c r="D776" s="21" t="s">
        <v>441</v>
      </c>
      <c r="E776" s="24">
        <v>10.11</v>
      </c>
      <c r="F776" s="24">
        <v>3.19</v>
      </c>
      <c r="G776" s="24">
        <f>E776-F776</f>
        <v>6.92</v>
      </c>
      <c r="H776" s="21" t="s">
        <v>289</v>
      </c>
      <c r="I776" s="21">
        <v>1</v>
      </c>
      <c r="J776" s="21">
        <v>6</v>
      </c>
      <c r="K776" s="21">
        <v>0</v>
      </c>
      <c r="L776" s="21">
        <v>6</v>
      </c>
      <c r="M776" s="21">
        <v>0</v>
      </c>
      <c r="P776" s="24">
        <f>J776+L776+N776</f>
        <v>12</v>
      </c>
      <c r="Q776" s="24">
        <f>K776+M776+O776</f>
        <v>0</v>
      </c>
      <c r="R776" s="24">
        <v>1</v>
      </c>
      <c r="S776" s="21" t="s">
        <v>538</v>
      </c>
      <c r="U776" s="21" t="s">
        <v>287</v>
      </c>
      <c r="V776" s="21" t="s">
        <v>286</v>
      </c>
      <c r="W776" s="21">
        <v>5</v>
      </c>
      <c r="X776" s="21" t="s">
        <v>285</v>
      </c>
      <c r="Y776" s="21" t="s">
        <v>284</v>
      </c>
      <c r="Z776" s="21" t="s">
        <v>283</v>
      </c>
      <c r="AA776" s="21" t="s">
        <v>38</v>
      </c>
      <c r="AB776" s="21">
        <v>1</v>
      </c>
      <c r="AD776" s="24">
        <v>10.050000000000001</v>
      </c>
      <c r="AE776" s="24">
        <v>3.19</v>
      </c>
      <c r="AF776" s="21" t="s">
        <v>304</v>
      </c>
      <c r="AG776" s="21" t="s">
        <v>341</v>
      </c>
    </row>
    <row r="777" spans="1:33">
      <c r="A777" s="21" t="s">
        <v>38</v>
      </c>
      <c r="B777" s="21" t="s">
        <v>534</v>
      </c>
      <c r="C777" s="25">
        <v>46095</v>
      </c>
      <c r="D777" s="21" t="s">
        <v>78</v>
      </c>
      <c r="E777" s="24">
        <v>10.11</v>
      </c>
      <c r="F777" s="24">
        <v>10.27</v>
      </c>
      <c r="G777" s="24">
        <f>E777-F777</f>
        <v>-0.16000000000000014</v>
      </c>
      <c r="H777" s="21" t="s">
        <v>294</v>
      </c>
      <c r="I777" s="21">
        <v>0</v>
      </c>
      <c r="J777" s="21">
        <v>0</v>
      </c>
      <c r="K777" s="21">
        <v>6</v>
      </c>
      <c r="L777" s="21">
        <v>2</v>
      </c>
      <c r="M777" s="21">
        <v>6</v>
      </c>
      <c r="P777" s="24">
        <f>J777+L777+N777</f>
        <v>2</v>
      </c>
      <c r="Q777" s="24">
        <f>K777+M777+O777</f>
        <v>12</v>
      </c>
      <c r="R777" s="24">
        <v>0.14285714285714285</v>
      </c>
      <c r="S777" s="21" t="s">
        <v>241</v>
      </c>
      <c r="T777" s="21" t="s">
        <v>295</v>
      </c>
      <c r="U777" s="21" t="s">
        <v>292</v>
      </c>
      <c r="V777" s="21" t="s">
        <v>286</v>
      </c>
      <c r="W777" s="21">
        <v>6</v>
      </c>
      <c r="X777" s="21" t="s">
        <v>285</v>
      </c>
      <c r="Y777" s="21" t="s">
        <v>284</v>
      </c>
      <c r="Z777" s="21" t="s">
        <v>283</v>
      </c>
      <c r="AA777" s="21" t="s">
        <v>38</v>
      </c>
      <c r="AB777" s="21">
        <v>1</v>
      </c>
      <c r="AD777" s="24">
        <v>10.050000000000001</v>
      </c>
      <c r="AE777" s="24">
        <v>9.9700000000000006</v>
      </c>
      <c r="AF777" s="21" t="s">
        <v>304</v>
      </c>
      <c r="AG777" s="21" t="s">
        <v>341</v>
      </c>
    </row>
    <row r="778" spans="1:33">
      <c r="A778" s="21" t="s">
        <v>38</v>
      </c>
      <c r="B778" s="21" t="s">
        <v>534</v>
      </c>
      <c r="C778" s="25">
        <v>46095</v>
      </c>
      <c r="D778" s="21" t="s">
        <v>537</v>
      </c>
      <c r="E778" s="24">
        <v>10.11</v>
      </c>
      <c r="F778" s="24">
        <v>10.71</v>
      </c>
      <c r="G778" s="24">
        <f>E778-F778</f>
        <v>-0.60000000000000142</v>
      </c>
      <c r="H778" s="21" t="s">
        <v>289</v>
      </c>
      <c r="I778" s="21">
        <v>1</v>
      </c>
      <c r="J778" s="21">
        <v>6</v>
      </c>
      <c r="K778" s="21">
        <v>2</v>
      </c>
      <c r="L778" s="21">
        <v>6</v>
      </c>
      <c r="M778" s="21">
        <v>0</v>
      </c>
      <c r="P778" s="24">
        <f>J778+L778+N778</f>
        <v>12</v>
      </c>
      <c r="Q778" s="24">
        <f>K778+M778+O778</f>
        <v>2</v>
      </c>
      <c r="R778" s="24">
        <v>0.8571428571428571</v>
      </c>
      <c r="S778" s="21" t="s">
        <v>241</v>
      </c>
      <c r="T778" s="21" t="s">
        <v>296</v>
      </c>
      <c r="U778" s="21" t="s">
        <v>292</v>
      </c>
      <c r="V778" s="21" t="s">
        <v>286</v>
      </c>
      <c r="W778" s="21">
        <v>6</v>
      </c>
      <c r="X778" s="21" t="s">
        <v>285</v>
      </c>
      <c r="Y778" s="21" t="s">
        <v>284</v>
      </c>
      <c r="Z778" s="21" t="s">
        <v>283</v>
      </c>
      <c r="AA778" s="21" t="s">
        <v>38</v>
      </c>
      <c r="AB778" s="21">
        <v>1</v>
      </c>
      <c r="AD778" s="24">
        <v>10.050000000000001</v>
      </c>
      <c r="AE778" s="24">
        <v>10.71</v>
      </c>
      <c r="AF778" s="21" t="s">
        <v>304</v>
      </c>
      <c r="AG778" s="21" t="s">
        <v>341</v>
      </c>
    </row>
    <row r="779" spans="1:33">
      <c r="A779" s="21" t="s">
        <v>38</v>
      </c>
      <c r="B779" s="21" t="s">
        <v>534</v>
      </c>
      <c r="C779" s="25">
        <v>46107.666666666664</v>
      </c>
      <c r="D779" s="21" t="s">
        <v>13</v>
      </c>
      <c r="E779" s="24">
        <v>10.220000000000001</v>
      </c>
      <c r="F779" s="24">
        <v>7.16</v>
      </c>
      <c r="G779" s="24">
        <f>E779-F779</f>
        <v>3.0600000000000005</v>
      </c>
      <c r="H779" s="21" t="s">
        <v>289</v>
      </c>
      <c r="I779" s="21">
        <v>1</v>
      </c>
      <c r="J779" s="21">
        <v>6</v>
      </c>
      <c r="K779" s="21">
        <v>1</v>
      </c>
      <c r="L779" s="21">
        <v>6</v>
      </c>
      <c r="M779" s="21">
        <v>1</v>
      </c>
      <c r="P779" s="24">
        <f>J779+L779+N779</f>
        <v>12</v>
      </c>
      <c r="Q779" s="24">
        <f>K779+M779+O779</f>
        <v>2</v>
      </c>
      <c r="R779" s="24">
        <v>0.8571428571428571</v>
      </c>
      <c r="S779" s="21" t="s">
        <v>200</v>
      </c>
      <c r="U779" s="21" t="s">
        <v>287</v>
      </c>
      <c r="V779" s="21" t="s">
        <v>286</v>
      </c>
      <c r="W779" s="21">
        <v>8</v>
      </c>
      <c r="X779" s="21" t="s">
        <v>285</v>
      </c>
      <c r="Y779" s="21" t="s">
        <v>284</v>
      </c>
      <c r="Z779" s="21" t="s">
        <v>283</v>
      </c>
      <c r="AA779" s="21" t="s">
        <v>38</v>
      </c>
      <c r="AB779" s="21">
        <v>1</v>
      </c>
      <c r="AD779" s="24">
        <v>10.050000000000001</v>
      </c>
      <c r="AE779" s="24">
        <v>7.46</v>
      </c>
      <c r="AF779" s="21" t="s">
        <v>322</v>
      </c>
      <c r="AG779" s="21" t="s">
        <v>301</v>
      </c>
    </row>
    <row r="780" spans="1:33">
      <c r="A780" s="21" t="s">
        <v>38</v>
      </c>
      <c r="B780" s="21" t="s">
        <v>534</v>
      </c>
      <c r="C780" s="25">
        <v>46127.666666666664</v>
      </c>
      <c r="D780" s="21" t="s">
        <v>18</v>
      </c>
      <c r="E780" s="24">
        <v>10.18</v>
      </c>
      <c r="F780" s="24">
        <v>8.1300000000000008</v>
      </c>
      <c r="G780" s="24">
        <f>E780-F780</f>
        <v>2.0499999999999989</v>
      </c>
      <c r="H780" s="21" t="s">
        <v>289</v>
      </c>
      <c r="I780" s="21">
        <v>1</v>
      </c>
      <c r="J780" s="21">
        <v>6</v>
      </c>
      <c r="K780" s="21">
        <v>4</v>
      </c>
      <c r="L780" s="21">
        <v>6</v>
      </c>
      <c r="M780" s="21">
        <v>4</v>
      </c>
      <c r="P780" s="24">
        <f>J780+L780+N780</f>
        <v>12</v>
      </c>
      <c r="Q780" s="24">
        <f>K780+M780+O780</f>
        <v>8</v>
      </c>
      <c r="R780" s="24">
        <v>0.6</v>
      </c>
      <c r="S780" s="21" t="s">
        <v>98</v>
      </c>
      <c r="U780" s="21" t="s">
        <v>287</v>
      </c>
      <c r="V780" s="21" t="s">
        <v>286</v>
      </c>
      <c r="W780" s="21">
        <v>9</v>
      </c>
      <c r="X780" s="21" t="s">
        <v>285</v>
      </c>
      <c r="Y780" s="21" t="s">
        <v>284</v>
      </c>
      <c r="Z780" s="21" t="s">
        <v>283</v>
      </c>
      <c r="AA780" s="21" t="s">
        <v>38</v>
      </c>
      <c r="AB780" s="21">
        <v>1</v>
      </c>
      <c r="AD780" s="24">
        <v>10.050000000000001</v>
      </c>
      <c r="AE780" s="24">
        <v>8.6</v>
      </c>
      <c r="AF780" s="21" t="s">
        <v>322</v>
      </c>
      <c r="AG780" s="21" t="s">
        <v>301</v>
      </c>
    </row>
    <row r="781" spans="1:33">
      <c r="A781" s="21" t="s">
        <v>38</v>
      </c>
      <c r="B781" s="21" t="s">
        <v>534</v>
      </c>
      <c r="C781" s="25">
        <v>46130.845833333333</v>
      </c>
      <c r="D781" s="21" t="s">
        <v>81</v>
      </c>
      <c r="E781" s="24">
        <v>10.18</v>
      </c>
      <c r="F781" s="24">
        <v>7.16</v>
      </c>
      <c r="G781" s="24">
        <f>E781-F781</f>
        <v>3.0199999999999996</v>
      </c>
      <c r="H781" s="21" t="s">
        <v>289</v>
      </c>
      <c r="I781" s="21">
        <v>1</v>
      </c>
      <c r="J781" s="21">
        <v>6</v>
      </c>
      <c r="K781" s="21">
        <v>1</v>
      </c>
      <c r="L781" s="21">
        <v>6</v>
      </c>
      <c r="M781" s="21">
        <v>2</v>
      </c>
      <c r="P781" s="24">
        <f>J781+L781+N781</f>
        <v>12</v>
      </c>
      <c r="Q781" s="24">
        <f>K781+M781+O781</f>
        <v>3</v>
      </c>
      <c r="R781" s="24">
        <v>0.8</v>
      </c>
      <c r="S781" s="21" t="s">
        <v>29</v>
      </c>
      <c r="T781" s="21" t="s">
        <v>352</v>
      </c>
      <c r="U781" s="21" t="s">
        <v>292</v>
      </c>
      <c r="V781" s="21" t="s">
        <v>286</v>
      </c>
      <c r="W781" s="21">
        <v>10</v>
      </c>
      <c r="X781" s="21" t="s">
        <v>285</v>
      </c>
      <c r="Y781" s="21" t="s">
        <v>284</v>
      </c>
      <c r="Z781" s="21" t="s">
        <v>283</v>
      </c>
      <c r="AA781" s="21" t="s">
        <v>38</v>
      </c>
      <c r="AB781" s="21">
        <v>1</v>
      </c>
      <c r="AD781" s="24">
        <v>10.050000000000001</v>
      </c>
      <c r="AE781" s="24">
        <v>7.33</v>
      </c>
      <c r="AF781" s="21" t="s">
        <v>322</v>
      </c>
      <c r="AG781" s="21" t="s">
        <v>301</v>
      </c>
    </row>
    <row r="782" spans="1:33">
      <c r="A782" s="21" t="s">
        <v>38</v>
      </c>
      <c r="B782" s="21" t="s">
        <v>534</v>
      </c>
      <c r="C782" s="25">
        <v>46130.84652777778</v>
      </c>
      <c r="D782" s="21" t="s">
        <v>6</v>
      </c>
      <c r="E782" s="24">
        <v>10.18</v>
      </c>
      <c r="F782" s="24">
        <v>8.52</v>
      </c>
      <c r="G782" s="24">
        <f>E782-F782</f>
        <v>1.6600000000000001</v>
      </c>
      <c r="H782" s="21" t="s">
        <v>289</v>
      </c>
      <c r="I782" s="21">
        <v>1</v>
      </c>
      <c r="J782" s="21">
        <v>7</v>
      </c>
      <c r="K782" s="21">
        <v>6</v>
      </c>
      <c r="L782" s="21">
        <v>6</v>
      </c>
      <c r="M782" s="21">
        <v>1</v>
      </c>
      <c r="P782" s="24">
        <f>J782+L782+N782</f>
        <v>13</v>
      </c>
      <c r="Q782" s="24">
        <f>K782+M782+O782</f>
        <v>7</v>
      </c>
      <c r="R782" s="24">
        <v>0.55704697986577179</v>
      </c>
      <c r="S782" s="21" t="s">
        <v>29</v>
      </c>
      <c r="T782" s="21" t="s">
        <v>351</v>
      </c>
      <c r="U782" s="21" t="s">
        <v>292</v>
      </c>
      <c r="V782" s="21" t="s">
        <v>286</v>
      </c>
      <c r="W782" s="21">
        <v>11</v>
      </c>
      <c r="X782" s="21" t="s">
        <v>285</v>
      </c>
      <c r="Y782" s="21" t="s">
        <v>284</v>
      </c>
      <c r="Z782" s="21" t="s">
        <v>283</v>
      </c>
      <c r="AA782" s="21" t="s">
        <v>38</v>
      </c>
      <c r="AB782" s="21">
        <v>1</v>
      </c>
      <c r="AD782" s="24">
        <v>10.050000000000001</v>
      </c>
      <c r="AE782" s="24">
        <v>8.89</v>
      </c>
      <c r="AF782" s="21" t="s">
        <v>535</v>
      </c>
      <c r="AG782" s="21" t="s">
        <v>301</v>
      </c>
    </row>
    <row r="783" spans="1:33">
      <c r="A783" s="21" t="s">
        <v>38</v>
      </c>
      <c r="B783" s="21" t="s">
        <v>534</v>
      </c>
      <c r="C783" s="25">
        <v>46130.848611111112</v>
      </c>
      <c r="D783" s="21" t="s">
        <v>78</v>
      </c>
      <c r="E783" s="24">
        <v>10.18</v>
      </c>
      <c r="F783" s="24">
        <v>10.45</v>
      </c>
      <c r="G783" s="24">
        <f>E783-F783</f>
        <v>-0.26999999999999957</v>
      </c>
      <c r="H783" s="21" t="s">
        <v>294</v>
      </c>
      <c r="I783" s="21">
        <v>0</v>
      </c>
      <c r="J783" s="21">
        <v>3</v>
      </c>
      <c r="K783" s="21">
        <v>6</v>
      </c>
      <c r="L783" s="21">
        <v>6</v>
      </c>
      <c r="M783" s="21">
        <v>2</v>
      </c>
      <c r="N783" s="21">
        <v>6</v>
      </c>
      <c r="O783" s="21">
        <v>7</v>
      </c>
      <c r="P783" s="24">
        <f>J783+L783+N783</f>
        <v>15</v>
      </c>
      <c r="Q783" s="24">
        <f>K783+M783+O783</f>
        <v>15</v>
      </c>
      <c r="R783" s="24">
        <v>0.46540880503144655</v>
      </c>
      <c r="S783" s="21" t="s">
        <v>29</v>
      </c>
      <c r="T783" s="21" t="s">
        <v>536</v>
      </c>
      <c r="U783" s="21" t="s">
        <v>292</v>
      </c>
      <c r="V783" s="21" t="s">
        <v>286</v>
      </c>
      <c r="W783" s="21">
        <v>12</v>
      </c>
      <c r="X783" s="21" t="s">
        <v>285</v>
      </c>
      <c r="Y783" s="21" t="s">
        <v>284</v>
      </c>
      <c r="Z783" s="21" t="s">
        <v>283</v>
      </c>
      <c r="AA783" s="21" t="s">
        <v>38</v>
      </c>
      <c r="AB783" s="21">
        <v>1</v>
      </c>
      <c r="AD783" s="24">
        <v>10.050000000000001</v>
      </c>
      <c r="AE783" s="24">
        <v>9.9700000000000006</v>
      </c>
      <c r="AF783" s="21" t="s">
        <v>322</v>
      </c>
      <c r="AG783" s="21" t="s">
        <v>301</v>
      </c>
    </row>
    <row r="784" spans="1:33">
      <c r="A784" s="21" t="s">
        <v>38</v>
      </c>
      <c r="B784" s="21" t="s">
        <v>534</v>
      </c>
      <c r="C784" s="25">
        <v>46141.586805555555</v>
      </c>
      <c r="D784" s="21" t="s">
        <v>10</v>
      </c>
      <c r="E784" s="24">
        <v>10.130000000000001</v>
      </c>
      <c r="F784" s="24">
        <v>7.14</v>
      </c>
      <c r="G784" s="24">
        <f>E784-F784</f>
        <v>2.9900000000000011</v>
      </c>
      <c r="H784" s="21" t="s">
        <v>289</v>
      </c>
      <c r="I784" s="21">
        <v>1</v>
      </c>
      <c r="J784" s="21">
        <v>6</v>
      </c>
      <c r="K784" s="21">
        <v>1</v>
      </c>
      <c r="L784" s="21">
        <v>6</v>
      </c>
      <c r="M784" s="21">
        <v>3</v>
      </c>
      <c r="P784" s="24">
        <f>J784+L784+N784</f>
        <v>12</v>
      </c>
      <c r="Q784" s="24">
        <f>K784+M784+O784</f>
        <v>4</v>
      </c>
      <c r="R784" s="24">
        <v>0.75</v>
      </c>
      <c r="S784" s="21" t="s">
        <v>29</v>
      </c>
      <c r="T784" s="21" t="s">
        <v>297</v>
      </c>
      <c r="U784" s="21" t="s">
        <v>292</v>
      </c>
      <c r="V784" s="21" t="s">
        <v>286</v>
      </c>
      <c r="W784" s="21">
        <v>13</v>
      </c>
      <c r="X784" s="21" t="s">
        <v>285</v>
      </c>
      <c r="Y784" s="21" t="s">
        <v>284</v>
      </c>
      <c r="Z784" s="21" t="s">
        <v>283</v>
      </c>
      <c r="AA784" s="21" t="s">
        <v>38</v>
      </c>
      <c r="AB784" s="21">
        <v>1</v>
      </c>
      <c r="AD784" s="24">
        <v>10.050000000000001</v>
      </c>
      <c r="AE784" s="24">
        <v>6.85</v>
      </c>
      <c r="AF784" s="21" t="s">
        <v>535</v>
      </c>
      <c r="AG784" s="21" t="s">
        <v>301</v>
      </c>
    </row>
    <row r="785" spans="1:33">
      <c r="A785" s="21" t="s">
        <v>38</v>
      </c>
      <c r="B785" s="21" t="s">
        <v>534</v>
      </c>
      <c r="C785" s="25">
        <v>46141.588194444441</v>
      </c>
      <c r="D785" s="21" t="s">
        <v>5</v>
      </c>
      <c r="E785" s="24">
        <v>10.130000000000001</v>
      </c>
      <c r="F785" s="24">
        <v>8.9600000000000009</v>
      </c>
      <c r="G785" s="24">
        <f>E785-F785</f>
        <v>1.17</v>
      </c>
      <c r="H785" s="21" t="s">
        <v>289</v>
      </c>
      <c r="I785" s="21">
        <v>1</v>
      </c>
      <c r="J785" s="21">
        <v>6</v>
      </c>
      <c r="K785" s="21">
        <v>2</v>
      </c>
      <c r="L785" s="21">
        <v>6</v>
      </c>
      <c r="M785" s="21">
        <v>0</v>
      </c>
      <c r="P785" s="24">
        <f>J785+L785+N785</f>
        <v>12</v>
      </c>
      <c r="Q785" s="24">
        <f>K785+M785+O785</f>
        <v>2</v>
      </c>
      <c r="R785" s="24">
        <v>0.8571428571428571</v>
      </c>
      <c r="S785" s="21" t="s">
        <v>29</v>
      </c>
      <c r="T785" s="21" t="s">
        <v>296</v>
      </c>
      <c r="U785" s="21" t="s">
        <v>292</v>
      </c>
      <c r="V785" s="21" t="s">
        <v>286</v>
      </c>
      <c r="W785" s="21">
        <v>14</v>
      </c>
      <c r="X785" s="21" t="s">
        <v>285</v>
      </c>
      <c r="Y785" s="21" t="s">
        <v>284</v>
      </c>
      <c r="Z785" s="21" t="s">
        <v>283</v>
      </c>
      <c r="AA785" s="21" t="s">
        <v>38</v>
      </c>
      <c r="AB785" s="21">
        <v>1</v>
      </c>
      <c r="AD785" s="24">
        <v>10.050000000000001</v>
      </c>
      <c r="AE785" s="24">
        <v>7.96</v>
      </c>
      <c r="AF785" s="21" t="s">
        <v>535</v>
      </c>
      <c r="AG785" s="21" t="s">
        <v>301</v>
      </c>
    </row>
    <row r="786" spans="1:33">
      <c r="A786" s="21" t="s">
        <v>38</v>
      </c>
      <c r="B786" s="21" t="s">
        <v>534</v>
      </c>
      <c r="C786" s="25">
        <v>46141.59097222222</v>
      </c>
      <c r="D786" s="21" t="s">
        <v>37</v>
      </c>
      <c r="E786" s="24">
        <v>10.130000000000001</v>
      </c>
      <c r="F786" s="24">
        <v>10.16</v>
      </c>
      <c r="G786" s="24">
        <f>E786-F786</f>
        <v>-2.9999999999999361E-2</v>
      </c>
      <c r="H786" s="21" t="s">
        <v>289</v>
      </c>
      <c r="I786" s="21">
        <v>1</v>
      </c>
      <c r="J786" s="21">
        <v>3</v>
      </c>
      <c r="K786" s="21">
        <v>6</v>
      </c>
      <c r="L786" s="21">
        <v>6</v>
      </c>
      <c r="M786" s="21">
        <v>4</v>
      </c>
      <c r="N786" s="21">
        <v>6</v>
      </c>
      <c r="O786" s="21">
        <v>4</v>
      </c>
      <c r="P786" s="24">
        <f>J786+L786+N786</f>
        <v>15</v>
      </c>
      <c r="Q786" s="24">
        <f>K786+M786+O786</f>
        <v>14</v>
      </c>
      <c r="R786" s="24">
        <v>0.51724137931034486</v>
      </c>
      <c r="S786" s="21" t="s">
        <v>29</v>
      </c>
      <c r="T786" s="21" t="s">
        <v>295</v>
      </c>
      <c r="U786" s="21" t="s">
        <v>292</v>
      </c>
      <c r="V786" s="21" t="s">
        <v>286</v>
      </c>
      <c r="W786" s="21">
        <v>15</v>
      </c>
      <c r="X786" s="21" t="s">
        <v>285</v>
      </c>
      <c r="Y786" s="21" t="s">
        <v>284</v>
      </c>
      <c r="Z786" s="21" t="s">
        <v>283</v>
      </c>
      <c r="AA786" s="21" t="s">
        <v>38</v>
      </c>
      <c r="AB786" s="21">
        <v>1</v>
      </c>
      <c r="AD786" s="24">
        <v>10.050000000000001</v>
      </c>
      <c r="AE786" s="24">
        <v>10.19</v>
      </c>
      <c r="AF786" s="21" t="s">
        <v>535</v>
      </c>
      <c r="AG786" s="21" t="s">
        <v>301</v>
      </c>
    </row>
    <row r="787" spans="1:33">
      <c r="A787" s="21" t="s">
        <v>38</v>
      </c>
      <c r="B787" s="21" t="s">
        <v>534</v>
      </c>
      <c r="C787" s="25">
        <v>46141.591666666667</v>
      </c>
      <c r="D787" s="21" t="s">
        <v>40</v>
      </c>
      <c r="E787" s="24">
        <v>10.130000000000001</v>
      </c>
      <c r="F787" s="24">
        <v>9.56</v>
      </c>
      <c r="G787" s="24">
        <f>E787-F787</f>
        <v>0.57000000000000028</v>
      </c>
      <c r="H787" s="21" t="s">
        <v>289</v>
      </c>
      <c r="I787" s="21">
        <v>1</v>
      </c>
      <c r="J787" s="21">
        <v>7</v>
      </c>
      <c r="K787" s="21">
        <v>6</v>
      </c>
      <c r="L787" s="21">
        <v>6</v>
      </c>
      <c r="M787" s="21">
        <v>3</v>
      </c>
      <c r="P787" s="24">
        <f>J787+L787+N787</f>
        <v>13</v>
      </c>
      <c r="Q787" s="24">
        <f>K787+M787+O787</f>
        <v>9</v>
      </c>
      <c r="R787" s="24">
        <v>0.54966887417218546</v>
      </c>
      <c r="S787" s="21" t="s">
        <v>29</v>
      </c>
      <c r="T787" s="21" t="s">
        <v>293</v>
      </c>
      <c r="U787" s="21" t="s">
        <v>292</v>
      </c>
      <c r="V787" s="21" t="s">
        <v>286</v>
      </c>
      <c r="W787" s="21">
        <v>16</v>
      </c>
      <c r="X787" s="21" t="s">
        <v>285</v>
      </c>
      <c r="Y787" s="21" t="s">
        <v>284</v>
      </c>
      <c r="Z787" s="21" t="s">
        <v>283</v>
      </c>
      <c r="AA787" s="21" t="s">
        <v>38</v>
      </c>
      <c r="AB787" s="21">
        <v>1</v>
      </c>
      <c r="AD787" s="24">
        <v>10.050000000000001</v>
      </c>
      <c r="AE787" s="24">
        <v>9.84</v>
      </c>
      <c r="AF787" s="21" t="s">
        <v>304</v>
      </c>
      <c r="AG787" s="21" t="s">
        <v>303</v>
      </c>
    </row>
    <row r="788" spans="1:33">
      <c r="A788" s="21" t="s">
        <v>97</v>
      </c>
      <c r="B788" s="21" t="s">
        <v>532</v>
      </c>
      <c r="C788" s="25">
        <v>46091.145833333336</v>
      </c>
      <c r="D788" s="21" t="s">
        <v>115</v>
      </c>
      <c r="E788" s="24">
        <v>3.83</v>
      </c>
      <c r="F788" s="24">
        <v>4.9800000000000004</v>
      </c>
      <c r="G788" s="24">
        <f>E788-F788</f>
        <v>-1.1500000000000004</v>
      </c>
      <c r="H788" s="21" t="s">
        <v>289</v>
      </c>
      <c r="I788" s="21">
        <v>1</v>
      </c>
      <c r="J788" s="21">
        <v>7</v>
      </c>
      <c r="K788" s="21">
        <v>5</v>
      </c>
      <c r="L788" s="21">
        <v>6</v>
      </c>
      <c r="M788" s="21">
        <v>0</v>
      </c>
      <c r="P788" s="24">
        <f>J788+L788+N788</f>
        <v>13</v>
      </c>
      <c r="Q788" s="24">
        <f>K788+M788+O788</f>
        <v>5</v>
      </c>
      <c r="R788" s="24">
        <v>0.72222222222222221</v>
      </c>
      <c r="S788" s="21" t="s">
        <v>533</v>
      </c>
      <c r="U788" s="21" t="s">
        <v>287</v>
      </c>
      <c r="V788" s="21" t="s">
        <v>286</v>
      </c>
      <c r="W788" s="21">
        <v>0</v>
      </c>
      <c r="X788" s="21" t="s">
        <v>312</v>
      </c>
      <c r="Y788" s="21" t="s">
        <v>326</v>
      </c>
      <c r="Z788" s="21" t="s">
        <v>325</v>
      </c>
      <c r="AA788" s="21" t="s">
        <v>97</v>
      </c>
      <c r="AB788" s="21">
        <v>1</v>
      </c>
      <c r="AD788" s="24">
        <v>7.51</v>
      </c>
      <c r="AE788" s="24">
        <v>5.52</v>
      </c>
      <c r="AF788" s="21" t="s">
        <v>302</v>
      </c>
      <c r="AG788" s="21" t="s">
        <v>301</v>
      </c>
    </row>
    <row r="789" spans="1:33">
      <c r="A789" s="21" t="s">
        <v>97</v>
      </c>
      <c r="B789" s="21" t="s">
        <v>532</v>
      </c>
      <c r="C789" s="25">
        <v>46107.666666666664</v>
      </c>
      <c r="D789" s="21" t="s">
        <v>26</v>
      </c>
      <c r="E789" s="24">
        <v>3.83</v>
      </c>
      <c r="F789" s="24">
        <v>6.79</v>
      </c>
      <c r="G789" s="24">
        <f>E789-F789</f>
        <v>-2.96</v>
      </c>
      <c r="H789" s="21" t="s">
        <v>294</v>
      </c>
      <c r="I789" s="21">
        <v>0</v>
      </c>
      <c r="J789" s="21">
        <v>5</v>
      </c>
      <c r="K789" s="21">
        <v>7</v>
      </c>
      <c r="L789" s="21">
        <v>6</v>
      </c>
      <c r="M789" s="21">
        <v>7</v>
      </c>
      <c r="P789" s="24">
        <f>J789+L789+N789</f>
        <v>11</v>
      </c>
      <c r="Q789" s="24">
        <f>K789+M789+O789</f>
        <v>14</v>
      </c>
      <c r="R789" s="24">
        <v>0.44736842105263158</v>
      </c>
      <c r="S789" s="21" t="s">
        <v>200</v>
      </c>
      <c r="U789" s="21" t="s">
        <v>287</v>
      </c>
      <c r="V789" s="21" t="s">
        <v>286</v>
      </c>
      <c r="W789" s="21">
        <v>1</v>
      </c>
      <c r="X789" s="21" t="s">
        <v>323</v>
      </c>
      <c r="Y789" s="21" t="s">
        <v>326</v>
      </c>
      <c r="Z789" s="21" t="s">
        <v>325</v>
      </c>
      <c r="AA789" s="21" t="s">
        <v>97</v>
      </c>
      <c r="AB789" s="21">
        <v>1</v>
      </c>
      <c r="AD789" s="24">
        <v>7.51</v>
      </c>
      <c r="AE789" s="24">
        <v>8.09</v>
      </c>
      <c r="AF789" s="21" t="s">
        <v>302</v>
      </c>
      <c r="AG789" s="21" t="s">
        <v>301</v>
      </c>
    </row>
    <row r="790" spans="1:33">
      <c r="A790" s="21" t="s">
        <v>97</v>
      </c>
      <c r="B790" s="21" t="s">
        <v>532</v>
      </c>
      <c r="C790" s="25">
        <v>46122.333333333336</v>
      </c>
      <c r="D790" s="21" t="s">
        <v>203</v>
      </c>
      <c r="E790" s="24">
        <v>3.83</v>
      </c>
      <c r="F790" s="24">
        <v>4.88</v>
      </c>
      <c r="G790" s="24">
        <f>E790-F790</f>
        <v>-1.0499999999999998</v>
      </c>
      <c r="H790" s="21" t="s">
        <v>289</v>
      </c>
      <c r="I790" s="21">
        <v>1</v>
      </c>
      <c r="J790" s="21">
        <v>6</v>
      </c>
      <c r="K790" s="21">
        <v>0</v>
      </c>
      <c r="L790" s="21">
        <v>6</v>
      </c>
      <c r="M790" s="21">
        <v>2</v>
      </c>
      <c r="P790" s="24">
        <f>J790+L790+N790</f>
        <v>12</v>
      </c>
      <c r="Q790" s="24">
        <f>K790+M790+O790</f>
        <v>2</v>
      </c>
      <c r="R790" s="24">
        <v>0.8571428571428571</v>
      </c>
      <c r="S790" s="21" t="s">
        <v>392</v>
      </c>
      <c r="U790" s="21" t="s">
        <v>287</v>
      </c>
      <c r="V790" s="21" t="s">
        <v>286</v>
      </c>
      <c r="W790" s="21">
        <v>2</v>
      </c>
      <c r="X790" s="21" t="s">
        <v>310</v>
      </c>
      <c r="Y790" s="21" t="s">
        <v>326</v>
      </c>
      <c r="Z790" s="21" t="s">
        <v>325</v>
      </c>
      <c r="AA790" s="21" t="s">
        <v>97</v>
      </c>
      <c r="AB790" s="21">
        <v>1</v>
      </c>
      <c r="AD790" s="24">
        <v>7.51</v>
      </c>
      <c r="AE790" s="24">
        <v>5.96</v>
      </c>
      <c r="AF790" s="21" t="s">
        <v>304</v>
      </c>
      <c r="AG790" s="21" t="s">
        <v>303</v>
      </c>
    </row>
    <row r="791" spans="1:33">
      <c r="A791" s="21" t="s">
        <v>97</v>
      </c>
      <c r="B791" s="21" t="s">
        <v>532</v>
      </c>
      <c r="C791" s="25">
        <v>46127.666666666664</v>
      </c>
      <c r="D791" s="21" t="s">
        <v>1</v>
      </c>
      <c r="E791" s="24">
        <v>3.83</v>
      </c>
      <c r="F791" s="24">
        <v>7.95</v>
      </c>
      <c r="G791" s="24">
        <f>E791-F791</f>
        <v>-4.12</v>
      </c>
      <c r="H791" s="21" t="s">
        <v>294</v>
      </c>
      <c r="I791" s="21">
        <v>0</v>
      </c>
      <c r="J791" s="21">
        <v>4</v>
      </c>
      <c r="K791" s="21">
        <v>6</v>
      </c>
      <c r="L791" s="21">
        <v>4</v>
      </c>
      <c r="M791" s="21">
        <v>6</v>
      </c>
      <c r="P791" s="24">
        <f>J791+L791+N791</f>
        <v>8</v>
      </c>
      <c r="Q791" s="24">
        <f>K791+M791+O791</f>
        <v>12</v>
      </c>
      <c r="R791" s="24">
        <v>0.4</v>
      </c>
      <c r="S791" s="21" t="s">
        <v>98</v>
      </c>
      <c r="U791" s="21" t="s">
        <v>287</v>
      </c>
      <c r="V791" s="21" t="s">
        <v>286</v>
      </c>
      <c r="W791" s="21">
        <v>3</v>
      </c>
      <c r="X791" s="21" t="s">
        <v>285</v>
      </c>
      <c r="Y791" s="21" t="s">
        <v>326</v>
      </c>
      <c r="Z791" s="21" t="s">
        <v>325</v>
      </c>
      <c r="AA791" s="21" t="s">
        <v>97</v>
      </c>
      <c r="AB791" s="21">
        <v>1</v>
      </c>
      <c r="AD791" s="24">
        <v>7.51</v>
      </c>
      <c r="AE791" s="24">
        <v>7.98</v>
      </c>
      <c r="AF791" s="21" t="s">
        <v>304</v>
      </c>
      <c r="AG791" s="21" t="s">
        <v>303</v>
      </c>
    </row>
    <row r="792" spans="1:33">
      <c r="A792" s="21" t="s">
        <v>138</v>
      </c>
      <c r="B792" s="21" t="s">
        <v>499</v>
      </c>
      <c r="C792" s="25">
        <v>46095.645833333336</v>
      </c>
      <c r="D792" s="21" t="s">
        <v>150</v>
      </c>
      <c r="E792" s="24">
        <v>7.44</v>
      </c>
      <c r="F792" s="24">
        <v>4.54</v>
      </c>
      <c r="G792" s="24">
        <f>E792-F792</f>
        <v>2.9000000000000004</v>
      </c>
      <c r="H792" s="21" t="s">
        <v>289</v>
      </c>
      <c r="I792" s="21">
        <v>1</v>
      </c>
      <c r="J792" s="21">
        <v>6</v>
      </c>
      <c r="K792" s="21">
        <v>0</v>
      </c>
      <c r="L792" s="21">
        <v>6</v>
      </c>
      <c r="M792" s="21">
        <v>0</v>
      </c>
      <c r="P792" s="24">
        <f>J792+L792+N792</f>
        <v>12</v>
      </c>
      <c r="Q792" s="24">
        <f>K792+M792+O792</f>
        <v>0</v>
      </c>
      <c r="R792" s="24">
        <v>1</v>
      </c>
      <c r="S792" s="21" t="s">
        <v>409</v>
      </c>
      <c r="U792" s="21" t="s">
        <v>287</v>
      </c>
      <c r="V792" s="21" t="s">
        <v>286</v>
      </c>
      <c r="W792" s="21">
        <v>0</v>
      </c>
      <c r="X792" s="21" t="s">
        <v>312</v>
      </c>
      <c r="Y792" s="21" t="s">
        <v>284</v>
      </c>
      <c r="Z792" s="21" t="s">
        <v>283</v>
      </c>
      <c r="AA792" s="21" t="s">
        <v>138</v>
      </c>
      <c r="AB792" s="21">
        <v>1</v>
      </c>
      <c r="AD792" s="24">
        <v>7.44</v>
      </c>
      <c r="AE792" s="24">
        <v>4.54</v>
      </c>
      <c r="AF792" s="21" t="s">
        <v>304</v>
      </c>
      <c r="AG792" s="21" t="s">
        <v>303</v>
      </c>
    </row>
    <row r="793" spans="1:33">
      <c r="A793" s="21" t="s">
        <v>138</v>
      </c>
      <c r="B793" s="21" t="s">
        <v>499</v>
      </c>
      <c r="C793" s="25">
        <v>46099.645833333336</v>
      </c>
      <c r="D793" s="21" t="s">
        <v>531</v>
      </c>
      <c r="E793" s="24">
        <v>7.44</v>
      </c>
      <c r="F793" s="24">
        <v>2.89</v>
      </c>
      <c r="G793" s="24">
        <f>E793-F793</f>
        <v>4.5500000000000007</v>
      </c>
      <c r="H793" s="21" t="s">
        <v>289</v>
      </c>
      <c r="I793" s="21">
        <v>1</v>
      </c>
      <c r="J793" s="21">
        <v>6</v>
      </c>
      <c r="K793" s="21">
        <v>0</v>
      </c>
      <c r="L793" s="21">
        <v>6</v>
      </c>
      <c r="M793" s="21">
        <v>0</v>
      </c>
      <c r="P793" s="24">
        <f>J793+L793+N793</f>
        <v>12</v>
      </c>
      <c r="Q793" s="24">
        <f>K793+M793+O793</f>
        <v>0</v>
      </c>
      <c r="R793" s="24">
        <v>1</v>
      </c>
      <c r="S793" s="21" t="s">
        <v>530</v>
      </c>
      <c r="U793" s="21" t="s">
        <v>287</v>
      </c>
      <c r="V793" s="21" t="s">
        <v>286</v>
      </c>
      <c r="W793" s="21">
        <v>1</v>
      </c>
      <c r="X793" s="21" t="s">
        <v>323</v>
      </c>
      <c r="Y793" s="21" t="s">
        <v>284</v>
      </c>
      <c r="Z793" s="21" t="s">
        <v>283</v>
      </c>
      <c r="AA793" s="21" t="s">
        <v>138</v>
      </c>
      <c r="AB793" s="21">
        <v>1</v>
      </c>
      <c r="AD793" s="24">
        <v>7.44</v>
      </c>
      <c r="AE793" s="24">
        <v>2.89</v>
      </c>
      <c r="AF793" s="21" t="s">
        <v>304</v>
      </c>
      <c r="AG793" s="21" t="s">
        <v>341</v>
      </c>
    </row>
    <row r="794" spans="1:33">
      <c r="A794" s="21" t="s">
        <v>138</v>
      </c>
      <c r="B794" s="21" t="s">
        <v>499</v>
      </c>
      <c r="C794" s="25">
        <v>46105.645833333336</v>
      </c>
      <c r="D794" s="21" t="s">
        <v>529</v>
      </c>
      <c r="E794" s="24">
        <v>7.44</v>
      </c>
      <c r="F794" s="24">
        <v>3.77</v>
      </c>
      <c r="G794" s="24">
        <f>E794-F794</f>
        <v>3.6700000000000004</v>
      </c>
      <c r="H794" s="21" t="s">
        <v>289</v>
      </c>
      <c r="I794" s="21">
        <v>1</v>
      </c>
      <c r="J794" s="21">
        <v>6</v>
      </c>
      <c r="K794" s="21">
        <v>0</v>
      </c>
      <c r="L794" s="21">
        <v>6</v>
      </c>
      <c r="M794" s="21">
        <v>1</v>
      </c>
      <c r="P794" s="24">
        <f>J794+L794+N794</f>
        <v>12</v>
      </c>
      <c r="Q794" s="24">
        <f>K794+M794+O794</f>
        <v>1</v>
      </c>
      <c r="R794" s="24">
        <v>0.92307692307692313</v>
      </c>
      <c r="S794" s="21" t="s">
        <v>502</v>
      </c>
      <c r="U794" s="21" t="s">
        <v>287</v>
      </c>
      <c r="V794" s="21" t="s">
        <v>286</v>
      </c>
      <c r="W794" s="21">
        <v>2</v>
      </c>
      <c r="X794" s="21" t="s">
        <v>310</v>
      </c>
      <c r="Y794" s="21" t="s">
        <v>284</v>
      </c>
      <c r="Z794" s="21" t="s">
        <v>283</v>
      </c>
      <c r="AA794" s="21" t="s">
        <v>138</v>
      </c>
      <c r="AB794" s="21">
        <v>1</v>
      </c>
      <c r="AD794" s="24">
        <v>7.44</v>
      </c>
      <c r="AE794" s="24">
        <v>3.77</v>
      </c>
      <c r="AF794" s="21" t="s">
        <v>302</v>
      </c>
      <c r="AG794" s="21" t="s">
        <v>301</v>
      </c>
    </row>
    <row r="795" spans="1:33">
      <c r="A795" s="21" t="s">
        <v>138</v>
      </c>
      <c r="B795" s="21" t="s">
        <v>499</v>
      </c>
      <c r="C795" s="25">
        <v>46118.645833333336</v>
      </c>
      <c r="D795" s="21" t="s">
        <v>103</v>
      </c>
      <c r="E795" s="24">
        <v>7.44</v>
      </c>
      <c r="F795" s="24">
        <v>7.14</v>
      </c>
      <c r="G795" s="24">
        <f>E795-F795</f>
        <v>0.30000000000000071</v>
      </c>
      <c r="H795" s="21" t="s">
        <v>289</v>
      </c>
      <c r="I795" s="21">
        <v>1</v>
      </c>
      <c r="J795" s="21">
        <v>6</v>
      </c>
      <c r="K795" s="21">
        <v>2</v>
      </c>
      <c r="L795" s="21">
        <v>4</v>
      </c>
      <c r="M795" s="21">
        <v>6</v>
      </c>
      <c r="N795" s="21">
        <v>1</v>
      </c>
      <c r="O795" s="21">
        <v>0</v>
      </c>
      <c r="P795" s="24">
        <f>J795+L795+N795</f>
        <v>11</v>
      </c>
      <c r="Q795" s="24">
        <f>K795+M795+O795</f>
        <v>8</v>
      </c>
      <c r="R795" s="24">
        <v>0.93023255813953487</v>
      </c>
      <c r="S795" s="21" t="s">
        <v>168</v>
      </c>
      <c r="U795" s="21" t="s">
        <v>287</v>
      </c>
      <c r="V795" s="21" t="s">
        <v>286</v>
      </c>
      <c r="W795" s="21">
        <v>3</v>
      </c>
      <c r="X795" s="21" t="s">
        <v>285</v>
      </c>
      <c r="Y795" s="21" t="s">
        <v>284</v>
      </c>
      <c r="Z795" s="21" t="s">
        <v>283</v>
      </c>
      <c r="AA795" s="21" t="s">
        <v>138</v>
      </c>
      <c r="AB795" s="21">
        <v>1</v>
      </c>
      <c r="AD795" s="24">
        <v>7.44</v>
      </c>
      <c r="AE795" s="24">
        <v>7.12</v>
      </c>
      <c r="AF795" s="21" t="s">
        <v>302</v>
      </c>
      <c r="AG795" s="21" t="s">
        <v>301</v>
      </c>
    </row>
    <row r="796" spans="1:33">
      <c r="A796" s="21" t="s">
        <v>138</v>
      </c>
      <c r="B796" s="21" t="s">
        <v>499</v>
      </c>
      <c r="C796" s="25">
        <v>46119.645833333336</v>
      </c>
      <c r="D796" s="21" t="s">
        <v>528</v>
      </c>
      <c r="E796" s="24">
        <v>7.44</v>
      </c>
      <c r="F796" s="24">
        <v>3.33</v>
      </c>
      <c r="G796" s="24">
        <f>E796-F796</f>
        <v>4.1100000000000003</v>
      </c>
      <c r="H796" s="21" t="s">
        <v>289</v>
      </c>
      <c r="I796" s="21">
        <v>1</v>
      </c>
      <c r="J796" s="21">
        <v>6</v>
      </c>
      <c r="K796" s="21">
        <v>0</v>
      </c>
      <c r="L796" s="21">
        <v>6</v>
      </c>
      <c r="M796" s="21">
        <v>1</v>
      </c>
      <c r="P796" s="24">
        <f>J796+L796+N796</f>
        <v>12</v>
      </c>
      <c r="Q796" s="24">
        <f>K796+M796+O796</f>
        <v>1</v>
      </c>
      <c r="R796" s="24">
        <v>0.92307692307692313</v>
      </c>
      <c r="S796" s="21" t="s">
        <v>500</v>
      </c>
      <c r="U796" s="21" t="s">
        <v>287</v>
      </c>
      <c r="V796" s="21" t="s">
        <v>286</v>
      </c>
      <c r="W796" s="21">
        <v>4</v>
      </c>
      <c r="X796" s="21" t="s">
        <v>285</v>
      </c>
      <c r="Y796" s="21" t="s">
        <v>284</v>
      </c>
      <c r="Z796" s="21" t="s">
        <v>283</v>
      </c>
      <c r="AA796" s="21" t="s">
        <v>138</v>
      </c>
      <c r="AB796" s="21">
        <v>1</v>
      </c>
      <c r="AD796" s="24">
        <v>7.44</v>
      </c>
      <c r="AE796" s="24">
        <v>3.33</v>
      </c>
      <c r="AF796" s="21" t="s">
        <v>304</v>
      </c>
      <c r="AG796" s="21" t="s">
        <v>303</v>
      </c>
    </row>
    <row r="797" spans="1:33">
      <c r="A797" s="21" t="s">
        <v>138</v>
      </c>
      <c r="B797" s="21" t="s">
        <v>499</v>
      </c>
      <c r="C797" s="25">
        <v>46122.645833333336</v>
      </c>
      <c r="D797" s="21" t="s">
        <v>9</v>
      </c>
      <c r="E797" s="24">
        <v>7.44</v>
      </c>
      <c r="F797" s="24">
        <v>7.52</v>
      </c>
      <c r="G797" s="24">
        <f>E797-F797</f>
        <v>-7.9999999999999183E-2</v>
      </c>
      <c r="H797" s="21" t="s">
        <v>294</v>
      </c>
      <c r="I797" s="21">
        <v>0</v>
      </c>
      <c r="J797" s="21">
        <v>3</v>
      </c>
      <c r="K797" s="21">
        <v>6</v>
      </c>
      <c r="L797" s="21">
        <v>2</v>
      </c>
      <c r="M797" s="21">
        <v>6</v>
      </c>
      <c r="P797" s="24">
        <f>J797+L797+N797</f>
        <v>5</v>
      </c>
      <c r="Q797" s="24">
        <f>K797+M797+O797</f>
        <v>12</v>
      </c>
      <c r="R797" s="24">
        <v>0.29411764705882354</v>
      </c>
      <c r="S797" s="21" t="s">
        <v>139</v>
      </c>
      <c r="U797" s="21" t="s">
        <v>287</v>
      </c>
      <c r="V797" s="21" t="s">
        <v>286</v>
      </c>
      <c r="W797" s="21">
        <v>5</v>
      </c>
      <c r="X797" s="21" t="s">
        <v>285</v>
      </c>
      <c r="Y797" s="21" t="s">
        <v>284</v>
      </c>
      <c r="Z797" s="21" t="s">
        <v>283</v>
      </c>
      <c r="AA797" s="21" t="s">
        <v>138</v>
      </c>
      <c r="AB797" s="21">
        <v>1</v>
      </c>
      <c r="AD797" s="24">
        <v>7.44</v>
      </c>
      <c r="AE797" s="24">
        <v>7.81</v>
      </c>
      <c r="AF797" s="21" t="s">
        <v>304</v>
      </c>
      <c r="AG797" s="21" t="s">
        <v>303</v>
      </c>
    </row>
    <row r="798" spans="1:33">
      <c r="A798" s="21" t="s">
        <v>138</v>
      </c>
      <c r="B798" s="21" t="s">
        <v>499</v>
      </c>
      <c r="C798" s="25">
        <v>46125.645833333336</v>
      </c>
      <c r="D798" s="21" t="s">
        <v>206</v>
      </c>
      <c r="E798" s="24">
        <v>7.44</v>
      </c>
      <c r="F798" s="24">
        <v>5.7</v>
      </c>
      <c r="G798" s="24">
        <f>E798-F798</f>
        <v>1.7400000000000002</v>
      </c>
      <c r="H798" s="21" t="s">
        <v>289</v>
      </c>
      <c r="I798" s="21">
        <v>1</v>
      </c>
      <c r="J798" s="21">
        <v>6</v>
      </c>
      <c r="K798" s="21">
        <v>1</v>
      </c>
      <c r="L798" s="21">
        <v>6</v>
      </c>
      <c r="M798" s="21">
        <v>2</v>
      </c>
      <c r="P798" s="24">
        <f>J798+L798+N798</f>
        <v>12</v>
      </c>
      <c r="Q798" s="24">
        <f>K798+M798+O798</f>
        <v>3</v>
      </c>
      <c r="R798" s="24">
        <v>0.8</v>
      </c>
      <c r="S798" s="21" t="s">
        <v>417</v>
      </c>
      <c r="U798" s="21" t="s">
        <v>287</v>
      </c>
      <c r="V798" s="21" t="s">
        <v>286</v>
      </c>
      <c r="W798" s="21">
        <v>6</v>
      </c>
      <c r="X798" s="21" t="s">
        <v>285</v>
      </c>
      <c r="Y798" s="21" t="s">
        <v>284</v>
      </c>
      <c r="Z798" s="21" t="s">
        <v>283</v>
      </c>
      <c r="AA798" s="21" t="s">
        <v>138</v>
      </c>
      <c r="AB798" s="21">
        <v>1</v>
      </c>
      <c r="AD798" s="24">
        <v>7.44</v>
      </c>
      <c r="AE798" s="24">
        <v>5.62</v>
      </c>
      <c r="AF798" s="21" t="s">
        <v>304</v>
      </c>
      <c r="AG798" s="21" t="s">
        <v>303</v>
      </c>
    </row>
    <row r="799" spans="1:33">
      <c r="A799" s="21" t="s">
        <v>138</v>
      </c>
      <c r="B799" s="21" t="s">
        <v>499</v>
      </c>
      <c r="C799" s="25">
        <v>46126.645833333336</v>
      </c>
      <c r="D799" s="21" t="s">
        <v>73</v>
      </c>
      <c r="E799" s="24">
        <v>7.44</v>
      </c>
      <c r="F799" s="24">
        <v>3.08</v>
      </c>
      <c r="G799" s="24">
        <f>E799-F799</f>
        <v>4.3600000000000003</v>
      </c>
      <c r="H799" s="21" t="s">
        <v>289</v>
      </c>
      <c r="I799" s="21">
        <v>1</v>
      </c>
      <c r="J799" s="21">
        <v>6</v>
      </c>
      <c r="K799" s="21">
        <v>0</v>
      </c>
      <c r="L799" s="21">
        <v>6</v>
      </c>
      <c r="M799" s="21">
        <v>0</v>
      </c>
      <c r="P799" s="24">
        <f>J799+L799+N799</f>
        <v>12</v>
      </c>
      <c r="Q799" s="24">
        <f>K799+M799+O799</f>
        <v>0</v>
      </c>
      <c r="R799" s="24">
        <v>1</v>
      </c>
      <c r="S799" s="21" t="s">
        <v>486</v>
      </c>
      <c r="U799" s="21" t="s">
        <v>287</v>
      </c>
      <c r="V799" s="21" t="s">
        <v>286</v>
      </c>
      <c r="W799" s="21">
        <v>7</v>
      </c>
      <c r="X799" s="21" t="s">
        <v>285</v>
      </c>
      <c r="Y799" s="21" t="s">
        <v>284</v>
      </c>
      <c r="Z799" s="21" t="s">
        <v>283</v>
      </c>
      <c r="AA799" s="21" t="s">
        <v>138</v>
      </c>
      <c r="AB799" s="21">
        <v>1</v>
      </c>
      <c r="AD799" s="24">
        <v>7.44</v>
      </c>
      <c r="AE799" s="24">
        <v>4.26</v>
      </c>
      <c r="AF799" s="21" t="s">
        <v>304</v>
      </c>
      <c r="AG799" s="21" t="s">
        <v>341</v>
      </c>
    </row>
    <row r="800" spans="1:33">
      <c r="A800" s="21" t="s">
        <v>138</v>
      </c>
      <c r="B800" s="21" t="s">
        <v>499</v>
      </c>
      <c r="C800" s="25">
        <v>46142.645833333336</v>
      </c>
      <c r="D800" s="21" t="s">
        <v>33</v>
      </c>
      <c r="E800" s="24">
        <v>7.37</v>
      </c>
      <c r="F800" s="24">
        <v>5.7</v>
      </c>
      <c r="G800" s="24">
        <f>E800-F800</f>
        <v>1.67</v>
      </c>
      <c r="H800" s="21" t="s">
        <v>289</v>
      </c>
      <c r="I800" s="21">
        <v>1</v>
      </c>
      <c r="J800" s="21">
        <v>6</v>
      </c>
      <c r="K800" s="21">
        <v>2</v>
      </c>
      <c r="L800" s="21">
        <v>6</v>
      </c>
      <c r="M800" s="21">
        <v>1</v>
      </c>
      <c r="P800" s="24">
        <f>J800+L800+N800</f>
        <v>12</v>
      </c>
      <c r="Q800" s="24">
        <f>K800+M800+O800</f>
        <v>3</v>
      </c>
      <c r="R800" s="24">
        <v>0.8</v>
      </c>
      <c r="S800" s="21" t="s">
        <v>19</v>
      </c>
      <c r="U800" s="21" t="s">
        <v>287</v>
      </c>
      <c r="V800" s="21" t="s">
        <v>286</v>
      </c>
      <c r="W800" s="21">
        <v>8</v>
      </c>
      <c r="X800" s="21" t="s">
        <v>285</v>
      </c>
      <c r="Y800" s="21" t="s">
        <v>284</v>
      </c>
      <c r="Z800" s="21" t="s">
        <v>283</v>
      </c>
      <c r="AA800" s="21" t="s">
        <v>138</v>
      </c>
      <c r="AB800" s="21">
        <v>1</v>
      </c>
      <c r="AD800" s="24">
        <v>7.44</v>
      </c>
      <c r="AE800" s="24">
        <v>6.35</v>
      </c>
      <c r="AF800" s="21" t="s">
        <v>304</v>
      </c>
      <c r="AG800" s="21" t="s">
        <v>341</v>
      </c>
    </row>
    <row r="801" spans="1:33">
      <c r="A801" s="21" t="s">
        <v>34</v>
      </c>
      <c r="B801" s="21" t="s">
        <v>291</v>
      </c>
      <c r="C801" s="25">
        <v>46091.645833333336</v>
      </c>
      <c r="D801" s="21" t="s">
        <v>527</v>
      </c>
      <c r="E801" s="24">
        <v>4.8</v>
      </c>
      <c r="F801" s="24">
        <v>4.1399999999999997</v>
      </c>
      <c r="G801" s="24">
        <f>E801-F801</f>
        <v>0.66000000000000014</v>
      </c>
      <c r="H801" s="21" t="s">
        <v>289</v>
      </c>
      <c r="I801" s="21">
        <v>1</v>
      </c>
      <c r="J801" s="21">
        <v>6</v>
      </c>
      <c r="K801" s="21">
        <v>1</v>
      </c>
      <c r="L801" s="21">
        <v>6</v>
      </c>
      <c r="M801" s="21">
        <v>0</v>
      </c>
      <c r="P801" s="24">
        <f>J801+L801+N801</f>
        <v>12</v>
      </c>
      <c r="Q801" s="24">
        <f>K801+M801+O801</f>
        <v>1</v>
      </c>
      <c r="R801" s="24">
        <v>0.92307692307692313</v>
      </c>
      <c r="S801" s="21" t="s">
        <v>311</v>
      </c>
      <c r="U801" s="21" t="s">
        <v>287</v>
      </c>
      <c r="V801" s="21" t="s">
        <v>286</v>
      </c>
      <c r="W801" s="21">
        <v>0</v>
      </c>
      <c r="X801" s="21" t="s">
        <v>312</v>
      </c>
      <c r="Y801" s="21" t="s">
        <v>284</v>
      </c>
      <c r="Z801" s="21" t="s">
        <v>283</v>
      </c>
      <c r="AA801" s="21" t="s">
        <v>34</v>
      </c>
      <c r="AB801" s="21">
        <v>1</v>
      </c>
      <c r="AD801" s="24">
        <v>5.24</v>
      </c>
      <c r="AE801" s="24">
        <v>4.1399999999999997</v>
      </c>
      <c r="AF801" s="21" t="s">
        <v>304</v>
      </c>
      <c r="AG801" s="21" t="s">
        <v>341</v>
      </c>
    </row>
    <row r="802" spans="1:33">
      <c r="A802" s="21" t="s">
        <v>34</v>
      </c>
      <c r="B802" s="21" t="s">
        <v>291</v>
      </c>
      <c r="C802" s="25">
        <v>46092.645833333336</v>
      </c>
      <c r="D802" s="21" t="s">
        <v>349</v>
      </c>
      <c r="E802" s="24">
        <v>4.8</v>
      </c>
      <c r="F802" s="24">
        <v>4.4000000000000004</v>
      </c>
      <c r="G802" s="24">
        <f>E802-F802</f>
        <v>0.39999999999999947</v>
      </c>
      <c r="H802" s="21" t="s">
        <v>289</v>
      </c>
      <c r="I802" s="21">
        <v>1</v>
      </c>
      <c r="J802" s="21">
        <v>6</v>
      </c>
      <c r="K802" s="21">
        <v>0</v>
      </c>
      <c r="L802" s="21">
        <v>6</v>
      </c>
      <c r="M802" s="21">
        <v>0</v>
      </c>
      <c r="P802" s="24">
        <f>J802+L802+N802</f>
        <v>12</v>
      </c>
      <c r="Q802" s="24">
        <f>K802+M802+O802</f>
        <v>0</v>
      </c>
      <c r="R802" s="24">
        <v>1</v>
      </c>
      <c r="S802" s="21" t="s">
        <v>308</v>
      </c>
      <c r="U802" s="21" t="s">
        <v>287</v>
      </c>
      <c r="V802" s="21" t="s">
        <v>286</v>
      </c>
      <c r="W802" s="21">
        <v>1</v>
      </c>
      <c r="X802" s="21" t="s">
        <v>323</v>
      </c>
      <c r="Y802" s="21" t="s">
        <v>284</v>
      </c>
      <c r="Z802" s="21" t="s">
        <v>283</v>
      </c>
      <c r="AA802" s="21" t="s">
        <v>34</v>
      </c>
      <c r="AB802" s="21">
        <v>1</v>
      </c>
      <c r="AD802" s="24">
        <v>5.24</v>
      </c>
      <c r="AE802" s="24">
        <v>4.4000000000000004</v>
      </c>
      <c r="AF802" s="21" t="s">
        <v>302</v>
      </c>
      <c r="AG802" s="21" t="s">
        <v>301</v>
      </c>
    </row>
    <row r="803" spans="1:33">
      <c r="A803" s="21" t="s">
        <v>34</v>
      </c>
      <c r="B803" s="21" t="s">
        <v>291</v>
      </c>
      <c r="C803" s="25">
        <v>46099.645833333336</v>
      </c>
      <c r="D803" s="21" t="s">
        <v>234</v>
      </c>
      <c r="E803" s="24">
        <v>4.83</v>
      </c>
      <c r="F803" s="24">
        <v>4.1900000000000004</v>
      </c>
      <c r="G803" s="24">
        <f>E803-F803</f>
        <v>0.63999999999999968</v>
      </c>
      <c r="H803" s="21" t="s">
        <v>289</v>
      </c>
      <c r="I803" s="21">
        <v>1</v>
      </c>
      <c r="J803" s="21">
        <v>6</v>
      </c>
      <c r="K803" s="21">
        <v>2</v>
      </c>
      <c r="L803" s="21">
        <v>6</v>
      </c>
      <c r="M803" s="21">
        <v>0</v>
      </c>
      <c r="P803" s="24">
        <f>J803+L803+N803</f>
        <v>12</v>
      </c>
      <c r="Q803" s="24">
        <f>K803+M803+O803</f>
        <v>2</v>
      </c>
      <c r="R803" s="24">
        <v>0.8571428571428571</v>
      </c>
      <c r="S803" s="21" t="s">
        <v>229</v>
      </c>
      <c r="U803" s="21" t="s">
        <v>287</v>
      </c>
      <c r="V803" s="21" t="s">
        <v>286</v>
      </c>
      <c r="W803" s="21">
        <v>2</v>
      </c>
      <c r="X803" s="21" t="s">
        <v>310</v>
      </c>
      <c r="Y803" s="21" t="s">
        <v>284</v>
      </c>
      <c r="Z803" s="21" t="s">
        <v>283</v>
      </c>
      <c r="AA803" s="21" t="s">
        <v>34</v>
      </c>
      <c r="AB803" s="21">
        <v>1</v>
      </c>
      <c r="AD803" s="24">
        <v>5.24</v>
      </c>
      <c r="AE803" s="24">
        <v>4.43</v>
      </c>
      <c r="AF803" s="21" t="s">
        <v>302</v>
      </c>
      <c r="AG803" s="21" t="s">
        <v>301</v>
      </c>
    </row>
    <row r="804" spans="1:33">
      <c r="A804" s="21" t="s">
        <v>34</v>
      </c>
      <c r="B804" s="21" t="s">
        <v>291</v>
      </c>
      <c r="C804" s="25">
        <v>46101.645833333336</v>
      </c>
      <c r="D804" s="21" t="s">
        <v>115</v>
      </c>
      <c r="E804" s="24">
        <v>4.83</v>
      </c>
      <c r="F804" s="24">
        <v>5.03</v>
      </c>
      <c r="G804" s="24">
        <f>E804-F804</f>
        <v>-0.20000000000000018</v>
      </c>
      <c r="H804" s="21" t="s">
        <v>289</v>
      </c>
      <c r="I804" s="21">
        <v>1</v>
      </c>
      <c r="J804" s="21">
        <v>0</v>
      </c>
      <c r="K804" s="21">
        <v>6</v>
      </c>
      <c r="L804" s="21">
        <v>6</v>
      </c>
      <c r="M804" s="21">
        <v>3</v>
      </c>
      <c r="N804" s="21">
        <v>6</v>
      </c>
      <c r="O804" s="21">
        <v>3</v>
      </c>
      <c r="P804" s="24">
        <f>J804+L804+N804</f>
        <v>12</v>
      </c>
      <c r="Q804" s="24">
        <f>K804+M804+O804</f>
        <v>12</v>
      </c>
      <c r="R804" s="24">
        <v>0.5</v>
      </c>
      <c r="S804" s="21" t="s">
        <v>223</v>
      </c>
      <c r="U804" s="21" t="s">
        <v>287</v>
      </c>
      <c r="V804" s="21" t="s">
        <v>286</v>
      </c>
      <c r="W804" s="21">
        <v>3</v>
      </c>
      <c r="X804" s="21" t="s">
        <v>285</v>
      </c>
      <c r="Y804" s="21" t="s">
        <v>284</v>
      </c>
      <c r="Z804" s="21" t="s">
        <v>283</v>
      </c>
      <c r="AA804" s="21" t="s">
        <v>34</v>
      </c>
      <c r="AB804" s="21">
        <v>1</v>
      </c>
      <c r="AD804" s="24">
        <v>5.24</v>
      </c>
      <c r="AE804" s="24">
        <v>5.45</v>
      </c>
      <c r="AF804" s="21" t="s">
        <v>302</v>
      </c>
      <c r="AG804" s="21" t="s">
        <v>301</v>
      </c>
    </row>
    <row r="805" spans="1:33">
      <c r="A805" s="21" t="s">
        <v>34</v>
      </c>
      <c r="B805" s="21" t="s">
        <v>291</v>
      </c>
      <c r="C805" s="25">
        <v>46108.645833333336</v>
      </c>
      <c r="D805" s="21" t="s">
        <v>131</v>
      </c>
      <c r="E805" s="24">
        <v>4.97</v>
      </c>
      <c r="F805" s="24">
        <v>5.8</v>
      </c>
      <c r="G805" s="24">
        <f>E805-F805</f>
        <v>-0.83000000000000007</v>
      </c>
      <c r="H805" s="21" t="s">
        <v>294</v>
      </c>
      <c r="I805" s="21">
        <v>0</v>
      </c>
      <c r="J805" s="21">
        <v>2</v>
      </c>
      <c r="K805" s="21">
        <v>6</v>
      </c>
      <c r="L805" s="21">
        <v>3</v>
      </c>
      <c r="M805" s="21">
        <v>6</v>
      </c>
      <c r="P805" s="24">
        <f>J805+L805+N805</f>
        <v>5</v>
      </c>
      <c r="Q805" s="24">
        <f>K805+M805+O805</f>
        <v>12</v>
      </c>
      <c r="R805" s="24">
        <v>0.29411764705882354</v>
      </c>
      <c r="S805" s="21" t="s">
        <v>192</v>
      </c>
      <c r="U805" s="21" t="s">
        <v>287</v>
      </c>
      <c r="V805" s="21" t="s">
        <v>286</v>
      </c>
      <c r="W805" s="21">
        <v>4</v>
      </c>
      <c r="X805" s="21" t="s">
        <v>285</v>
      </c>
      <c r="Y805" s="21" t="s">
        <v>284</v>
      </c>
      <c r="Z805" s="21" t="s">
        <v>283</v>
      </c>
      <c r="AA805" s="21" t="s">
        <v>34</v>
      </c>
      <c r="AB805" s="21">
        <v>1</v>
      </c>
      <c r="AD805" s="24">
        <v>5.24</v>
      </c>
      <c r="AE805" s="24">
        <v>5.89</v>
      </c>
      <c r="AF805" s="21" t="s">
        <v>304</v>
      </c>
      <c r="AG805" s="21" t="s">
        <v>303</v>
      </c>
    </row>
    <row r="806" spans="1:33">
      <c r="A806" s="21" t="s">
        <v>34</v>
      </c>
      <c r="B806" s="21" t="s">
        <v>291</v>
      </c>
      <c r="C806" s="25">
        <v>46120.645833333336</v>
      </c>
      <c r="D806" s="21" t="s">
        <v>385</v>
      </c>
      <c r="E806" s="24">
        <v>5.08</v>
      </c>
      <c r="F806" s="24">
        <v>2.4900000000000002</v>
      </c>
      <c r="G806" s="24">
        <f>E806-F806</f>
        <v>2.59</v>
      </c>
      <c r="H806" s="21" t="s">
        <v>289</v>
      </c>
      <c r="I806" s="21">
        <v>1</v>
      </c>
      <c r="J806" s="21">
        <v>6</v>
      </c>
      <c r="K806" s="21">
        <v>3</v>
      </c>
      <c r="L806" s="21">
        <v>6</v>
      </c>
      <c r="M806" s="21">
        <v>1</v>
      </c>
      <c r="P806" s="24">
        <f>J806+L806+N806</f>
        <v>12</v>
      </c>
      <c r="Q806" s="24">
        <f>K806+M806+O806</f>
        <v>4</v>
      </c>
      <c r="R806" s="24">
        <v>0.75</v>
      </c>
      <c r="S806" s="21" t="s">
        <v>156</v>
      </c>
      <c r="U806" s="21" t="s">
        <v>287</v>
      </c>
      <c r="V806" s="21" t="s">
        <v>286</v>
      </c>
      <c r="W806" s="21">
        <v>5</v>
      </c>
      <c r="X806" s="21" t="s">
        <v>285</v>
      </c>
      <c r="Y806" s="21" t="s">
        <v>284</v>
      </c>
      <c r="Z806" s="21" t="s">
        <v>283</v>
      </c>
      <c r="AA806" s="21" t="s">
        <v>34</v>
      </c>
      <c r="AB806" s="21">
        <v>1</v>
      </c>
      <c r="AD806" s="24">
        <v>5.24</v>
      </c>
      <c r="AE806" s="24">
        <v>3.65</v>
      </c>
      <c r="AF806" s="21" t="s">
        <v>304</v>
      </c>
      <c r="AG806" s="21" t="s">
        <v>303</v>
      </c>
    </row>
    <row r="807" spans="1:33">
      <c r="A807" s="21" t="s">
        <v>34</v>
      </c>
      <c r="B807" s="21" t="s">
        <v>291</v>
      </c>
      <c r="C807" s="25">
        <v>46121.645833333336</v>
      </c>
      <c r="D807" s="21" t="s">
        <v>150</v>
      </c>
      <c r="E807" s="24">
        <v>5.08</v>
      </c>
      <c r="F807" s="24">
        <v>4.54</v>
      </c>
      <c r="G807" s="24">
        <f>E807-F807</f>
        <v>0.54</v>
      </c>
      <c r="H807" s="21" t="s">
        <v>289</v>
      </c>
      <c r="I807" s="21">
        <v>1</v>
      </c>
      <c r="J807" s="21">
        <v>6</v>
      </c>
      <c r="K807" s="21">
        <v>2</v>
      </c>
      <c r="L807" s="21">
        <v>7</v>
      </c>
      <c r="M807" s="21">
        <v>6</v>
      </c>
      <c r="P807" s="24">
        <f>J807+L807+N807</f>
        <v>13</v>
      </c>
      <c r="Q807" s="24">
        <f>K807+M807+O807</f>
        <v>8</v>
      </c>
      <c r="R807" s="24">
        <v>0.56081081081081086</v>
      </c>
      <c r="S807" s="21" t="s">
        <v>146</v>
      </c>
      <c r="U807" s="21" t="s">
        <v>287</v>
      </c>
      <c r="V807" s="21" t="s">
        <v>286</v>
      </c>
      <c r="W807" s="21">
        <v>6</v>
      </c>
      <c r="X807" s="21" t="s">
        <v>285</v>
      </c>
      <c r="Y807" s="21" t="s">
        <v>284</v>
      </c>
      <c r="Z807" s="21" t="s">
        <v>283</v>
      </c>
      <c r="AA807" s="21" t="s">
        <v>34</v>
      </c>
      <c r="AB807" s="21">
        <v>1</v>
      </c>
      <c r="AD807" s="24">
        <v>5.24</v>
      </c>
      <c r="AE807" s="24">
        <v>4.54</v>
      </c>
      <c r="AF807" s="21" t="s">
        <v>304</v>
      </c>
      <c r="AG807" s="21" t="s">
        <v>303</v>
      </c>
    </row>
    <row r="808" spans="1:33">
      <c r="A808" s="21" t="s">
        <v>34</v>
      </c>
      <c r="B808" s="21" t="s">
        <v>291</v>
      </c>
      <c r="C808" s="25">
        <v>46126.645833333336</v>
      </c>
      <c r="D808" s="21" t="s">
        <v>526</v>
      </c>
      <c r="E808" s="24">
        <v>5.09</v>
      </c>
      <c r="F808" s="24">
        <v>8.01</v>
      </c>
      <c r="G808" s="24">
        <f>E808-F808</f>
        <v>-2.92</v>
      </c>
      <c r="H808" s="21" t="s">
        <v>294</v>
      </c>
      <c r="I808" s="21">
        <v>0</v>
      </c>
      <c r="J808" s="21">
        <v>2</v>
      </c>
      <c r="K808" s="21">
        <v>6</v>
      </c>
      <c r="L808" s="21">
        <v>1</v>
      </c>
      <c r="M808" s="21">
        <v>6</v>
      </c>
      <c r="P808" s="24">
        <f>J808+L808+N808</f>
        <v>3</v>
      </c>
      <c r="Q808" s="24">
        <f>K808+M808+O808</f>
        <v>12</v>
      </c>
      <c r="R808" s="24">
        <v>0.2</v>
      </c>
      <c r="S808" s="21" t="s">
        <v>300</v>
      </c>
      <c r="U808" s="21" t="s">
        <v>287</v>
      </c>
      <c r="V808" s="21" t="s">
        <v>286</v>
      </c>
      <c r="W808" s="21">
        <v>7</v>
      </c>
      <c r="X808" s="21" t="s">
        <v>285</v>
      </c>
      <c r="Y808" s="21" t="s">
        <v>284</v>
      </c>
      <c r="Z808" s="21" t="s">
        <v>283</v>
      </c>
      <c r="AA808" s="21" t="s">
        <v>34</v>
      </c>
      <c r="AB808" s="21">
        <v>1</v>
      </c>
      <c r="AD808" s="24">
        <v>5.24</v>
      </c>
      <c r="AE808" s="24">
        <v>8.01</v>
      </c>
      <c r="AF808" s="21" t="s">
        <v>304</v>
      </c>
      <c r="AG808" s="21" t="s">
        <v>303</v>
      </c>
    </row>
    <row r="809" spans="1:33">
      <c r="A809" s="21" t="s">
        <v>34</v>
      </c>
      <c r="B809" s="21" t="s">
        <v>291</v>
      </c>
      <c r="C809" s="25">
        <v>46133.645833333336</v>
      </c>
      <c r="D809" s="21" t="s">
        <v>23</v>
      </c>
      <c r="E809" s="24">
        <v>5.14</v>
      </c>
      <c r="F809" s="24">
        <v>7.23</v>
      </c>
      <c r="G809" s="24">
        <f>E809-F809</f>
        <v>-2.0900000000000007</v>
      </c>
      <c r="H809" s="21" t="s">
        <v>294</v>
      </c>
      <c r="I809" s="21">
        <v>0</v>
      </c>
      <c r="J809" s="21">
        <v>1</v>
      </c>
      <c r="K809" s="21">
        <v>6</v>
      </c>
      <c r="L809" s="21">
        <v>1</v>
      </c>
      <c r="M809" s="21">
        <v>6</v>
      </c>
      <c r="P809" s="24">
        <f>J809+L809+N809</f>
        <v>2</v>
      </c>
      <c r="Q809" s="24">
        <f>K809+M809+O809</f>
        <v>12</v>
      </c>
      <c r="R809" s="24">
        <v>0.14285714285714285</v>
      </c>
      <c r="S809" s="21" t="s">
        <v>299</v>
      </c>
      <c r="U809" s="21" t="s">
        <v>287</v>
      </c>
      <c r="V809" s="21" t="s">
        <v>286</v>
      </c>
      <c r="W809" s="21">
        <v>8</v>
      </c>
      <c r="X809" s="21" t="s">
        <v>285</v>
      </c>
      <c r="Y809" s="21" t="s">
        <v>284</v>
      </c>
      <c r="Z809" s="21" t="s">
        <v>283</v>
      </c>
      <c r="AA809" s="21" t="s">
        <v>34</v>
      </c>
      <c r="AB809" s="21">
        <v>1</v>
      </c>
      <c r="AD809" s="24">
        <v>5.24</v>
      </c>
      <c r="AE809" s="24">
        <v>7.11</v>
      </c>
      <c r="AF809" s="21" t="s">
        <v>304</v>
      </c>
      <c r="AG809" s="21" t="s">
        <v>303</v>
      </c>
    </row>
    <row r="810" spans="1:33">
      <c r="A810" s="21" t="s">
        <v>34</v>
      </c>
      <c r="B810" s="21" t="s">
        <v>291</v>
      </c>
      <c r="C810" s="25">
        <v>46134.645833333336</v>
      </c>
      <c r="D810" s="21" t="s">
        <v>525</v>
      </c>
      <c r="E810" s="24">
        <v>5.14</v>
      </c>
      <c r="F810" s="24">
        <v>3.5</v>
      </c>
      <c r="G810" s="24">
        <f>E810-F810</f>
        <v>1.6399999999999997</v>
      </c>
      <c r="H810" s="21" t="s">
        <v>289</v>
      </c>
      <c r="I810" s="21">
        <v>1</v>
      </c>
      <c r="J810" s="21">
        <v>6</v>
      </c>
      <c r="K810" s="21">
        <v>1</v>
      </c>
      <c r="L810" s="21">
        <v>6</v>
      </c>
      <c r="M810" s="21">
        <v>0</v>
      </c>
      <c r="P810" s="24">
        <f>J810+L810+N810</f>
        <v>12</v>
      </c>
      <c r="Q810" s="24">
        <f>K810+M810+O810</f>
        <v>1</v>
      </c>
      <c r="R810" s="24">
        <v>0.92307692307692313</v>
      </c>
      <c r="S810" s="21" t="s">
        <v>59</v>
      </c>
      <c r="U810" s="21" t="s">
        <v>287</v>
      </c>
      <c r="V810" s="21" t="s">
        <v>286</v>
      </c>
      <c r="W810" s="21">
        <v>9</v>
      </c>
      <c r="X810" s="21" t="s">
        <v>285</v>
      </c>
      <c r="Y810" s="21" t="s">
        <v>284</v>
      </c>
      <c r="Z810" s="21" t="s">
        <v>283</v>
      </c>
      <c r="AA810" s="21" t="s">
        <v>34</v>
      </c>
      <c r="AB810" s="21">
        <v>1</v>
      </c>
      <c r="AD810" s="24">
        <v>5.24</v>
      </c>
      <c r="AE810" s="24">
        <v>3.77</v>
      </c>
      <c r="AF810" s="21" t="s">
        <v>304</v>
      </c>
      <c r="AG810" s="21" t="s">
        <v>341</v>
      </c>
    </row>
    <row r="811" spans="1:33">
      <c r="A811" s="21" t="s">
        <v>34</v>
      </c>
      <c r="B811" s="21" t="s">
        <v>291</v>
      </c>
      <c r="C811" s="25">
        <v>46141.645833333336</v>
      </c>
      <c r="D811" s="21" t="s">
        <v>33</v>
      </c>
      <c r="E811" s="24">
        <v>5.18</v>
      </c>
      <c r="F811" s="24">
        <v>5.7</v>
      </c>
      <c r="G811" s="24">
        <f>E811-F811</f>
        <v>-0.52000000000000046</v>
      </c>
      <c r="H811" s="21" t="s">
        <v>294</v>
      </c>
      <c r="I811" s="21">
        <v>0</v>
      </c>
      <c r="J811" s="21">
        <v>4</v>
      </c>
      <c r="K811" s="21">
        <v>6</v>
      </c>
      <c r="L811" s="21">
        <v>2</v>
      </c>
      <c r="M811" s="21">
        <v>6</v>
      </c>
      <c r="P811" s="24">
        <f>J811+L811+N811</f>
        <v>6</v>
      </c>
      <c r="Q811" s="24">
        <f>K811+M811+O811</f>
        <v>12</v>
      </c>
      <c r="R811" s="24">
        <v>0.33333333333333331</v>
      </c>
      <c r="S811" s="21" t="s">
        <v>35</v>
      </c>
      <c r="U811" s="21" t="s">
        <v>287</v>
      </c>
      <c r="V811" s="21" t="s">
        <v>286</v>
      </c>
      <c r="W811" s="21">
        <v>10</v>
      </c>
      <c r="X811" s="21" t="s">
        <v>285</v>
      </c>
      <c r="Y811" s="21" t="s">
        <v>284</v>
      </c>
      <c r="Z811" s="21" t="s">
        <v>283</v>
      </c>
      <c r="AA811" s="21" t="s">
        <v>34</v>
      </c>
      <c r="AB811" s="21">
        <v>1</v>
      </c>
      <c r="AD811" s="24">
        <v>5.24</v>
      </c>
      <c r="AE811" s="24">
        <v>6.35</v>
      </c>
      <c r="AF811" s="21" t="s">
        <v>304</v>
      </c>
      <c r="AG811" s="21" t="s">
        <v>303</v>
      </c>
    </row>
    <row r="812" spans="1:33">
      <c r="A812" s="21" t="s">
        <v>184</v>
      </c>
      <c r="B812" s="21" t="s">
        <v>520</v>
      </c>
      <c r="C812" s="25">
        <v>46092.625</v>
      </c>
      <c r="D812" s="21" t="s">
        <v>61</v>
      </c>
      <c r="E812" s="24">
        <v>4.38</v>
      </c>
      <c r="F812" s="24">
        <v>7.09</v>
      </c>
      <c r="G812" s="24">
        <f>E812-F812</f>
        <v>-2.71</v>
      </c>
      <c r="H812" s="21" t="s">
        <v>294</v>
      </c>
      <c r="I812" s="21">
        <v>0</v>
      </c>
      <c r="J812" s="21">
        <v>0</v>
      </c>
      <c r="K812" s="21">
        <v>6</v>
      </c>
      <c r="L812" s="21">
        <v>1</v>
      </c>
      <c r="M812" s="21">
        <v>6</v>
      </c>
      <c r="P812" s="24">
        <f>J812+L812+N812</f>
        <v>1</v>
      </c>
      <c r="Q812" s="24">
        <f>K812+M812+O812</f>
        <v>12</v>
      </c>
      <c r="R812" s="24">
        <v>7.6923076923076927E-2</v>
      </c>
      <c r="S812" s="21" t="s">
        <v>524</v>
      </c>
      <c r="U812" s="21" t="s">
        <v>287</v>
      </c>
      <c r="V812" s="21" t="s">
        <v>286</v>
      </c>
      <c r="W812" s="21">
        <v>0</v>
      </c>
      <c r="X812" s="21" t="s">
        <v>312</v>
      </c>
      <c r="Y812" s="21" t="s">
        <v>326</v>
      </c>
      <c r="Z812" s="21" t="s">
        <v>325</v>
      </c>
      <c r="AA812" s="21" t="s">
        <v>184</v>
      </c>
      <c r="AB812" s="21">
        <v>1</v>
      </c>
      <c r="AD812" s="24">
        <v>4.96</v>
      </c>
      <c r="AE812" s="24">
        <v>6.95</v>
      </c>
      <c r="AF812" s="21" t="s">
        <v>302</v>
      </c>
      <c r="AG812" s="21" t="s">
        <v>301</v>
      </c>
    </row>
    <row r="813" spans="1:33">
      <c r="A813" s="21" t="s">
        <v>184</v>
      </c>
      <c r="B813" s="21" t="s">
        <v>520</v>
      </c>
      <c r="C813" s="25">
        <v>46099.458333333336</v>
      </c>
      <c r="D813" s="21" t="s">
        <v>131</v>
      </c>
      <c r="E813" s="24">
        <v>4.38</v>
      </c>
      <c r="F813" s="24">
        <v>5.8</v>
      </c>
      <c r="G813" s="24">
        <f>E813-F813</f>
        <v>-1.42</v>
      </c>
      <c r="H813" s="21" t="s">
        <v>294</v>
      </c>
      <c r="I813" s="21">
        <v>0</v>
      </c>
      <c r="J813" s="21">
        <v>5</v>
      </c>
      <c r="K813" s="21">
        <v>7</v>
      </c>
      <c r="L813" s="21">
        <v>0</v>
      </c>
      <c r="M813" s="21">
        <v>6</v>
      </c>
      <c r="P813" s="24">
        <f>J813+L813+N813</f>
        <v>5</v>
      </c>
      <c r="Q813" s="24">
        <f>K813+M813+O813</f>
        <v>13</v>
      </c>
      <c r="R813" s="24">
        <v>0.27777777777777779</v>
      </c>
      <c r="S813" s="21" t="s">
        <v>231</v>
      </c>
      <c r="U813" s="21" t="s">
        <v>287</v>
      </c>
      <c r="V813" s="21" t="s">
        <v>286</v>
      </c>
      <c r="W813" s="21">
        <v>1</v>
      </c>
      <c r="X813" s="21" t="s">
        <v>323</v>
      </c>
      <c r="Y813" s="21" t="s">
        <v>326</v>
      </c>
      <c r="Z813" s="21" t="s">
        <v>325</v>
      </c>
      <c r="AA813" s="21" t="s">
        <v>184</v>
      </c>
      <c r="AB813" s="21">
        <v>1</v>
      </c>
      <c r="AD813" s="24">
        <v>4.96</v>
      </c>
      <c r="AE813" s="24">
        <v>5.95</v>
      </c>
      <c r="AF813" s="21" t="s">
        <v>304</v>
      </c>
      <c r="AG813" s="21" t="s">
        <v>341</v>
      </c>
    </row>
    <row r="814" spans="1:33">
      <c r="A814" s="21" t="s">
        <v>184</v>
      </c>
      <c r="B814" s="21" t="s">
        <v>520</v>
      </c>
      <c r="C814" s="25">
        <v>46111.458333333336</v>
      </c>
      <c r="D814" s="21" t="s">
        <v>107</v>
      </c>
      <c r="E814" s="24">
        <v>4.38</v>
      </c>
      <c r="F814" s="24">
        <v>5.7</v>
      </c>
      <c r="G814" s="24">
        <f>E814-F814</f>
        <v>-1.3200000000000003</v>
      </c>
      <c r="H814" s="21" t="s">
        <v>294</v>
      </c>
      <c r="I814" s="21">
        <v>0</v>
      </c>
      <c r="J814" s="21">
        <v>1</v>
      </c>
      <c r="K814" s="21">
        <v>6</v>
      </c>
      <c r="L814" s="21">
        <v>2</v>
      </c>
      <c r="M814" s="21">
        <v>6</v>
      </c>
      <c r="P814" s="24">
        <f>J814+L814+N814</f>
        <v>3</v>
      </c>
      <c r="Q814" s="24">
        <f>K814+M814+O814</f>
        <v>12</v>
      </c>
      <c r="R814" s="24">
        <v>0.2</v>
      </c>
      <c r="S814" s="21" t="s">
        <v>185</v>
      </c>
      <c r="U814" s="21" t="s">
        <v>287</v>
      </c>
      <c r="V814" s="21" t="s">
        <v>286</v>
      </c>
      <c r="W814" s="21">
        <v>2</v>
      </c>
      <c r="X814" s="21" t="s">
        <v>310</v>
      </c>
      <c r="Y814" s="21" t="s">
        <v>326</v>
      </c>
      <c r="Z814" s="21" t="s">
        <v>325</v>
      </c>
      <c r="AA814" s="21" t="s">
        <v>184</v>
      </c>
      <c r="AB814" s="21">
        <v>1</v>
      </c>
      <c r="AD814" s="24">
        <v>4.96</v>
      </c>
      <c r="AE814" s="24">
        <v>6</v>
      </c>
      <c r="AF814" s="21" t="s">
        <v>304</v>
      </c>
      <c r="AG814" s="21" t="s">
        <v>303</v>
      </c>
    </row>
    <row r="815" spans="1:33">
      <c r="A815" s="21" t="s">
        <v>184</v>
      </c>
      <c r="B815" s="21" t="s">
        <v>520</v>
      </c>
      <c r="C815" s="25">
        <v>46112.645833333336</v>
      </c>
      <c r="D815" s="21" t="s">
        <v>309</v>
      </c>
      <c r="E815" s="24">
        <v>4.38</v>
      </c>
      <c r="F815" s="24">
        <v>4.22</v>
      </c>
      <c r="G815" s="24">
        <f>E815-F815</f>
        <v>0.16000000000000014</v>
      </c>
      <c r="H815" s="21" t="s">
        <v>289</v>
      </c>
      <c r="I815" s="21">
        <v>1</v>
      </c>
      <c r="J815" s="21">
        <v>6</v>
      </c>
      <c r="K815" s="21">
        <v>0</v>
      </c>
      <c r="L815" s="21">
        <v>6</v>
      </c>
      <c r="M815" s="21">
        <v>1</v>
      </c>
      <c r="P815" s="24">
        <f>J815+L815+N815</f>
        <v>12</v>
      </c>
      <c r="Q815" s="24">
        <f>K815+M815+O815</f>
        <v>1</v>
      </c>
      <c r="R815" s="24">
        <v>0.92307692307692313</v>
      </c>
      <c r="S815" s="21" t="s">
        <v>523</v>
      </c>
      <c r="U815" s="21" t="s">
        <v>287</v>
      </c>
      <c r="V815" s="21" t="s">
        <v>286</v>
      </c>
      <c r="W815" s="21">
        <v>3</v>
      </c>
      <c r="X815" s="21" t="s">
        <v>285</v>
      </c>
      <c r="Y815" s="21" t="s">
        <v>326</v>
      </c>
      <c r="Z815" s="21" t="s">
        <v>325</v>
      </c>
      <c r="AA815" s="21" t="s">
        <v>184</v>
      </c>
      <c r="AB815" s="21">
        <v>1</v>
      </c>
      <c r="AD815" s="24">
        <v>4.96</v>
      </c>
      <c r="AE815" s="24">
        <v>4.22</v>
      </c>
      <c r="AF815" s="21" t="s">
        <v>302</v>
      </c>
      <c r="AG815" s="21" t="s">
        <v>301</v>
      </c>
    </row>
    <row r="816" spans="1:33">
      <c r="A816" s="21" t="s">
        <v>184</v>
      </c>
      <c r="B816" s="21" t="s">
        <v>520</v>
      </c>
      <c r="C816" s="25">
        <v>46122.645833333336</v>
      </c>
      <c r="D816" s="21" t="s">
        <v>522</v>
      </c>
      <c r="E816" s="24">
        <v>4.38</v>
      </c>
      <c r="F816" s="24">
        <v>4.29</v>
      </c>
      <c r="G816" s="24">
        <f>E816-F816</f>
        <v>8.9999999999999858E-2</v>
      </c>
      <c r="H816" s="21" t="s">
        <v>289</v>
      </c>
      <c r="I816" s="21">
        <v>1</v>
      </c>
      <c r="J816" s="21">
        <v>7</v>
      </c>
      <c r="K816" s="21">
        <v>5</v>
      </c>
      <c r="L816" s="21">
        <v>4</v>
      </c>
      <c r="M816" s="21">
        <v>6</v>
      </c>
      <c r="N816" s="21">
        <v>6</v>
      </c>
      <c r="O816" s="21">
        <v>2</v>
      </c>
      <c r="P816" s="24">
        <f>J816+L816+N816</f>
        <v>17</v>
      </c>
      <c r="Q816" s="24">
        <f>K816+M816+O816</f>
        <v>13</v>
      </c>
      <c r="R816" s="24">
        <v>0.56666666666666665</v>
      </c>
      <c r="S816" s="21" t="s">
        <v>521</v>
      </c>
      <c r="U816" s="21" t="s">
        <v>287</v>
      </c>
      <c r="V816" s="21" t="s">
        <v>286</v>
      </c>
      <c r="W816" s="21">
        <v>4</v>
      </c>
      <c r="X816" s="21" t="s">
        <v>285</v>
      </c>
      <c r="Y816" s="21" t="s">
        <v>326</v>
      </c>
      <c r="Z816" s="21" t="s">
        <v>325</v>
      </c>
      <c r="AA816" s="21" t="s">
        <v>184</v>
      </c>
      <c r="AB816" s="21">
        <v>1</v>
      </c>
      <c r="AD816" s="24">
        <v>4.96</v>
      </c>
      <c r="AE816" s="24">
        <v>4.29</v>
      </c>
      <c r="AF816" s="21" t="s">
        <v>322</v>
      </c>
      <c r="AG816" s="21" t="s">
        <v>301</v>
      </c>
    </row>
    <row r="817" spans="1:33">
      <c r="A817" s="21" t="s">
        <v>184</v>
      </c>
      <c r="B817" s="21" t="s">
        <v>520</v>
      </c>
      <c r="C817" s="25">
        <v>46125.645833333336</v>
      </c>
      <c r="D817" s="21" t="s">
        <v>519</v>
      </c>
      <c r="E817" s="24">
        <v>4.38</v>
      </c>
      <c r="F817" s="24">
        <v>5.91</v>
      </c>
      <c r="G817" s="24">
        <f>E817-F817</f>
        <v>-1.5300000000000002</v>
      </c>
      <c r="H817" s="21" t="s">
        <v>294</v>
      </c>
      <c r="I817" s="21">
        <v>0</v>
      </c>
      <c r="J817" s="21">
        <v>1</v>
      </c>
      <c r="K817" s="21">
        <v>6</v>
      </c>
      <c r="L817" s="21">
        <v>3</v>
      </c>
      <c r="M817" s="21">
        <v>6</v>
      </c>
      <c r="P817" s="24">
        <f>J817+L817+N817</f>
        <v>4</v>
      </c>
      <c r="Q817" s="24">
        <f>K817+M817+O817</f>
        <v>12</v>
      </c>
      <c r="R817" s="24">
        <v>0.25</v>
      </c>
      <c r="S817" s="21" t="s">
        <v>518</v>
      </c>
      <c r="U817" s="21" t="s">
        <v>287</v>
      </c>
      <c r="V817" s="21" t="s">
        <v>286</v>
      </c>
      <c r="W817" s="21">
        <v>5</v>
      </c>
      <c r="X817" s="21" t="s">
        <v>285</v>
      </c>
      <c r="Y817" s="21" t="s">
        <v>326</v>
      </c>
      <c r="Z817" s="21" t="s">
        <v>325</v>
      </c>
      <c r="AA817" s="21" t="s">
        <v>184</v>
      </c>
      <c r="AB817" s="21">
        <v>1</v>
      </c>
      <c r="AD817" s="24">
        <v>4.96</v>
      </c>
      <c r="AE817" s="24">
        <v>5.91</v>
      </c>
      <c r="AF817" s="21" t="s">
        <v>304</v>
      </c>
      <c r="AG817" s="21" t="s">
        <v>303</v>
      </c>
    </row>
    <row r="818" spans="1:33">
      <c r="A818" s="21" t="s">
        <v>121</v>
      </c>
      <c r="B818" s="21" t="s">
        <v>515</v>
      </c>
      <c r="C818" s="25">
        <v>46098.625</v>
      </c>
      <c r="D818" s="21" t="s">
        <v>67</v>
      </c>
      <c r="E818" s="24">
        <v>6.37</v>
      </c>
      <c r="F818" s="24">
        <v>6.05</v>
      </c>
      <c r="G818" s="24">
        <f>E818-F818</f>
        <v>0.32000000000000028</v>
      </c>
      <c r="H818" s="21" t="s">
        <v>294</v>
      </c>
      <c r="I818" s="21">
        <v>0</v>
      </c>
      <c r="J818" s="21">
        <v>6</v>
      </c>
      <c r="K818" s="21">
        <v>1</v>
      </c>
      <c r="L818" s="21">
        <v>2</v>
      </c>
      <c r="M818" s="21">
        <v>6</v>
      </c>
      <c r="N818" s="21">
        <v>4</v>
      </c>
      <c r="O818" s="21">
        <v>6</v>
      </c>
      <c r="P818" s="24">
        <f>J818+L818+N818</f>
        <v>12</v>
      </c>
      <c r="Q818" s="24">
        <f>K818+M818+O818</f>
        <v>13</v>
      </c>
      <c r="R818" s="24">
        <v>0.48</v>
      </c>
      <c r="S818" s="21" t="s">
        <v>324</v>
      </c>
      <c r="U818" s="21" t="s">
        <v>287</v>
      </c>
      <c r="V818" s="21" t="s">
        <v>286</v>
      </c>
      <c r="W818" s="21">
        <v>0</v>
      </c>
      <c r="X818" s="21" t="s">
        <v>312</v>
      </c>
      <c r="Y818" s="21" t="s">
        <v>318</v>
      </c>
      <c r="Z818" s="21" t="s">
        <v>317</v>
      </c>
      <c r="AA818" s="21" t="s">
        <v>121</v>
      </c>
      <c r="AB818" s="21">
        <v>1</v>
      </c>
      <c r="AD818" s="24">
        <v>6.03</v>
      </c>
      <c r="AE818" s="24">
        <v>7.1</v>
      </c>
      <c r="AF818" s="21" t="s">
        <v>304</v>
      </c>
      <c r="AG818" s="21" t="s">
        <v>303</v>
      </c>
    </row>
    <row r="819" spans="1:33">
      <c r="A819" s="21" t="s">
        <v>121</v>
      </c>
      <c r="B819" s="21" t="s">
        <v>515</v>
      </c>
      <c r="C819" s="25">
        <v>46099.645833333336</v>
      </c>
      <c r="D819" s="21" t="s">
        <v>5</v>
      </c>
      <c r="E819" s="24">
        <v>6.37</v>
      </c>
      <c r="F819" s="24">
        <v>8.92</v>
      </c>
      <c r="G819" s="24">
        <f>E819-F819</f>
        <v>-2.5499999999999998</v>
      </c>
      <c r="H819" s="21" t="s">
        <v>294</v>
      </c>
      <c r="I819" s="21">
        <v>0</v>
      </c>
      <c r="J819" s="21">
        <v>1</v>
      </c>
      <c r="K819" s="21">
        <v>6</v>
      </c>
      <c r="L819" s="21">
        <v>3</v>
      </c>
      <c r="M819" s="21">
        <v>6</v>
      </c>
      <c r="P819" s="24">
        <f>J819+L819+N819</f>
        <v>4</v>
      </c>
      <c r="Q819" s="24">
        <f>K819+M819+O819</f>
        <v>12</v>
      </c>
      <c r="R819" s="24">
        <v>0.25</v>
      </c>
      <c r="S819" s="21" t="s">
        <v>444</v>
      </c>
      <c r="U819" s="21" t="s">
        <v>287</v>
      </c>
      <c r="V819" s="21" t="s">
        <v>286</v>
      </c>
      <c r="W819" s="21">
        <v>1</v>
      </c>
      <c r="X819" s="21" t="s">
        <v>323</v>
      </c>
      <c r="Y819" s="21" t="s">
        <v>318</v>
      </c>
      <c r="Z819" s="21" t="s">
        <v>317</v>
      </c>
      <c r="AA819" s="21" t="s">
        <v>121</v>
      </c>
      <c r="AB819" s="21">
        <v>1</v>
      </c>
      <c r="AD819" s="24">
        <v>6.03</v>
      </c>
      <c r="AE819" s="24">
        <v>8.08</v>
      </c>
      <c r="AF819" s="21" t="s">
        <v>304</v>
      </c>
      <c r="AG819" s="21" t="s">
        <v>303</v>
      </c>
    </row>
    <row r="820" spans="1:33">
      <c r="A820" s="21" t="s">
        <v>121</v>
      </c>
      <c r="B820" s="21" t="s">
        <v>515</v>
      </c>
      <c r="C820" s="25">
        <v>46105.645833333336</v>
      </c>
      <c r="D820" s="21" t="s">
        <v>90</v>
      </c>
      <c r="E820" s="24">
        <v>6.37</v>
      </c>
      <c r="F820" s="24">
        <v>5.82</v>
      </c>
      <c r="G820" s="24">
        <f>E820-F820</f>
        <v>0.54999999999999982</v>
      </c>
      <c r="H820" s="21" t="s">
        <v>294</v>
      </c>
      <c r="I820" s="21">
        <v>0</v>
      </c>
      <c r="J820" s="21">
        <v>0</v>
      </c>
      <c r="K820" s="21">
        <v>6</v>
      </c>
      <c r="L820" s="21">
        <v>6</v>
      </c>
      <c r="M820" s="21">
        <v>4</v>
      </c>
      <c r="N820" s="21">
        <v>6</v>
      </c>
      <c r="O820" s="21">
        <v>7</v>
      </c>
      <c r="P820" s="24">
        <f>J820+L820+N820</f>
        <v>12</v>
      </c>
      <c r="Q820" s="24">
        <f>K820+M820+O820</f>
        <v>17</v>
      </c>
      <c r="R820" s="24">
        <v>0.45061728395061729</v>
      </c>
      <c r="S820" s="21" t="s">
        <v>213</v>
      </c>
      <c r="U820" s="21" t="s">
        <v>287</v>
      </c>
      <c r="V820" s="21" t="s">
        <v>286</v>
      </c>
      <c r="W820" s="21">
        <v>2</v>
      </c>
      <c r="X820" s="21" t="s">
        <v>310</v>
      </c>
      <c r="Y820" s="21" t="s">
        <v>318</v>
      </c>
      <c r="Z820" s="21" t="s">
        <v>317</v>
      </c>
      <c r="AA820" s="21" t="s">
        <v>121</v>
      </c>
      <c r="AB820" s="21">
        <v>1</v>
      </c>
      <c r="AD820" s="24">
        <v>6.03</v>
      </c>
      <c r="AE820" s="24">
        <v>6.34</v>
      </c>
      <c r="AF820" s="21" t="s">
        <v>304</v>
      </c>
      <c r="AG820" s="21" t="s">
        <v>303</v>
      </c>
    </row>
    <row r="821" spans="1:33">
      <c r="A821" s="21" t="s">
        <v>121</v>
      </c>
      <c r="B821" s="21" t="s">
        <v>515</v>
      </c>
      <c r="C821" s="25">
        <v>46106.645833333336</v>
      </c>
      <c r="D821" s="21" t="s">
        <v>206</v>
      </c>
      <c r="E821" s="24">
        <v>6.37</v>
      </c>
      <c r="F821" s="24">
        <v>5.96</v>
      </c>
      <c r="G821" s="24">
        <f>E821-F821</f>
        <v>0.41000000000000014</v>
      </c>
      <c r="H821" s="21" t="s">
        <v>289</v>
      </c>
      <c r="I821" s="21">
        <v>1</v>
      </c>
      <c r="J821" s="21">
        <v>3</v>
      </c>
      <c r="K821" s="21">
        <v>6</v>
      </c>
      <c r="L821" s="21">
        <v>6</v>
      </c>
      <c r="M821" s="21">
        <v>3</v>
      </c>
      <c r="N821" s="21">
        <v>7</v>
      </c>
      <c r="O821" s="21">
        <v>6</v>
      </c>
      <c r="P821" s="24">
        <f>J821+L821+N821</f>
        <v>16</v>
      </c>
      <c r="Q821" s="24">
        <f>K821+M821+O821</f>
        <v>15</v>
      </c>
      <c r="R821" s="24">
        <v>0.53749999999999998</v>
      </c>
      <c r="S821" s="21" t="s">
        <v>207</v>
      </c>
      <c r="U821" s="21" t="s">
        <v>287</v>
      </c>
      <c r="V821" s="21" t="s">
        <v>286</v>
      </c>
      <c r="W821" s="21">
        <v>3</v>
      </c>
      <c r="X821" s="21" t="s">
        <v>285</v>
      </c>
      <c r="Y821" s="21" t="s">
        <v>318</v>
      </c>
      <c r="Z821" s="21" t="s">
        <v>317</v>
      </c>
      <c r="AA821" s="21" t="s">
        <v>121</v>
      </c>
      <c r="AB821" s="21">
        <v>1</v>
      </c>
      <c r="AD821" s="24">
        <v>6.03</v>
      </c>
      <c r="AE821" s="24">
        <v>5.62</v>
      </c>
      <c r="AF821" s="21" t="s">
        <v>304</v>
      </c>
      <c r="AG821" s="21" t="s">
        <v>303</v>
      </c>
    </row>
    <row r="822" spans="1:33">
      <c r="A822" s="21" t="s">
        <v>121</v>
      </c>
      <c r="B822" s="21" t="s">
        <v>515</v>
      </c>
      <c r="C822" s="25">
        <v>46108.645833333336</v>
      </c>
      <c r="D822" s="21" t="s">
        <v>103</v>
      </c>
      <c r="E822" s="24">
        <v>6.37</v>
      </c>
      <c r="F822" s="24">
        <v>7.11</v>
      </c>
      <c r="G822" s="24">
        <f>E822-F822</f>
        <v>-0.74000000000000021</v>
      </c>
      <c r="H822" s="21" t="s">
        <v>294</v>
      </c>
      <c r="I822" s="21">
        <v>0</v>
      </c>
      <c r="J822" s="21">
        <v>1</v>
      </c>
      <c r="K822" s="21">
        <v>6</v>
      </c>
      <c r="L822" s="21">
        <v>0</v>
      </c>
      <c r="M822" s="21">
        <v>6</v>
      </c>
      <c r="P822" s="24">
        <f>J822+L822+N822</f>
        <v>1</v>
      </c>
      <c r="Q822" s="24">
        <f>K822+M822+O822</f>
        <v>12</v>
      </c>
      <c r="R822" s="24">
        <v>7.6923076923076927E-2</v>
      </c>
      <c r="S822" s="21" t="s">
        <v>190</v>
      </c>
      <c r="U822" s="21" t="s">
        <v>287</v>
      </c>
      <c r="V822" s="21" t="s">
        <v>286</v>
      </c>
      <c r="W822" s="21">
        <v>4</v>
      </c>
      <c r="X822" s="21" t="s">
        <v>285</v>
      </c>
      <c r="Y822" s="21" t="s">
        <v>318</v>
      </c>
      <c r="Z822" s="21" t="s">
        <v>317</v>
      </c>
      <c r="AA822" s="21" t="s">
        <v>121</v>
      </c>
      <c r="AB822" s="21">
        <v>1</v>
      </c>
      <c r="AD822" s="24">
        <v>6.03</v>
      </c>
      <c r="AE822" s="24">
        <v>7.14</v>
      </c>
      <c r="AF822" s="21" t="s">
        <v>302</v>
      </c>
      <c r="AG822" s="21" t="s">
        <v>301</v>
      </c>
    </row>
    <row r="823" spans="1:33">
      <c r="A823" s="21" t="s">
        <v>121</v>
      </c>
      <c r="B823" s="21" t="s">
        <v>515</v>
      </c>
      <c r="C823" s="25">
        <v>46111.645833333336</v>
      </c>
      <c r="D823" s="21" t="s">
        <v>492</v>
      </c>
      <c r="E823" s="24">
        <v>6.37</v>
      </c>
      <c r="F823" s="24">
        <v>3.57</v>
      </c>
      <c r="G823" s="24">
        <f>E823-F823</f>
        <v>2.8000000000000003</v>
      </c>
      <c r="H823" s="21" t="s">
        <v>289</v>
      </c>
      <c r="I823" s="21">
        <v>1</v>
      </c>
      <c r="J823" s="21">
        <v>6</v>
      </c>
      <c r="K823" s="21">
        <v>0</v>
      </c>
      <c r="L823" s="21">
        <v>6</v>
      </c>
      <c r="M823" s="21">
        <v>0</v>
      </c>
      <c r="P823" s="24">
        <f>J823+L823+N823</f>
        <v>12</v>
      </c>
      <c r="Q823" s="24">
        <f>K823+M823+O823</f>
        <v>0</v>
      </c>
      <c r="R823" s="24">
        <v>1</v>
      </c>
      <c r="S823" s="21" t="s">
        <v>517</v>
      </c>
      <c r="U823" s="21" t="s">
        <v>287</v>
      </c>
      <c r="V823" s="21" t="s">
        <v>286</v>
      </c>
      <c r="W823" s="21">
        <v>5</v>
      </c>
      <c r="X823" s="21" t="s">
        <v>285</v>
      </c>
      <c r="Y823" s="21" t="s">
        <v>318</v>
      </c>
      <c r="Z823" s="21" t="s">
        <v>317</v>
      </c>
      <c r="AA823" s="21" t="s">
        <v>121</v>
      </c>
      <c r="AB823" s="21">
        <v>1</v>
      </c>
      <c r="AD823" s="24">
        <v>6.03</v>
      </c>
      <c r="AE823" s="24">
        <v>3.69</v>
      </c>
      <c r="AF823" s="21" t="s">
        <v>304</v>
      </c>
      <c r="AG823" s="21" t="s">
        <v>303</v>
      </c>
    </row>
    <row r="824" spans="1:33">
      <c r="A824" s="21" t="s">
        <v>121</v>
      </c>
      <c r="B824" s="21" t="s">
        <v>515</v>
      </c>
      <c r="C824" s="25">
        <v>46113.645833333336</v>
      </c>
      <c r="D824" s="21" t="s">
        <v>110</v>
      </c>
      <c r="E824" s="24">
        <v>6.26</v>
      </c>
      <c r="F824" s="24">
        <v>6.88</v>
      </c>
      <c r="G824" s="24">
        <f>E824-F824</f>
        <v>-0.62000000000000011</v>
      </c>
      <c r="H824" s="21" t="s">
        <v>294</v>
      </c>
      <c r="I824" s="21">
        <v>0</v>
      </c>
      <c r="J824" s="21">
        <v>0</v>
      </c>
      <c r="K824" s="21">
        <v>6</v>
      </c>
      <c r="L824" s="21">
        <v>5</v>
      </c>
      <c r="M824" s="21">
        <v>7</v>
      </c>
      <c r="P824" s="24">
        <f>J824+L824+N824</f>
        <v>5</v>
      </c>
      <c r="Q824" s="24">
        <f>K824+M824+O824</f>
        <v>13</v>
      </c>
      <c r="R824" s="24">
        <v>0.27777777777777779</v>
      </c>
      <c r="S824" s="21" t="s">
        <v>174</v>
      </c>
      <c r="U824" s="21" t="s">
        <v>287</v>
      </c>
      <c r="V824" s="21" t="s">
        <v>286</v>
      </c>
      <c r="W824" s="21">
        <v>6</v>
      </c>
      <c r="X824" s="21" t="s">
        <v>285</v>
      </c>
      <c r="Y824" s="21" t="s">
        <v>318</v>
      </c>
      <c r="Z824" s="21" t="s">
        <v>317</v>
      </c>
      <c r="AA824" s="21" t="s">
        <v>121</v>
      </c>
      <c r="AB824" s="21">
        <v>1</v>
      </c>
      <c r="AD824" s="24">
        <v>6.03</v>
      </c>
      <c r="AE824" s="24">
        <v>6.98</v>
      </c>
      <c r="AF824" s="21" t="s">
        <v>304</v>
      </c>
      <c r="AG824" s="21" t="s">
        <v>303</v>
      </c>
    </row>
    <row r="825" spans="1:33">
      <c r="A825" s="21" t="s">
        <v>121</v>
      </c>
      <c r="B825" s="21" t="s">
        <v>515</v>
      </c>
      <c r="C825" s="25">
        <v>46119.645833333336</v>
      </c>
      <c r="D825" s="21" t="s">
        <v>516</v>
      </c>
      <c r="E825" s="24">
        <v>6.09</v>
      </c>
      <c r="F825" s="24">
        <v>5.0999999999999996</v>
      </c>
      <c r="G825" s="24">
        <f>E825-F825</f>
        <v>0.99000000000000021</v>
      </c>
      <c r="H825" s="21" t="s">
        <v>289</v>
      </c>
      <c r="I825" s="21">
        <v>1</v>
      </c>
      <c r="J825" s="21">
        <v>6</v>
      </c>
      <c r="K825" s="21">
        <v>1</v>
      </c>
      <c r="L825" s="21">
        <v>6</v>
      </c>
      <c r="M825" s="21">
        <v>3</v>
      </c>
      <c r="P825" s="24">
        <f>J825+L825+N825</f>
        <v>12</v>
      </c>
      <c r="Q825" s="24">
        <f>K825+M825+O825</f>
        <v>4</v>
      </c>
      <c r="R825" s="24">
        <v>0.75</v>
      </c>
      <c r="S825" s="21" t="s">
        <v>161</v>
      </c>
      <c r="U825" s="21" t="s">
        <v>287</v>
      </c>
      <c r="V825" s="21" t="s">
        <v>286</v>
      </c>
      <c r="W825" s="21">
        <v>7</v>
      </c>
      <c r="X825" s="21" t="s">
        <v>285</v>
      </c>
      <c r="Y825" s="21" t="s">
        <v>318</v>
      </c>
      <c r="Z825" s="21" t="s">
        <v>317</v>
      </c>
      <c r="AA825" s="21" t="s">
        <v>121</v>
      </c>
      <c r="AB825" s="21">
        <v>1</v>
      </c>
      <c r="AD825" s="24">
        <v>6.03</v>
      </c>
      <c r="AE825" s="24">
        <v>5.0999999999999996</v>
      </c>
      <c r="AF825" s="21" t="s">
        <v>304</v>
      </c>
      <c r="AG825" s="21" t="s">
        <v>303</v>
      </c>
    </row>
    <row r="826" spans="1:33">
      <c r="A826" s="21" t="s">
        <v>121</v>
      </c>
      <c r="B826" s="21" t="s">
        <v>515</v>
      </c>
      <c r="C826" s="25">
        <v>46121.645833333336</v>
      </c>
      <c r="D826" s="21" t="s">
        <v>147</v>
      </c>
      <c r="E826" s="24">
        <v>6.09</v>
      </c>
      <c r="F826" s="24">
        <v>4.87</v>
      </c>
      <c r="G826" s="24">
        <f>E826-F826</f>
        <v>1.2199999999999998</v>
      </c>
      <c r="H826" s="21" t="s">
        <v>289</v>
      </c>
      <c r="I826" s="21">
        <v>1</v>
      </c>
      <c r="J826" s="21">
        <v>6</v>
      </c>
      <c r="K826" s="21">
        <v>0</v>
      </c>
      <c r="L826" s="21">
        <v>6</v>
      </c>
      <c r="M826" s="21">
        <v>2</v>
      </c>
      <c r="P826" s="24">
        <f>J826+L826+N826</f>
        <v>12</v>
      </c>
      <c r="Q826" s="24">
        <f>K826+M826+O826</f>
        <v>2</v>
      </c>
      <c r="R826" s="24">
        <v>0.8571428571428571</v>
      </c>
      <c r="S826" s="21" t="s">
        <v>148</v>
      </c>
      <c r="U826" s="21" t="s">
        <v>287</v>
      </c>
      <c r="V826" s="21" t="s">
        <v>286</v>
      </c>
      <c r="W826" s="21">
        <v>8</v>
      </c>
      <c r="X826" s="21" t="s">
        <v>285</v>
      </c>
      <c r="Y826" s="21" t="s">
        <v>318</v>
      </c>
      <c r="Z826" s="21" t="s">
        <v>317</v>
      </c>
      <c r="AA826" s="21" t="s">
        <v>121</v>
      </c>
      <c r="AB826" s="21">
        <v>1</v>
      </c>
      <c r="AD826" s="24">
        <v>6.03</v>
      </c>
      <c r="AE826" s="24">
        <v>5.78</v>
      </c>
      <c r="AF826" s="21" t="s">
        <v>304</v>
      </c>
      <c r="AG826" s="21" t="s">
        <v>303</v>
      </c>
    </row>
    <row r="827" spans="1:33">
      <c r="A827" s="21" t="s">
        <v>121</v>
      </c>
      <c r="B827" s="21" t="s">
        <v>515</v>
      </c>
      <c r="C827" s="25">
        <v>46125.645833333336</v>
      </c>
      <c r="D827" s="21" t="s">
        <v>120</v>
      </c>
      <c r="E827" s="24">
        <v>6.09</v>
      </c>
      <c r="F827" s="24">
        <v>6.44</v>
      </c>
      <c r="G827" s="24">
        <f>E827-F827</f>
        <v>-0.35000000000000053</v>
      </c>
      <c r="H827" s="21" t="s">
        <v>294</v>
      </c>
      <c r="I827" s="21">
        <v>0</v>
      </c>
      <c r="J827" s="21">
        <v>3</v>
      </c>
      <c r="K827" s="21">
        <v>6</v>
      </c>
      <c r="L827" s="21">
        <v>1</v>
      </c>
      <c r="M827" s="21">
        <v>6</v>
      </c>
      <c r="P827" s="24">
        <f>J827+L827+N827</f>
        <v>4</v>
      </c>
      <c r="Q827" s="24">
        <f>K827+M827+O827</f>
        <v>12</v>
      </c>
      <c r="R827" s="24">
        <v>0.25</v>
      </c>
      <c r="S827" s="21" t="s">
        <v>122</v>
      </c>
      <c r="U827" s="21" t="s">
        <v>287</v>
      </c>
      <c r="V827" s="21" t="s">
        <v>286</v>
      </c>
      <c r="W827" s="21">
        <v>9</v>
      </c>
      <c r="X827" s="21" t="s">
        <v>285</v>
      </c>
      <c r="Y827" s="21" t="s">
        <v>318</v>
      </c>
      <c r="Z827" s="21" t="s">
        <v>317</v>
      </c>
      <c r="AA827" s="21" t="s">
        <v>121</v>
      </c>
      <c r="AB827" s="21">
        <v>1</v>
      </c>
      <c r="AD827" s="24">
        <v>6.03</v>
      </c>
      <c r="AE827" s="24">
        <v>6.5</v>
      </c>
      <c r="AF827" s="21" t="s">
        <v>304</v>
      </c>
      <c r="AG827" s="21" t="s">
        <v>303</v>
      </c>
    </row>
    <row r="828" spans="1:33">
      <c r="A828" s="21" t="s">
        <v>121</v>
      </c>
      <c r="B828" s="21" t="s">
        <v>515</v>
      </c>
      <c r="C828" s="25">
        <v>46139.645833333336</v>
      </c>
      <c r="D828" s="21" t="s">
        <v>493</v>
      </c>
      <c r="E828" s="24">
        <v>6.03</v>
      </c>
      <c r="F828" s="24">
        <v>2.99</v>
      </c>
      <c r="G828" s="24">
        <f>E828-F828</f>
        <v>3.04</v>
      </c>
      <c r="H828" s="21" t="s">
        <v>289</v>
      </c>
      <c r="I828" s="21">
        <v>1</v>
      </c>
      <c r="J828" s="21">
        <v>6</v>
      </c>
      <c r="K828" s="21">
        <v>0</v>
      </c>
      <c r="L828" s="21">
        <v>6</v>
      </c>
      <c r="M828" s="21">
        <v>0</v>
      </c>
      <c r="P828" s="24">
        <f>J828+L828+N828</f>
        <v>12</v>
      </c>
      <c r="Q828" s="24">
        <f>K828+M828+O828</f>
        <v>0</v>
      </c>
      <c r="R828" s="24">
        <v>1</v>
      </c>
      <c r="S828" s="21" t="s">
        <v>387</v>
      </c>
      <c r="U828" s="21" t="s">
        <v>287</v>
      </c>
      <c r="V828" s="21" t="s">
        <v>286</v>
      </c>
      <c r="W828" s="21">
        <v>10</v>
      </c>
      <c r="X828" s="21" t="s">
        <v>285</v>
      </c>
      <c r="Y828" s="21" t="s">
        <v>318</v>
      </c>
      <c r="Z828" s="21" t="s">
        <v>317</v>
      </c>
      <c r="AA828" s="21" t="s">
        <v>121</v>
      </c>
      <c r="AB828" s="21">
        <v>1</v>
      </c>
      <c r="AD828" s="24">
        <v>6.03</v>
      </c>
      <c r="AE828" s="24">
        <v>2.99</v>
      </c>
      <c r="AF828" s="21" t="s">
        <v>302</v>
      </c>
      <c r="AG828" s="21" t="s">
        <v>301</v>
      </c>
    </row>
    <row r="829" spans="1:33">
      <c r="A829" s="21" t="s">
        <v>120</v>
      </c>
      <c r="B829" s="21" t="s">
        <v>435</v>
      </c>
      <c r="C829" s="25">
        <v>46069.703472222223</v>
      </c>
      <c r="D829" s="21" t="s">
        <v>514</v>
      </c>
      <c r="E829" s="24">
        <v>6.5</v>
      </c>
      <c r="F829" s="24">
        <v>6.88</v>
      </c>
      <c r="G829" s="24">
        <f>E829-F829</f>
        <v>-0.37999999999999989</v>
      </c>
      <c r="H829" s="21" t="s">
        <v>289</v>
      </c>
      <c r="I829" s="21">
        <v>1</v>
      </c>
      <c r="J829" s="21">
        <v>1</v>
      </c>
      <c r="K829" s="21">
        <v>6</v>
      </c>
      <c r="L829" s="21">
        <v>6</v>
      </c>
      <c r="M829" s="21">
        <v>3</v>
      </c>
      <c r="N829" s="21">
        <v>1</v>
      </c>
      <c r="O829" s="21">
        <v>0</v>
      </c>
      <c r="P829" s="24">
        <f>J829+L829+N829</f>
        <v>8</v>
      </c>
      <c r="Q829" s="24">
        <f>K829+M829+O829</f>
        <v>9</v>
      </c>
      <c r="R829" s="24">
        <v>0.47058823529411764</v>
      </c>
      <c r="S829" s="21" t="s">
        <v>513</v>
      </c>
      <c r="U829" s="21" t="s">
        <v>412</v>
      </c>
      <c r="V829" s="21" t="s">
        <v>286</v>
      </c>
      <c r="W829" s="21">
        <v>0</v>
      </c>
      <c r="X829" s="21" t="s">
        <v>312</v>
      </c>
      <c r="Y829" s="21" t="s">
        <v>318</v>
      </c>
      <c r="Z829" s="21" t="s">
        <v>317</v>
      </c>
      <c r="AA829" s="21" t="s">
        <v>120</v>
      </c>
      <c r="AB829" s="21">
        <v>1</v>
      </c>
      <c r="AD829" s="24">
        <v>6.5</v>
      </c>
      <c r="AE829" s="24">
        <v>6.88</v>
      </c>
      <c r="AF829" s="21" t="s">
        <v>304</v>
      </c>
      <c r="AG829" s="21" t="s">
        <v>303</v>
      </c>
    </row>
    <row r="830" spans="1:33">
      <c r="A830" s="21" t="s">
        <v>120</v>
      </c>
      <c r="B830" s="21" t="s">
        <v>435</v>
      </c>
      <c r="C830" s="25">
        <v>46091.645833333336</v>
      </c>
      <c r="D830" s="21" t="s">
        <v>504</v>
      </c>
      <c r="E830" s="24">
        <v>6.94</v>
      </c>
      <c r="F830" s="24">
        <v>3.6</v>
      </c>
      <c r="G830" s="24">
        <f>E830-F830</f>
        <v>3.3400000000000003</v>
      </c>
      <c r="H830" s="21" t="s">
        <v>289</v>
      </c>
      <c r="I830" s="21">
        <v>1</v>
      </c>
      <c r="J830" s="21">
        <v>6</v>
      </c>
      <c r="K830" s="21">
        <v>1</v>
      </c>
      <c r="L830" s="21">
        <v>6</v>
      </c>
      <c r="M830" s="21">
        <v>0</v>
      </c>
      <c r="P830" s="24">
        <f>J830+L830+N830</f>
        <v>12</v>
      </c>
      <c r="Q830" s="24">
        <f>K830+M830+O830</f>
        <v>1</v>
      </c>
      <c r="R830" s="24">
        <v>0.92307692307692313</v>
      </c>
      <c r="S830" s="21" t="s">
        <v>437</v>
      </c>
      <c r="U830" s="21" t="s">
        <v>287</v>
      </c>
      <c r="V830" s="21" t="s">
        <v>286</v>
      </c>
      <c r="W830" s="21">
        <v>1</v>
      </c>
      <c r="X830" s="21" t="s">
        <v>323</v>
      </c>
      <c r="Y830" s="21" t="s">
        <v>318</v>
      </c>
      <c r="Z830" s="21" t="s">
        <v>317</v>
      </c>
      <c r="AA830" s="21" t="s">
        <v>120</v>
      </c>
      <c r="AB830" s="21">
        <v>1</v>
      </c>
      <c r="AD830" s="24">
        <v>6.5</v>
      </c>
      <c r="AE830" s="24">
        <v>3.58</v>
      </c>
      <c r="AF830" s="21" t="s">
        <v>304</v>
      </c>
      <c r="AG830" s="21" t="s">
        <v>303</v>
      </c>
    </row>
    <row r="831" spans="1:33">
      <c r="A831" s="21" t="s">
        <v>120</v>
      </c>
      <c r="B831" s="21" t="s">
        <v>435</v>
      </c>
      <c r="C831" s="25">
        <v>46105.625</v>
      </c>
      <c r="D831" s="21" t="s">
        <v>103</v>
      </c>
      <c r="E831" s="24">
        <v>6.99</v>
      </c>
      <c r="F831" s="24">
        <v>7.11</v>
      </c>
      <c r="G831" s="24">
        <f>E831-F831</f>
        <v>-0.12000000000000011</v>
      </c>
      <c r="H831" s="21" t="s">
        <v>294</v>
      </c>
      <c r="I831" s="21">
        <v>0</v>
      </c>
      <c r="J831" s="21">
        <v>1</v>
      </c>
      <c r="K831" s="21">
        <v>6</v>
      </c>
      <c r="L831" s="21">
        <v>3</v>
      </c>
      <c r="M831" s="21">
        <v>6</v>
      </c>
      <c r="P831" s="24">
        <f>J831+L831+N831</f>
        <v>4</v>
      </c>
      <c r="Q831" s="24">
        <f>K831+M831+O831</f>
        <v>12</v>
      </c>
      <c r="R831" s="24">
        <v>0.25</v>
      </c>
      <c r="S831" s="21" t="s">
        <v>215</v>
      </c>
      <c r="U831" s="21" t="s">
        <v>412</v>
      </c>
      <c r="V831" s="21" t="s">
        <v>286</v>
      </c>
      <c r="W831" s="21">
        <v>2</v>
      </c>
      <c r="X831" s="21" t="s">
        <v>310</v>
      </c>
      <c r="Y831" s="21" t="s">
        <v>318</v>
      </c>
      <c r="Z831" s="21" t="s">
        <v>317</v>
      </c>
      <c r="AA831" s="21" t="s">
        <v>120</v>
      </c>
      <c r="AB831" s="21">
        <v>1</v>
      </c>
      <c r="AD831" s="24">
        <v>6.5</v>
      </c>
      <c r="AE831" s="24">
        <v>7.14</v>
      </c>
      <c r="AF831" s="21" t="s">
        <v>304</v>
      </c>
      <c r="AG831" s="21" t="s">
        <v>303</v>
      </c>
    </row>
    <row r="832" spans="1:33">
      <c r="A832" s="21" t="s">
        <v>120</v>
      </c>
      <c r="B832" s="21" t="s">
        <v>435</v>
      </c>
      <c r="C832" s="25">
        <v>46106.645833333336</v>
      </c>
      <c r="D832" s="21" t="s">
        <v>110</v>
      </c>
      <c r="E832" s="24">
        <v>6.99</v>
      </c>
      <c r="F832" s="24">
        <v>6.85</v>
      </c>
      <c r="G832" s="24">
        <f>E832-F832</f>
        <v>0.14000000000000057</v>
      </c>
      <c r="H832" s="21" t="s">
        <v>294</v>
      </c>
      <c r="I832" s="21">
        <v>0</v>
      </c>
      <c r="J832" s="21">
        <v>5</v>
      </c>
      <c r="K832" s="21">
        <v>7</v>
      </c>
      <c r="L832" s="21">
        <v>3</v>
      </c>
      <c r="M832" s="21">
        <v>6</v>
      </c>
      <c r="P832" s="24">
        <f>J832+L832+N832</f>
        <v>8</v>
      </c>
      <c r="Q832" s="24">
        <f>K832+M832+O832</f>
        <v>13</v>
      </c>
      <c r="R832" s="24">
        <v>0.38095238095238093</v>
      </c>
      <c r="S832" s="21" t="s">
        <v>211</v>
      </c>
      <c r="U832" s="21" t="s">
        <v>287</v>
      </c>
      <c r="V832" s="21" t="s">
        <v>286</v>
      </c>
      <c r="W832" s="21">
        <v>3</v>
      </c>
      <c r="X832" s="21" t="s">
        <v>285</v>
      </c>
      <c r="Y832" s="21" t="s">
        <v>318</v>
      </c>
      <c r="Z832" s="21" t="s">
        <v>317</v>
      </c>
      <c r="AA832" s="21" t="s">
        <v>120</v>
      </c>
      <c r="AB832" s="21">
        <v>1</v>
      </c>
      <c r="AD832" s="24">
        <v>6.5</v>
      </c>
      <c r="AE832" s="24">
        <v>6.98</v>
      </c>
      <c r="AF832" s="21" t="s">
        <v>302</v>
      </c>
      <c r="AG832" s="21" t="s">
        <v>301</v>
      </c>
    </row>
    <row r="833" spans="1:33">
      <c r="A833" s="21" t="s">
        <v>120</v>
      </c>
      <c r="B833" s="21" t="s">
        <v>435</v>
      </c>
      <c r="C833" s="25">
        <v>46107.645833333336</v>
      </c>
      <c r="D833" s="21" t="s">
        <v>9</v>
      </c>
      <c r="E833" s="24">
        <v>6.99</v>
      </c>
      <c r="F833" s="24">
        <v>7.48</v>
      </c>
      <c r="G833" s="24">
        <f>E833-F833</f>
        <v>-0.49000000000000021</v>
      </c>
      <c r="H833" s="21" t="s">
        <v>294</v>
      </c>
      <c r="I833" s="21">
        <v>0</v>
      </c>
      <c r="J833" s="21">
        <v>1</v>
      </c>
      <c r="K833" s="21">
        <v>6</v>
      </c>
      <c r="L833" s="21">
        <v>0</v>
      </c>
      <c r="M833" s="21">
        <v>6</v>
      </c>
      <c r="P833" s="24">
        <f>J833+L833+N833</f>
        <v>1</v>
      </c>
      <c r="Q833" s="24">
        <f>K833+M833+O833</f>
        <v>12</v>
      </c>
      <c r="R833" s="24">
        <v>7.6923076923076927E-2</v>
      </c>
      <c r="S833" s="21" t="s">
        <v>198</v>
      </c>
      <c r="U833" s="21" t="s">
        <v>287</v>
      </c>
      <c r="V833" s="21" t="s">
        <v>286</v>
      </c>
      <c r="W833" s="21">
        <v>4</v>
      </c>
      <c r="X833" s="21" t="s">
        <v>285</v>
      </c>
      <c r="Y833" s="21" t="s">
        <v>318</v>
      </c>
      <c r="Z833" s="21" t="s">
        <v>317</v>
      </c>
      <c r="AA833" s="21" t="s">
        <v>120</v>
      </c>
      <c r="AB833" s="21">
        <v>1</v>
      </c>
      <c r="AD833" s="24">
        <v>6.5</v>
      </c>
      <c r="AE833" s="24">
        <v>7.82</v>
      </c>
      <c r="AF833" s="21" t="s">
        <v>304</v>
      </c>
      <c r="AG833" s="21" t="s">
        <v>303</v>
      </c>
    </row>
    <row r="834" spans="1:33">
      <c r="A834" s="21" t="s">
        <v>120</v>
      </c>
      <c r="B834" s="21" t="s">
        <v>435</v>
      </c>
      <c r="C834" s="25">
        <v>46125.645833333336</v>
      </c>
      <c r="D834" s="21" t="s">
        <v>121</v>
      </c>
      <c r="E834" s="24">
        <v>6.44</v>
      </c>
      <c r="F834" s="24">
        <v>6.09</v>
      </c>
      <c r="G834" s="24">
        <f>E834-F834</f>
        <v>0.35000000000000053</v>
      </c>
      <c r="H834" s="21" t="s">
        <v>289</v>
      </c>
      <c r="I834" s="21">
        <v>1</v>
      </c>
      <c r="J834" s="21">
        <v>6</v>
      </c>
      <c r="K834" s="21">
        <v>3</v>
      </c>
      <c r="L834" s="21">
        <v>6</v>
      </c>
      <c r="M834" s="21">
        <v>1</v>
      </c>
      <c r="P834" s="24">
        <f>J834+L834+N834</f>
        <v>12</v>
      </c>
      <c r="Q834" s="24">
        <f>K834+M834+O834</f>
        <v>4</v>
      </c>
      <c r="R834" s="24">
        <v>0.75</v>
      </c>
      <c r="S834" s="21" t="s">
        <v>122</v>
      </c>
      <c r="U834" s="21" t="s">
        <v>287</v>
      </c>
      <c r="V834" s="21" t="s">
        <v>286</v>
      </c>
      <c r="W834" s="21">
        <v>5</v>
      </c>
      <c r="X834" s="21" t="s">
        <v>285</v>
      </c>
      <c r="Y834" s="21" t="s">
        <v>318</v>
      </c>
      <c r="Z834" s="21" t="s">
        <v>317</v>
      </c>
      <c r="AA834" s="21" t="s">
        <v>120</v>
      </c>
      <c r="AB834" s="21">
        <v>1</v>
      </c>
      <c r="AD834" s="24">
        <v>6.5</v>
      </c>
      <c r="AE834" s="24">
        <v>6.03</v>
      </c>
      <c r="AF834" s="21" t="s">
        <v>302</v>
      </c>
      <c r="AG834" s="21" t="s">
        <v>301</v>
      </c>
    </row>
    <row r="835" spans="1:33">
      <c r="A835" s="21" t="s">
        <v>247</v>
      </c>
      <c r="B835" s="21" t="s">
        <v>510</v>
      </c>
      <c r="C835" s="25">
        <v>46066</v>
      </c>
      <c r="D835" s="21" t="s">
        <v>512</v>
      </c>
      <c r="E835" s="24">
        <v>5.58</v>
      </c>
      <c r="F835" s="24">
        <v>7.84</v>
      </c>
      <c r="G835" s="24">
        <f>E835-F835</f>
        <v>-2.2599999999999998</v>
      </c>
      <c r="H835" s="21" t="s">
        <v>294</v>
      </c>
      <c r="I835" s="21">
        <v>0</v>
      </c>
      <c r="J835" s="21">
        <v>1</v>
      </c>
      <c r="K835" s="21">
        <v>6</v>
      </c>
      <c r="L835" s="21">
        <v>2</v>
      </c>
      <c r="M835" s="21">
        <v>6</v>
      </c>
      <c r="P835" s="24">
        <f>J835+L835+N835</f>
        <v>3</v>
      </c>
      <c r="Q835" s="24">
        <f>K835+M835+O835</f>
        <v>12</v>
      </c>
      <c r="R835" s="24">
        <v>0.2</v>
      </c>
      <c r="S835" s="21" t="s">
        <v>511</v>
      </c>
      <c r="T835" s="21" t="s">
        <v>298</v>
      </c>
      <c r="U835" s="21" t="s">
        <v>412</v>
      </c>
      <c r="V835" s="21" t="s">
        <v>286</v>
      </c>
      <c r="W835" s="21">
        <v>0</v>
      </c>
      <c r="X835" s="21" t="s">
        <v>312</v>
      </c>
      <c r="Y835" s="21" t="s">
        <v>326</v>
      </c>
      <c r="Z835" s="21" t="s">
        <v>325</v>
      </c>
      <c r="AA835" s="21" t="s">
        <v>247</v>
      </c>
      <c r="AB835" s="21">
        <v>1</v>
      </c>
      <c r="AD835" s="24">
        <v>5.4</v>
      </c>
      <c r="AE835" s="24">
        <v>7.84</v>
      </c>
      <c r="AF835" s="21" t="s">
        <v>304</v>
      </c>
      <c r="AG835" s="21" t="s">
        <v>303</v>
      </c>
    </row>
    <row r="836" spans="1:33">
      <c r="A836" s="21" t="s">
        <v>247</v>
      </c>
      <c r="B836" s="21" t="s">
        <v>510</v>
      </c>
      <c r="C836" s="25">
        <v>46090.645833333336</v>
      </c>
      <c r="D836" s="21" t="s">
        <v>131</v>
      </c>
      <c r="E836" s="24">
        <v>5.72</v>
      </c>
      <c r="F836" s="24">
        <v>5.73</v>
      </c>
      <c r="G836" s="24">
        <f>E836-F836</f>
        <v>-1.0000000000000675E-2</v>
      </c>
      <c r="H836" s="21" t="s">
        <v>294</v>
      </c>
      <c r="I836" s="21">
        <v>0</v>
      </c>
      <c r="J836" s="21">
        <v>3</v>
      </c>
      <c r="K836" s="21">
        <v>6</v>
      </c>
      <c r="L836" s="21">
        <v>4</v>
      </c>
      <c r="M836" s="21">
        <v>6</v>
      </c>
      <c r="P836" s="24">
        <f>J836+L836+N836</f>
        <v>7</v>
      </c>
      <c r="Q836" s="24">
        <f>K836+M836+O836</f>
        <v>12</v>
      </c>
      <c r="R836" s="24">
        <v>0.36842105263157893</v>
      </c>
      <c r="S836" s="21" t="s">
        <v>379</v>
      </c>
      <c r="U836" s="21" t="s">
        <v>287</v>
      </c>
      <c r="V836" s="21" t="s">
        <v>286</v>
      </c>
      <c r="W836" s="21">
        <v>1</v>
      </c>
      <c r="X836" s="21" t="s">
        <v>323</v>
      </c>
      <c r="Y836" s="21" t="s">
        <v>326</v>
      </c>
      <c r="Z836" s="21" t="s">
        <v>325</v>
      </c>
      <c r="AA836" s="21" t="s">
        <v>247</v>
      </c>
      <c r="AB836" s="21">
        <v>1</v>
      </c>
      <c r="AD836" s="24">
        <v>5.4</v>
      </c>
      <c r="AE836" s="24">
        <v>5.95</v>
      </c>
      <c r="AF836" s="21" t="s">
        <v>302</v>
      </c>
      <c r="AG836" s="21" t="s">
        <v>301</v>
      </c>
    </row>
    <row r="837" spans="1:33">
      <c r="A837" s="21" t="s">
        <v>247</v>
      </c>
      <c r="B837" s="21" t="s">
        <v>510</v>
      </c>
      <c r="C837" s="25">
        <v>46094.645833333336</v>
      </c>
      <c r="D837" s="21" t="s">
        <v>206</v>
      </c>
      <c r="E837" s="24">
        <v>5.76</v>
      </c>
      <c r="F837" s="24">
        <v>5.9</v>
      </c>
      <c r="G837" s="24">
        <f>E837-F837</f>
        <v>-0.14000000000000057</v>
      </c>
      <c r="H837" s="21" t="s">
        <v>294</v>
      </c>
      <c r="I837" s="21">
        <v>0</v>
      </c>
      <c r="J837" s="21">
        <v>0</v>
      </c>
      <c r="K837" s="21">
        <v>6</v>
      </c>
      <c r="L837" s="21">
        <v>6</v>
      </c>
      <c r="M837" s="21">
        <v>3</v>
      </c>
      <c r="N837" s="21">
        <v>4</v>
      </c>
      <c r="O837" s="21">
        <v>6</v>
      </c>
      <c r="P837" s="24">
        <f>J837+L837+N837</f>
        <v>10</v>
      </c>
      <c r="Q837" s="24">
        <f>K837+M837+O837</f>
        <v>15</v>
      </c>
      <c r="R837" s="24">
        <v>0.4</v>
      </c>
      <c r="S837" s="21" t="s">
        <v>248</v>
      </c>
      <c r="U837" s="21" t="s">
        <v>287</v>
      </c>
      <c r="V837" s="21" t="s">
        <v>286</v>
      </c>
      <c r="W837" s="21">
        <v>3</v>
      </c>
      <c r="X837" s="21" t="s">
        <v>285</v>
      </c>
      <c r="Y837" s="21" t="s">
        <v>326</v>
      </c>
      <c r="Z837" s="21" t="s">
        <v>325</v>
      </c>
      <c r="AA837" s="21" t="s">
        <v>247</v>
      </c>
      <c r="AB837" s="21">
        <v>1</v>
      </c>
      <c r="AD837" s="24">
        <v>5.4</v>
      </c>
      <c r="AE837" s="24">
        <v>5.62</v>
      </c>
      <c r="AF837" s="21" t="s">
        <v>304</v>
      </c>
      <c r="AG837" s="21" t="s">
        <v>303</v>
      </c>
    </row>
    <row r="838" spans="1:33">
      <c r="A838" s="21" t="s">
        <v>247</v>
      </c>
      <c r="B838" s="21" t="s">
        <v>510</v>
      </c>
      <c r="C838" s="25">
        <v>46098.666666666664</v>
      </c>
      <c r="D838" s="21" t="s">
        <v>1</v>
      </c>
      <c r="E838" s="24">
        <v>5.72</v>
      </c>
      <c r="F838" s="24">
        <v>7.89</v>
      </c>
      <c r="G838" s="24">
        <f>E838-F838</f>
        <v>-2.17</v>
      </c>
      <c r="H838" s="21" t="s">
        <v>294</v>
      </c>
      <c r="I838" s="21">
        <v>0</v>
      </c>
      <c r="J838" s="21">
        <v>1</v>
      </c>
      <c r="K838" s="21">
        <v>6</v>
      </c>
      <c r="L838" s="21">
        <v>5</v>
      </c>
      <c r="M838" s="21">
        <v>7</v>
      </c>
      <c r="P838" s="24">
        <f>J838+L838+N838</f>
        <v>6</v>
      </c>
      <c r="Q838" s="24">
        <f>K838+M838+O838</f>
        <v>13</v>
      </c>
      <c r="R838" s="24">
        <v>0.31578947368421051</v>
      </c>
      <c r="S838" s="21" t="s">
        <v>509</v>
      </c>
      <c r="U838" s="21" t="s">
        <v>287</v>
      </c>
      <c r="V838" s="21" t="s">
        <v>286</v>
      </c>
      <c r="W838" s="21">
        <v>4</v>
      </c>
      <c r="X838" s="21" t="s">
        <v>285</v>
      </c>
      <c r="Y838" s="21" t="s">
        <v>326</v>
      </c>
      <c r="Z838" s="21" t="s">
        <v>325</v>
      </c>
      <c r="AA838" s="21" t="s">
        <v>247</v>
      </c>
      <c r="AB838" s="21">
        <v>1</v>
      </c>
      <c r="AD838" s="24">
        <v>5.4</v>
      </c>
      <c r="AE838" s="24">
        <v>7.98</v>
      </c>
      <c r="AF838" s="21" t="s">
        <v>304</v>
      </c>
      <c r="AG838" s="21" t="s">
        <v>303</v>
      </c>
    </row>
    <row r="839" spans="1:33">
      <c r="A839" s="21" t="s">
        <v>504</v>
      </c>
      <c r="B839" s="21" t="s">
        <v>506</v>
      </c>
      <c r="C839" s="25">
        <v>46091.645833333336</v>
      </c>
      <c r="D839" s="21" t="s">
        <v>120</v>
      </c>
      <c r="E839" s="24">
        <v>3.6</v>
      </c>
      <c r="F839" s="24">
        <v>6.94</v>
      </c>
      <c r="G839" s="24">
        <f>E839-F839</f>
        <v>-3.3400000000000003</v>
      </c>
      <c r="H839" s="21" t="s">
        <v>294</v>
      </c>
      <c r="I839" s="21">
        <v>0</v>
      </c>
      <c r="J839" s="21">
        <v>1</v>
      </c>
      <c r="K839" s="21">
        <v>6</v>
      </c>
      <c r="L839" s="21">
        <v>0</v>
      </c>
      <c r="M839" s="21">
        <v>6</v>
      </c>
      <c r="P839" s="24">
        <f>J839+L839+N839</f>
        <v>1</v>
      </c>
      <c r="Q839" s="24">
        <f>K839+M839+O839</f>
        <v>12</v>
      </c>
      <c r="R839" s="24">
        <v>7.6923076923076927E-2</v>
      </c>
      <c r="S839" s="21" t="s">
        <v>437</v>
      </c>
      <c r="U839" s="21" t="s">
        <v>287</v>
      </c>
      <c r="V839" s="21" t="s">
        <v>286</v>
      </c>
      <c r="W839" s="21">
        <v>0</v>
      </c>
      <c r="X839" s="21" t="s">
        <v>312</v>
      </c>
      <c r="Y839" s="21" t="s">
        <v>326</v>
      </c>
      <c r="Z839" s="21" t="s">
        <v>325</v>
      </c>
      <c r="AA839" s="21" t="s">
        <v>504</v>
      </c>
      <c r="AB839" s="21">
        <v>1</v>
      </c>
      <c r="AD839" s="24">
        <v>3.58</v>
      </c>
      <c r="AE839" s="24">
        <v>6.5</v>
      </c>
      <c r="AF839" s="21" t="s">
        <v>304</v>
      </c>
      <c r="AG839" s="21" t="s">
        <v>303</v>
      </c>
    </row>
    <row r="840" spans="1:33">
      <c r="A840" s="21" t="s">
        <v>504</v>
      </c>
      <c r="B840" s="21" t="s">
        <v>506</v>
      </c>
      <c r="C840" s="25">
        <v>46092.645833333336</v>
      </c>
      <c r="D840" s="21" t="s">
        <v>76</v>
      </c>
      <c r="E840" s="24">
        <v>3.6</v>
      </c>
      <c r="F840" s="24">
        <v>4.45</v>
      </c>
      <c r="G840" s="24">
        <f>E840-F840</f>
        <v>-0.85000000000000009</v>
      </c>
      <c r="H840" s="21" t="s">
        <v>294</v>
      </c>
      <c r="I840" s="21">
        <v>0</v>
      </c>
      <c r="J840" s="21">
        <v>3</v>
      </c>
      <c r="K840" s="21">
        <v>6</v>
      </c>
      <c r="L840" s="21">
        <v>1</v>
      </c>
      <c r="M840" s="21">
        <v>6</v>
      </c>
      <c r="P840" s="24">
        <f>J840+L840+N840</f>
        <v>4</v>
      </c>
      <c r="Q840" s="24">
        <f>K840+M840+O840</f>
        <v>12</v>
      </c>
      <c r="R840" s="24">
        <v>0.25</v>
      </c>
      <c r="S840" s="21" t="s">
        <v>508</v>
      </c>
      <c r="U840" s="21" t="s">
        <v>287</v>
      </c>
      <c r="V840" s="21" t="s">
        <v>286</v>
      </c>
      <c r="W840" s="21">
        <v>1</v>
      </c>
      <c r="X840" s="21" t="s">
        <v>323</v>
      </c>
      <c r="Y840" s="21" t="s">
        <v>326</v>
      </c>
      <c r="Z840" s="21" t="s">
        <v>325</v>
      </c>
      <c r="AA840" s="21" t="s">
        <v>504</v>
      </c>
      <c r="AB840" s="21">
        <v>1</v>
      </c>
      <c r="AD840" s="24">
        <v>3.58</v>
      </c>
      <c r="AE840" s="24">
        <v>4.45</v>
      </c>
      <c r="AF840" s="21" t="s">
        <v>304</v>
      </c>
      <c r="AG840" s="21" t="s">
        <v>303</v>
      </c>
    </row>
    <row r="841" spans="1:33">
      <c r="A841" s="21" t="s">
        <v>504</v>
      </c>
      <c r="B841" s="21" t="s">
        <v>506</v>
      </c>
      <c r="C841" s="25">
        <v>46106.625</v>
      </c>
      <c r="D841" s="21" t="s">
        <v>141</v>
      </c>
      <c r="E841" s="24">
        <v>3.62</v>
      </c>
      <c r="F841" s="24">
        <v>5.65</v>
      </c>
      <c r="G841" s="24">
        <f>E841-F841</f>
        <v>-2.0300000000000002</v>
      </c>
      <c r="H841" s="21" t="s">
        <v>294</v>
      </c>
      <c r="I841" s="21">
        <v>0</v>
      </c>
      <c r="J841" s="21">
        <v>1</v>
      </c>
      <c r="K841" s="21">
        <v>6</v>
      </c>
      <c r="L841" s="21">
        <v>1</v>
      </c>
      <c r="M841" s="21">
        <v>6</v>
      </c>
      <c r="P841" s="24">
        <f>J841+L841+N841</f>
        <v>2</v>
      </c>
      <c r="Q841" s="24">
        <f>K841+M841+O841</f>
        <v>12</v>
      </c>
      <c r="R841" s="24">
        <f>P841/(P841+Q841)</f>
        <v>0.14285714285714285</v>
      </c>
      <c r="S841" s="21" t="s">
        <v>466</v>
      </c>
      <c r="U841" s="21" t="s">
        <v>287</v>
      </c>
      <c r="V841" s="21" t="s">
        <v>286</v>
      </c>
      <c r="W841" s="21">
        <v>2</v>
      </c>
      <c r="X841" s="21" t="s">
        <v>310</v>
      </c>
      <c r="Y841" s="21" t="s">
        <v>326</v>
      </c>
      <c r="Z841" s="21" t="s">
        <v>325</v>
      </c>
      <c r="AA841" s="21" t="s">
        <v>504</v>
      </c>
      <c r="AB841" s="21">
        <v>1</v>
      </c>
      <c r="AD841" s="24">
        <v>3.58</v>
      </c>
      <c r="AE841" s="24">
        <v>5.97</v>
      </c>
      <c r="AF841" s="21" t="s">
        <v>302</v>
      </c>
      <c r="AG841" s="21" t="s">
        <v>301</v>
      </c>
    </row>
    <row r="842" spans="1:33">
      <c r="A842" s="21" t="s">
        <v>504</v>
      </c>
      <c r="B842" s="21" t="s">
        <v>506</v>
      </c>
      <c r="C842" s="25">
        <v>46111.645833333336</v>
      </c>
      <c r="D842" s="21" t="s">
        <v>44</v>
      </c>
      <c r="E842" s="24">
        <v>3.62</v>
      </c>
      <c r="F842" s="24">
        <v>8.6</v>
      </c>
      <c r="G842" s="24">
        <f>E842-F842</f>
        <v>-4.9799999999999995</v>
      </c>
      <c r="H842" s="21" t="s">
        <v>294</v>
      </c>
      <c r="I842" s="21">
        <v>0</v>
      </c>
      <c r="J842" s="21">
        <v>0</v>
      </c>
      <c r="K842" s="21">
        <v>6</v>
      </c>
      <c r="L842" s="21">
        <v>0</v>
      </c>
      <c r="M842" s="21">
        <v>6</v>
      </c>
      <c r="P842" s="24">
        <f>J842+L842+N842</f>
        <v>0</v>
      </c>
      <c r="Q842" s="24">
        <f>K842+M842+O842</f>
        <v>12</v>
      </c>
      <c r="R842" s="24">
        <f>P842/(P842+Q842)</f>
        <v>0</v>
      </c>
      <c r="S842" s="21" t="s">
        <v>339</v>
      </c>
      <c r="U842" s="21" t="s">
        <v>287</v>
      </c>
      <c r="V842" s="21" t="s">
        <v>286</v>
      </c>
      <c r="W842" s="21">
        <v>3</v>
      </c>
      <c r="X842" s="21" t="s">
        <v>285</v>
      </c>
      <c r="Y842" s="21" t="s">
        <v>326</v>
      </c>
      <c r="Z842" s="21" t="s">
        <v>325</v>
      </c>
      <c r="AA842" s="21" t="s">
        <v>504</v>
      </c>
      <c r="AB842" s="21">
        <v>1</v>
      </c>
      <c r="AD842" s="24">
        <v>3.58</v>
      </c>
      <c r="AE842" s="24">
        <v>8.42</v>
      </c>
      <c r="AF842" s="21" t="s">
        <v>302</v>
      </c>
      <c r="AG842" s="21" t="s">
        <v>301</v>
      </c>
    </row>
    <row r="843" spans="1:33">
      <c r="A843" s="21" t="s">
        <v>504</v>
      </c>
      <c r="B843" s="21" t="s">
        <v>506</v>
      </c>
      <c r="C843" s="25">
        <v>46125.333333333336</v>
      </c>
      <c r="D843" s="21" t="s">
        <v>140</v>
      </c>
      <c r="E843" s="24">
        <v>3.62</v>
      </c>
      <c r="F843" s="24">
        <v>6.43</v>
      </c>
      <c r="G843" s="24">
        <f>E843-F843</f>
        <v>-2.8099999999999996</v>
      </c>
      <c r="H843" s="21" t="s">
        <v>294</v>
      </c>
      <c r="I843" s="21">
        <v>0</v>
      </c>
      <c r="J843" s="21">
        <v>0</v>
      </c>
      <c r="K843" s="21">
        <v>6</v>
      </c>
      <c r="L843" s="21">
        <v>0</v>
      </c>
      <c r="M843" s="21">
        <v>6</v>
      </c>
      <c r="P843" s="24">
        <f>J843+L843+N843</f>
        <v>0</v>
      </c>
      <c r="Q843" s="24">
        <f>K843+M843+O843</f>
        <v>12</v>
      </c>
      <c r="R843" s="24">
        <v>0</v>
      </c>
      <c r="S843" s="21" t="s">
        <v>507</v>
      </c>
      <c r="U843" s="21" t="s">
        <v>287</v>
      </c>
      <c r="V843" s="21" t="s">
        <v>286</v>
      </c>
      <c r="W843" s="21">
        <v>4</v>
      </c>
      <c r="X843" s="21" t="s">
        <v>285</v>
      </c>
      <c r="Y843" s="21" t="s">
        <v>326</v>
      </c>
      <c r="Z843" s="21" t="s">
        <v>325</v>
      </c>
      <c r="AA843" s="21" t="s">
        <v>504</v>
      </c>
      <c r="AB843" s="21">
        <v>1</v>
      </c>
      <c r="AD843" s="24">
        <v>3.58</v>
      </c>
      <c r="AE843" s="24">
        <v>5.68</v>
      </c>
      <c r="AF843" s="21" t="s">
        <v>304</v>
      </c>
      <c r="AG843" s="21" t="s">
        <v>303</v>
      </c>
    </row>
    <row r="844" spans="1:33">
      <c r="A844" s="21" t="s">
        <v>504</v>
      </c>
      <c r="B844" s="21" t="s">
        <v>506</v>
      </c>
      <c r="C844" s="25">
        <v>46127.625</v>
      </c>
      <c r="D844" s="21" t="s">
        <v>424</v>
      </c>
      <c r="E844" s="24">
        <v>3.64</v>
      </c>
      <c r="F844" s="24">
        <v>4.9800000000000004</v>
      </c>
      <c r="G844" s="24">
        <f>E844-F844</f>
        <v>-1.3400000000000003</v>
      </c>
      <c r="H844" s="21" t="s">
        <v>294</v>
      </c>
      <c r="I844" s="21">
        <v>0</v>
      </c>
      <c r="J844" s="21">
        <v>2</v>
      </c>
      <c r="K844" s="21">
        <v>8</v>
      </c>
      <c r="P844" s="24">
        <f>J844+L844+N844</f>
        <v>2</v>
      </c>
      <c r="Q844" s="24">
        <f>K844+M844+O844</f>
        <v>8</v>
      </c>
      <c r="R844" s="24">
        <v>0.2</v>
      </c>
      <c r="S844" s="21" t="s">
        <v>505</v>
      </c>
      <c r="U844" s="21" t="s">
        <v>287</v>
      </c>
      <c r="V844" s="21" t="s">
        <v>286</v>
      </c>
      <c r="W844" s="21">
        <v>5</v>
      </c>
      <c r="X844" s="21" t="s">
        <v>285</v>
      </c>
      <c r="Y844" s="21" t="s">
        <v>326</v>
      </c>
      <c r="Z844" s="21" t="s">
        <v>325</v>
      </c>
      <c r="AA844" s="21" t="s">
        <v>504</v>
      </c>
      <c r="AB844" s="21">
        <v>1</v>
      </c>
      <c r="AD844" s="24">
        <v>3.58</v>
      </c>
      <c r="AE844" s="24">
        <v>4.9800000000000004</v>
      </c>
      <c r="AF844" s="21" t="s">
        <v>304</v>
      </c>
      <c r="AG844" s="21" t="s">
        <v>303</v>
      </c>
    </row>
    <row r="845" spans="1:33">
      <c r="A845" s="21" t="s">
        <v>17</v>
      </c>
      <c r="B845" s="21" t="s">
        <v>499</v>
      </c>
      <c r="C845" s="25">
        <v>46095.645833333336</v>
      </c>
      <c r="D845" s="21" t="s">
        <v>145</v>
      </c>
      <c r="E845" s="24">
        <v>8.27</v>
      </c>
      <c r="F845" s="24">
        <v>8.17</v>
      </c>
      <c r="G845" s="24">
        <f>E845-F845</f>
        <v>9.9999999999999645E-2</v>
      </c>
      <c r="H845" s="21" t="s">
        <v>289</v>
      </c>
      <c r="I845" s="21">
        <v>1</v>
      </c>
      <c r="J845" s="21">
        <v>3</v>
      </c>
      <c r="K845" s="21">
        <v>6</v>
      </c>
      <c r="L845" s="21">
        <v>7</v>
      </c>
      <c r="M845" s="21">
        <v>5</v>
      </c>
      <c r="N845" s="21">
        <v>6</v>
      </c>
      <c r="O845" s="21">
        <v>1</v>
      </c>
      <c r="P845" s="24">
        <f>J845+L845+N845</f>
        <v>16</v>
      </c>
      <c r="Q845" s="24">
        <f>K845+M845+O845</f>
        <v>12</v>
      </c>
      <c r="R845" s="24">
        <v>0.5714285714285714</v>
      </c>
      <c r="S845" s="21" t="s">
        <v>409</v>
      </c>
      <c r="U845" s="21" t="s">
        <v>287</v>
      </c>
      <c r="V845" s="21" t="s">
        <v>286</v>
      </c>
      <c r="W845" s="21">
        <v>0</v>
      </c>
      <c r="X845" s="21" t="s">
        <v>312</v>
      </c>
      <c r="Y845" s="21" t="s">
        <v>284</v>
      </c>
      <c r="Z845" s="21" t="s">
        <v>283</v>
      </c>
      <c r="AA845" s="21" t="s">
        <v>17</v>
      </c>
      <c r="AB845" s="21">
        <v>1</v>
      </c>
      <c r="AD845" s="24">
        <v>8.31</v>
      </c>
      <c r="AE845" s="24">
        <v>8.41</v>
      </c>
      <c r="AF845" s="21" t="s">
        <v>304</v>
      </c>
      <c r="AG845" s="21" t="s">
        <v>303</v>
      </c>
    </row>
    <row r="846" spans="1:33">
      <c r="A846" s="21" t="s">
        <v>17</v>
      </c>
      <c r="B846" s="21" t="s">
        <v>499</v>
      </c>
      <c r="C846" s="25">
        <v>46105.645833333336</v>
      </c>
      <c r="D846" s="21" t="s">
        <v>503</v>
      </c>
      <c r="E846" s="24">
        <v>8.39</v>
      </c>
      <c r="F846" s="24">
        <v>6.88</v>
      </c>
      <c r="G846" s="24">
        <f>E846-F846</f>
        <v>1.5100000000000007</v>
      </c>
      <c r="H846" s="21" t="s">
        <v>289</v>
      </c>
      <c r="I846" s="21">
        <v>1</v>
      </c>
      <c r="J846" s="21">
        <v>7</v>
      </c>
      <c r="K846" s="21">
        <v>6</v>
      </c>
      <c r="L846" s="21">
        <v>6</v>
      </c>
      <c r="M846" s="21">
        <v>4</v>
      </c>
      <c r="P846" s="24">
        <f>J846+L846+N846</f>
        <v>13</v>
      </c>
      <c r="Q846" s="24">
        <f>K846+M846+O846</f>
        <v>10</v>
      </c>
      <c r="R846" s="24">
        <v>0.56521739130434778</v>
      </c>
      <c r="S846" s="21" t="s">
        <v>502</v>
      </c>
      <c r="U846" s="21" t="s">
        <v>287</v>
      </c>
      <c r="V846" s="21" t="s">
        <v>286</v>
      </c>
      <c r="W846" s="21">
        <v>1</v>
      </c>
      <c r="X846" s="21" t="s">
        <v>323</v>
      </c>
      <c r="Y846" s="21" t="s">
        <v>284</v>
      </c>
      <c r="Z846" s="21" t="s">
        <v>283</v>
      </c>
      <c r="AA846" s="21" t="s">
        <v>17</v>
      </c>
      <c r="AB846" s="21">
        <v>1</v>
      </c>
      <c r="AD846" s="24">
        <v>8.31</v>
      </c>
      <c r="AE846" s="24">
        <v>6.88</v>
      </c>
      <c r="AF846" s="21" t="s">
        <v>302</v>
      </c>
      <c r="AG846" s="21" t="s">
        <v>301</v>
      </c>
    </row>
    <row r="847" spans="1:33">
      <c r="A847" s="21" t="s">
        <v>17</v>
      </c>
      <c r="B847" s="21" t="s">
        <v>499</v>
      </c>
      <c r="C847" s="25">
        <v>46118.645833333336</v>
      </c>
      <c r="D847" s="21" t="s">
        <v>13</v>
      </c>
      <c r="E847" s="24">
        <v>8.42</v>
      </c>
      <c r="F847" s="24">
        <v>7.18</v>
      </c>
      <c r="G847" s="24">
        <f>E847-F847</f>
        <v>1.2400000000000002</v>
      </c>
      <c r="H847" s="21" t="s">
        <v>289</v>
      </c>
      <c r="I847" s="21">
        <v>1</v>
      </c>
      <c r="J847" s="21">
        <v>7</v>
      </c>
      <c r="K847" s="21">
        <v>6</v>
      </c>
      <c r="L847" s="21">
        <v>6</v>
      </c>
      <c r="M847" s="21">
        <v>4</v>
      </c>
      <c r="P847" s="24">
        <f>J847+L847+N847</f>
        <v>13</v>
      </c>
      <c r="Q847" s="24">
        <f>K847+M847+O847</f>
        <v>10</v>
      </c>
      <c r="R847" s="24">
        <v>0.54966887417218546</v>
      </c>
      <c r="S847" s="21" t="s">
        <v>168</v>
      </c>
      <c r="U847" s="21" t="s">
        <v>287</v>
      </c>
      <c r="V847" s="21" t="s">
        <v>286</v>
      </c>
      <c r="W847" s="21">
        <v>2</v>
      </c>
      <c r="X847" s="21" t="s">
        <v>310</v>
      </c>
      <c r="Y847" s="21" t="s">
        <v>284</v>
      </c>
      <c r="Z847" s="21" t="s">
        <v>283</v>
      </c>
      <c r="AA847" s="21" t="s">
        <v>17</v>
      </c>
      <c r="AB847" s="21">
        <v>1</v>
      </c>
      <c r="AD847" s="24">
        <v>8.31</v>
      </c>
      <c r="AE847" s="24">
        <v>7.46</v>
      </c>
      <c r="AF847" s="21" t="s">
        <v>304</v>
      </c>
      <c r="AG847" s="21" t="s">
        <v>303</v>
      </c>
    </row>
    <row r="848" spans="1:33">
      <c r="A848" s="21" t="s">
        <v>17</v>
      </c>
      <c r="B848" s="21" t="s">
        <v>499</v>
      </c>
      <c r="C848" s="25">
        <v>46119.645833333336</v>
      </c>
      <c r="D848" s="21" t="s">
        <v>501</v>
      </c>
      <c r="E848" s="24">
        <v>8.44</v>
      </c>
      <c r="F848" s="24">
        <v>6.21</v>
      </c>
      <c r="G848" s="24">
        <f>E848-F848</f>
        <v>2.2299999999999995</v>
      </c>
      <c r="H848" s="21" t="s">
        <v>289</v>
      </c>
      <c r="I848" s="21">
        <v>1</v>
      </c>
      <c r="J848" s="21">
        <v>6</v>
      </c>
      <c r="K848" s="21">
        <v>0</v>
      </c>
      <c r="L848" s="21">
        <v>6</v>
      </c>
      <c r="M848" s="21">
        <v>1</v>
      </c>
      <c r="P848" s="24">
        <f>J848+L848+N848</f>
        <v>12</v>
      </c>
      <c r="Q848" s="24">
        <f>K848+M848+O848</f>
        <v>1</v>
      </c>
      <c r="R848" s="24">
        <v>0.92307692307692313</v>
      </c>
      <c r="S848" s="21" t="s">
        <v>500</v>
      </c>
      <c r="U848" s="21" t="s">
        <v>287</v>
      </c>
      <c r="V848" s="21" t="s">
        <v>286</v>
      </c>
      <c r="W848" s="21">
        <v>3</v>
      </c>
      <c r="X848" s="21" t="s">
        <v>285</v>
      </c>
      <c r="Y848" s="21" t="s">
        <v>284</v>
      </c>
      <c r="Z848" s="21" t="s">
        <v>283</v>
      </c>
      <c r="AA848" s="21" t="s">
        <v>17</v>
      </c>
      <c r="AB848" s="21">
        <v>1</v>
      </c>
      <c r="AD848" s="24">
        <v>8.31</v>
      </c>
      <c r="AE848" s="24">
        <v>6.21</v>
      </c>
      <c r="AF848" s="21" t="s">
        <v>304</v>
      </c>
      <c r="AG848" s="21" t="s">
        <v>303</v>
      </c>
    </row>
    <row r="849" spans="1:33">
      <c r="A849" s="21" t="s">
        <v>17</v>
      </c>
      <c r="B849" s="21" t="s">
        <v>499</v>
      </c>
      <c r="C849" s="25">
        <v>46122.645833333336</v>
      </c>
      <c r="D849" s="21" t="s">
        <v>37</v>
      </c>
      <c r="E849" s="24">
        <v>8.44</v>
      </c>
      <c r="F849" s="24">
        <v>10.09</v>
      </c>
      <c r="G849" s="24">
        <f>E849-F849</f>
        <v>-1.6500000000000004</v>
      </c>
      <c r="H849" s="21" t="s">
        <v>294</v>
      </c>
      <c r="I849" s="21">
        <v>0</v>
      </c>
      <c r="J849" s="21">
        <v>5</v>
      </c>
      <c r="K849" s="21">
        <v>7</v>
      </c>
      <c r="L849" s="21">
        <v>5</v>
      </c>
      <c r="M849" s="21">
        <v>7</v>
      </c>
      <c r="P849" s="24">
        <f>J849+L849+N849</f>
        <v>10</v>
      </c>
      <c r="Q849" s="24">
        <f>K849+M849+O849</f>
        <v>14</v>
      </c>
      <c r="R849" s="24">
        <v>0.41666666666666669</v>
      </c>
      <c r="S849" s="21" t="s">
        <v>139</v>
      </c>
      <c r="U849" s="21" t="s">
        <v>287</v>
      </c>
      <c r="V849" s="21" t="s">
        <v>286</v>
      </c>
      <c r="W849" s="21">
        <v>4</v>
      </c>
      <c r="X849" s="21" t="s">
        <v>285</v>
      </c>
      <c r="Y849" s="21" t="s">
        <v>284</v>
      </c>
      <c r="Z849" s="21" t="s">
        <v>283</v>
      </c>
      <c r="AA849" s="21" t="s">
        <v>17</v>
      </c>
      <c r="AB849" s="21">
        <v>1</v>
      </c>
      <c r="AD849" s="24">
        <v>8.31</v>
      </c>
      <c r="AE849" s="24">
        <v>10.19</v>
      </c>
      <c r="AF849" s="21" t="s">
        <v>304</v>
      </c>
      <c r="AG849" s="21" t="s">
        <v>303</v>
      </c>
    </row>
    <row r="850" spans="1:33">
      <c r="A850" s="21" t="s">
        <v>17</v>
      </c>
      <c r="B850" s="21" t="s">
        <v>499</v>
      </c>
      <c r="C850" s="25">
        <v>46125.645833333336</v>
      </c>
      <c r="D850" s="21" t="s">
        <v>46</v>
      </c>
      <c r="E850" s="24">
        <v>8.44</v>
      </c>
      <c r="F850" s="24">
        <v>7.42</v>
      </c>
      <c r="G850" s="24">
        <f>E850-F850</f>
        <v>1.0199999999999996</v>
      </c>
      <c r="H850" s="21" t="s">
        <v>289</v>
      </c>
      <c r="I850" s="21">
        <v>1</v>
      </c>
      <c r="J850" s="21">
        <v>7</v>
      </c>
      <c r="K850" s="21">
        <v>6</v>
      </c>
      <c r="L850" s="21">
        <v>6</v>
      </c>
      <c r="M850" s="21">
        <v>3</v>
      </c>
      <c r="P850" s="24">
        <f>J850+L850+N850</f>
        <v>13</v>
      </c>
      <c r="Q850" s="24">
        <f>K850+M850+O850</f>
        <v>9</v>
      </c>
      <c r="R850" s="24">
        <v>0.55333333333333334</v>
      </c>
      <c r="S850" s="21" t="s">
        <v>417</v>
      </c>
      <c r="U850" s="21" t="s">
        <v>287</v>
      </c>
      <c r="V850" s="21" t="s">
        <v>286</v>
      </c>
      <c r="W850" s="21">
        <v>5</v>
      </c>
      <c r="X850" s="21" t="s">
        <v>285</v>
      </c>
      <c r="Y850" s="21" t="s">
        <v>284</v>
      </c>
      <c r="Z850" s="21" t="s">
        <v>283</v>
      </c>
      <c r="AA850" s="21" t="s">
        <v>17</v>
      </c>
      <c r="AB850" s="21">
        <v>1</v>
      </c>
      <c r="AD850" s="24">
        <v>8.31</v>
      </c>
      <c r="AE850" s="24">
        <v>7.82</v>
      </c>
      <c r="AF850" s="21" t="s">
        <v>304</v>
      </c>
      <c r="AG850" s="21" t="s">
        <v>303</v>
      </c>
    </row>
    <row r="851" spans="1:33">
      <c r="A851" s="21" t="s">
        <v>17</v>
      </c>
      <c r="B851" s="21" t="s">
        <v>499</v>
      </c>
      <c r="C851" s="25">
        <v>46126.645833333336</v>
      </c>
      <c r="D851" s="21" t="s">
        <v>54</v>
      </c>
      <c r="E851" s="24">
        <v>8.44</v>
      </c>
      <c r="F851" s="24">
        <v>4.6900000000000004</v>
      </c>
      <c r="G851" s="24">
        <f>E851-F851</f>
        <v>3.7499999999999991</v>
      </c>
      <c r="H851" s="21" t="s">
        <v>289</v>
      </c>
      <c r="I851" s="21">
        <v>1</v>
      </c>
      <c r="J851" s="21">
        <v>6</v>
      </c>
      <c r="K851" s="21">
        <v>0</v>
      </c>
      <c r="L851" s="21">
        <v>6</v>
      </c>
      <c r="M851" s="21">
        <v>3</v>
      </c>
      <c r="P851" s="24">
        <f>J851+L851+N851</f>
        <v>12</v>
      </c>
      <c r="Q851" s="24">
        <f>K851+M851+O851</f>
        <v>3</v>
      </c>
      <c r="R851" s="24">
        <v>0.8</v>
      </c>
      <c r="S851" s="21" t="s">
        <v>486</v>
      </c>
      <c r="U851" s="21" t="s">
        <v>287</v>
      </c>
      <c r="V851" s="21" t="s">
        <v>286</v>
      </c>
      <c r="W851" s="21">
        <v>6</v>
      </c>
      <c r="X851" s="21" t="s">
        <v>285</v>
      </c>
      <c r="Y851" s="21" t="s">
        <v>284</v>
      </c>
      <c r="Z851" s="21" t="s">
        <v>283</v>
      </c>
      <c r="AA851" s="21" t="s">
        <v>17</v>
      </c>
      <c r="AB851" s="21">
        <v>1</v>
      </c>
      <c r="AD851" s="24">
        <v>8.31</v>
      </c>
      <c r="AE851" s="24">
        <v>4.7300000000000004</v>
      </c>
      <c r="AF851" s="21" t="s">
        <v>302</v>
      </c>
      <c r="AG851" s="21" t="s">
        <v>301</v>
      </c>
    </row>
    <row r="852" spans="1:33">
      <c r="A852" s="21" t="s">
        <v>17</v>
      </c>
      <c r="B852" s="21" t="s">
        <v>499</v>
      </c>
      <c r="C852" s="25">
        <v>46142.645833333336</v>
      </c>
      <c r="D852" s="21" t="s">
        <v>18</v>
      </c>
      <c r="E852" s="24">
        <v>8.36</v>
      </c>
      <c r="F852" s="24">
        <v>8.18</v>
      </c>
      <c r="G852" s="24">
        <f>E852-F852</f>
        <v>0.17999999999999972</v>
      </c>
      <c r="H852" s="21" t="s">
        <v>294</v>
      </c>
      <c r="I852" s="21">
        <v>0</v>
      </c>
      <c r="J852" s="21">
        <v>3</v>
      </c>
      <c r="K852" s="21">
        <v>6</v>
      </c>
      <c r="L852" s="21">
        <v>4</v>
      </c>
      <c r="M852" s="21">
        <v>6</v>
      </c>
      <c r="P852" s="24">
        <f>J852+L852+N852</f>
        <v>7</v>
      </c>
      <c r="Q852" s="24">
        <f>K852+M852+O852</f>
        <v>12</v>
      </c>
      <c r="R852" s="24">
        <v>0.36842105263157893</v>
      </c>
      <c r="S852" s="21" t="s">
        <v>19</v>
      </c>
      <c r="U852" s="21" t="s">
        <v>287</v>
      </c>
      <c r="V852" s="21" t="s">
        <v>286</v>
      </c>
      <c r="W852" s="21">
        <v>7</v>
      </c>
      <c r="X852" s="21" t="s">
        <v>285</v>
      </c>
      <c r="Y852" s="21" t="s">
        <v>284</v>
      </c>
      <c r="Z852" s="21" t="s">
        <v>283</v>
      </c>
      <c r="AA852" s="21" t="s">
        <v>17</v>
      </c>
      <c r="AB852" s="21">
        <v>1</v>
      </c>
      <c r="AD852" s="24">
        <v>8.31</v>
      </c>
      <c r="AE852" s="24">
        <v>8.6</v>
      </c>
      <c r="AF852" s="21" t="s">
        <v>302</v>
      </c>
      <c r="AG852" s="21" t="s">
        <v>301</v>
      </c>
    </row>
    <row r="853" spans="1:33">
      <c r="A853" s="21" t="s">
        <v>206</v>
      </c>
      <c r="B853" s="21" t="s">
        <v>415</v>
      </c>
      <c r="C853" s="25">
        <v>46088</v>
      </c>
      <c r="D853" s="21" t="s">
        <v>498</v>
      </c>
      <c r="E853" s="24">
        <v>5.93</v>
      </c>
      <c r="F853" s="24">
        <v>4.88</v>
      </c>
      <c r="G853" s="24">
        <f>E853-F853</f>
        <v>1.0499999999999998</v>
      </c>
      <c r="H853" s="21" t="s">
        <v>289</v>
      </c>
      <c r="I853" s="21">
        <v>1</v>
      </c>
      <c r="J853" s="21">
        <v>6</v>
      </c>
      <c r="K853" s="21">
        <v>3</v>
      </c>
      <c r="P853" s="24">
        <f>J853+L853+N853</f>
        <v>6</v>
      </c>
      <c r="Q853" s="24">
        <f>K853+M853+O853</f>
        <v>3</v>
      </c>
      <c r="R853" s="24">
        <v>0.66666666666666663</v>
      </c>
      <c r="S853" s="21" t="s">
        <v>430</v>
      </c>
      <c r="U853" s="21" t="s">
        <v>412</v>
      </c>
      <c r="V853" s="21" t="s">
        <v>286</v>
      </c>
      <c r="W853" s="21">
        <v>0</v>
      </c>
      <c r="X853" s="21" t="s">
        <v>312</v>
      </c>
      <c r="Y853" s="21" t="s">
        <v>318</v>
      </c>
      <c r="Z853" s="21" t="s">
        <v>317</v>
      </c>
      <c r="AA853" s="21" t="s">
        <v>206</v>
      </c>
      <c r="AB853" s="21">
        <v>1</v>
      </c>
      <c r="AD853" s="24">
        <v>5.62</v>
      </c>
      <c r="AE853" s="24">
        <v>4.88</v>
      </c>
      <c r="AF853" s="21" t="s">
        <v>302</v>
      </c>
      <c r="AG853" s="21" t="s">
        <v>301</v>
      </c>
    </row>
    <row r="854" spans="1:33">
      <c r="A854" s="21" t="s">
        <v>206</v>
      </c>
      <c r="B854" s="21" t="s">
        <v>415</v>
      </c>
      <c r="C854" s="25">
        <v>46088</v>
      </c>
      <c r="D854" s="21" t="s">
        <v>497</v>
      </c>
      <c r="E854" s="24">
        <v>5.93</v>
      </c>
      <c r="F854" s="24">
        <v>6.28</v>
      </c>
      <c r="G854" s="24">
        <f>E854-F854</f>
        <v>-0.35000000000000053</v>
      </c>
      <c r="H854" s="21" t="s">
        <v>294</v>
      </c>
      <c r="I854" s="21">
        <v>0</v>
      </c>
      <c r="J854" s="21">
        <v>6</v>
      </c>
      <c r="K854" s="21">
        <v>7</v>
      </c>
      <c r="P854" s="24">
        <f>J854+L854+N854</f>
        <v>6</v>
      </c>
      <c r="Q854" s="24">
        <f>K854+M854+O854</f>
        <v>7</v>
      </c>
      <c r="R854" s="24">
        <v>0.46153846153846156</v>
      </c>
      <c r="S854" s="21" t="s">
        <v>430</v>
      </c>
      <c r="U854" s="21" t="s">
        <v>412</v>
      </c>
      <c r="V854" s="21" t="s">
        <v>286</v>
      </c>
      <c r="W854" s="21">
        <v>0</v>
      </c>
      <c r="X854" s="21" t="s">
        <v>312</v>
      </c>
      <c r="Y854" s="21" t="s">
        <v>318</v>
      </c>
      <c r="Z854" s="21" t="s">
        <v>317</v>
      </c>
      <c r="AA854" s="21" t="s">
        <v>206</v>
      </c>
      <c r="AB854" s="21">
        <v>1</v>
      </c>
      <c r="AD854" s="24">
        <v>5.62</v>
      </c>
      <c r="AE854" s="24">
        <v>6.28</v>
      </c>
      <c r="AF854" s="21" t="s">
        <v>304</v>
      </c>
      <c r="AG854" s="21" t="s">
        <v>303</v>
      </c>
    </row>
    <row r="855" spans="1:33">
      <c r="A855" s="21" t="s">
        <v>206</v>
      </c>
      <c r="B855" s="21" t="s">
        <v>415</v>
      </c>
      <c r="C855" s="25">
        <v>46091.645833333336</v>
      </c>
      <c r="D855" s="21" t="s">
        <v>496</v>
      </c>
      <c r="E855" s="24">
        <v>5.9</v>
      </c>
      <c r="F855" s="24">
        <v>4.83</v>
      </c>
      <c r="G855" s="24">
        <f>E855-F855</f>
        <v>1.0700000000000003</v>
      </c>
      <c r="H855" s="21" t="s">
        <v>289</v>
      </c>
      <c r="I855" s="21">
        <v>1</v>
      </c>
      <c r="J855" s="21">
        <v>6</v>
      </c>
      <c r="K855" s="21">
        <v>0</v>
      </c>
      <c r="L855" s="21">
        <v>6</v>
      </c>
      <c r="M855" s="21">
        <v>0</v>
      </c>
      <c r="P855" s="24">
        <f>J855+L855+N855</f>
        <v>12</v>
      </c>
      <c r="Q855" s="24">
        <f>K855+M855+O855</f>
        <v>0</v>
      </c>
      <c r="R855" s="24">
        <v>1</v>
      </c>
      <c r="S855" s="21" t="s">
        <v>429</v>
      </c>
      <c r="U855" s="21" t="s">
        <v>287</v>
      </c>
      <c r="V855" s="21" t="s">
        <v>286</v>
      </c>
      <c r="W855" s="21">
        <v>2</v>
      </c>
      <c r="X855" s="21" t="s">
        <v>310</v>
      </c>
      <c r="Y855" s="21" t="s">
        <v>318</v>
      </c>
      <c r="Z855" s="21" t="s">
        <v>317</v>
      </c>
      <c r="AA855" s="21" t="s">
        <v>206</v>
      </c>
      <c r="AB855" s="21">
        <v>1</v>
      </c>
      <c r="AD855" s="24">
        <v>5.62</v>
      </c>
      <c r="AE855" s="24">
        <v>4.97</v>
      </c>
      <c r="AF855" s="21" t="s">
        <v>302</v>
      </c>
      <c r="AG855" s="21" t="s">
        <v>301</v>
      </c>
    </row>
    <row r="856" spans="1:33">
      <c r="A856" s="21" t="s">
        <v>206</v>
      </c>
      <c r="B856" s="21" t="s">
        <v>415</v>
      </c>
      <c r="C856" s="25">
        <v>46094.645833333336</v>
      </c>
      <c r="D856" s="21" t="s">
        <v>247</v>
      </c>
      <c r="E856" s="24">
        <v>5.9</v>
      </c>
      <c r="F856" s="24">
        <v>5.76</v>
      </c>
      <c r="G856" s="24">
        <f>E856-F856</f>
        <v>0.14000000000000057</v>
      </c>
      <c r="H856" s="21" t="s">
        <v>289</v>
      </c>
      <c r="I856" s="21">
        <v>1</v>
      </c>
      <c r="J856" s="21">
        <v>6</v>
      </c>
      <c r="K856" s="21">
        <v>0</v>
      </c>
      <c r="L856" s="21">
        <v>3</v>
      </c>
      <c r="M856" s="21">
        <v>6</v>
      </c>
      <c r="N856" s="21">
        <v>6</v>
      </c>
      <c r="O856" s="21">
        <v>4</v>
      </c>
      <c r="P856" s="24">
        <f>J856+L856+N856</f>
        <v>15</v>
      </c>
      <c r="Q856" s="24">
        <f>K856+M856+O856</f>
        <v>10</v>
      </c>
      <c r="R856" s="24">
        <v>0.6</v>
      </c>
      <c r="S856" s="21" t="s">
        <v>248</v>
      </c>
      <c r="U856" s="21" t="s">
        <v>287</v>
      </c>
      <c r="V856" s="21" t="s">
        <v>286</v>
      </c>
      <c r="W856" s="21">
        <v>3</v>
      </c>
      <c r="X856" s="21" t="s">
        <v>285</v>
      </c>
      <c r="Y856" s="21" t="s">
        <v>318</v>
      </c>
      <c r="Z856" s="21" t="s">
        <v>317</v>
      </c>
      <c r="AA856" s="21" t="s">
        <v>206</v>
      </c>
      <c r="AB856" s="21">
        <v>1</v>
      </c>
      <c r="AD856" s="24">
        <v>5.62</v>
      </c>
      <c r="AE856" s="24">
        <v>5.4</v>
      </c>
      <c r="AF856" s="21" t="s">
        <v>304</v>
      </c>
      <c r="AG856" s="21" t="s">
        <v>341</v>
      </c>
    </row>
    <row r="857" spans="1:33">
      <c r="A857" s="21" t="s">
        <v>206</v>
      </c>
      <c r="B857" s="21" t="s">
        <v>415</v>
      </c>
      <c r="C857" s="25">
        <v>46098.645833333336</v>
      </c>
      <c r="D857" s="21" t="s">
        <v>110</v>
      </c>
      <c r="E857" s="24">
        <v>5.95</v>
      </c>
      <c r="F857" s="24">
        <v>6.81</v>
      </c>
      <c r="G857" s="24">
        <f>E857-F857</f>
        <v>-0.85999999999999943</v>
      </c>
      <c r="H857" s="21" t="s">
        <v>294</v>
      </c>
      <c r="I857" s="21">
        <v>0</v>
      </c>
      <c r="J857" s="21">
        <v>0</v>
      </c>
      <c r="K857" s="21">
        <v>6</v>
      </c>
      <c r="L857" s="21">
        <v>4</v>
      </c>
      <c r="M857" s="21">
        <v>6</v>
      </c>
      <c r="P857" s="24">
        <f>J857+L857+N857</f>
        <v>4</v>
      </c>
      <c r="Q857" s="24">
        <f>K857+M857+O857</f>
        <v>12</v>
      </c>
      <c r="R857" s="24">
        <v>0.25</v>
      </c>
      <c r="S857" s="21" t="s">
        <v>239</v>
      </c>
      <c r="U857" s="21" t="s">
        <v>287</v>
      </c>
      <c r="V857" s="21" t="s">
        <v>286</v>
      </c>
      <c r="W857" s="21">
        <v>4</v>
      </c>
      <c r="X857" s="21" t="s">
        <v>285</v>
      </c>
      <c r="Y857" s="21" t="s">
        <v>318</v>
      </c>
      <c r="Z857" s="21" t="s">
        <v>317</v>
      </c>
      <c r="AA857" s="21" t="s">
        <v>206</v>
      </c>
      <c r="AB857" s="21">
        <v>1</v>
      </c>
      <c r="AD857" s="24">
        <v>5.62</v>
      </c>
      <c r="AE857" s="24">
        <v>6.98</v>
      </c>
      <c r="AF857" s="21" t="s">
        <v>304</v>
      </c>
      <c r="AG857" s="21" t="s">
        <v>303</v>
      </c>
    </row>
    <row r="858" spans="1:33">
      <c r="A858" s="21" t="s">
        <v>206</v>
      </c>
      <c r="B858" s="21" t="s">
        <v>415</v>
      </c>
      <c r="C858" s="25">
        <v>46099.645833333336</v>
      </c>
      <c r="D858" s="21" t="s">
        <v>495</v>
      </c>
      <c r="E858" s="24">
        <v>5.95</v>
      </c>
      <c r="F858" s="24">
        <v>4.0599999999999996</v>
      </c>
      <c r="G858" s="24">
        <f>E858-F858</f>
        <v>1.8900000000000006</v>
      </c>
      <c r="H858" s="21" t="s">
        <v>289</v>
      </c>
      <c r="I858" s="21">
        <v>1</v>
      </c>
      <c r="J858" s="21">
        <v>6</v>
      </c>
      <c r="K858" s="21">
        <v>0</v>
      </c>
      <c r="L858" s="21">
        <v>6</v>
      </c>
      <c r="M858" s="21">
        <v>1</v>
      </c>
      <c r="P858" s="24">
        <f>J858+L858+N858</f>
        <v>12</v>
      </c>
      <c r="Q858" s="24">
        <f>K858+M858+O858</f>
        <v>1</v>
      </c>
      <c r="R858" s="24">
        <v>0.92307692307692313</v>
      </c>
      <c r="S858" s="21" t="s">
        <v>232</v>
      </c>
      <c r="U858" s="21" t="s">
        <v>287</v>
      </c>
      <c r="V858" s="21" t="s">
        <v>286</v>
      </c>
      <c r="W858" s="21">
        <v>5</v>
      </c>
      <c r="X858" s="21" t="s">
        <v>285</v>
      </c>
      <c r="Y858" s="21" t="s">
        <v>318</v>
      </c>
      <c r="Z858" s="21" t="s">
        <v>317</v>
      </c>
      <c r="AA858" s="21" t="s">
        <v>206</v>
      </c>
      <c r="AB858" s="21">
        <v>1</v>
      </c>
      <c r="AD858" s="24">
        <v>5.62</v>
      </c>
      <c r="AE858" s="24">
        <v>4.0599999999999996</v>
      </c>
      <c r="AF858" s="21" t="s">
        <v>304</v>
      </c>
      <c r="AG858" s="21" t="s">
        <v>303</v>
      </c>
    </row>
    <row r="859" spans="1:33">
      <c r="A859" s="21" t="s">
        <v>206</v>
      </c>
      <c r="B859" s="21" t="s">
        <v>415</v>
      </c>
      <c r="C859" s="25">
        <v>46100.645833333336</v>
      </c>
      <c r="D859" s="21" t="s">
        <v>131</v>
      </c>
      <c r="E859" s="24">
        <v>5.95</v>
      </c>
      <c r="F859" s="24">
        <v>5.8</v>
      </c>
      <c r="G859" s="24">
        <f>E859-F859</f>
        <v>0.15000000000000036</v>
      </c>
      <c r="H859" s="21" t="s">
        <v>294</v>
      </c>
      <c r="I859" s="21">
        <v>0</v>
      </c>
      <c r="J859" s="21">
        <v>3</v>
      </c>
      <c r="K859" s="21">
        <v>6</v>
      </c>
      <c r="L859" s="21">
        <v>0</v>
      </c>
      <c r="M859" s="21">
        <v>6</v>
      </c>
      <c r="P859" s="24">
        <f>J859+L859+N859</f>
        <v>3</v>
      </c>
      <c r="Q859" s="24">
        <f>K859+M859+O859</f>
        <v>12</v>
      </c>
      <c r="R859" s="24">
        <v>0.2</v>
      </c>
      <c r="S859" s="21" t="s">
        <v>225</v>
      </c>
      <c r="U859" s="21" t="s">
        <v>287</v>
      </c>
      <c r="V859" s="21" t="s">
        <v>286</v>
      </c>
      <c r="W859" s="21">
        <v>6</v>
      </c>
      <c r="X859" s="21" t="s">
        <v>285</v>
      </c>
      <c r="Y859" s="21" t="s">
        <v>318</v>
      </c>
      <c r="Z859" s="21" t="s">
        <v>317</v>
      </c>
      <c r="AA859" s="21" t="s">
        <v>206</v>
      </c>
      <c r="AB859" s="21">
        <v>1</v>
      </c>
      <c r="AD859" s="24">
        <v>5.62</v>
      </c>
      <c r="AE859" s="24">
        <v>5.95</v>
      </c>
      <c r="AF859" s="21" t="s">
        <v>302</v>
      </c>
      <c r="AG859" s="21" t="s">
        <v>301</v>
      </c>
    </row>
    <row r="860" spans="1:33">
      <c r="A860" s="21" t="s">
        <v>206</v>
      </c>
      <c r="B860" s="21" t="s">
        <v>415</v>
      </c>
      <c r="C860" s="25">
        <v>46105.645833333336</v>
      </c>
      <c r="D860" s="21" t="s">
        <v>9</v>
      </c>
      <c r="E860" s="24">
        <v>5.96</v>
      </c>
      <c r="F860" s="24">
        <v>7.48</v>
      </c>
      <c r="G860" s="24">
        <f>E860-F860</f>
        <v>-1.5200000000000005</v>
      </c>
      <c r="H860" s="21" t="s">
        <v>294</v>
      </c>
      <c r="I860" s="21">
        <v>0</v>
      </c>
      <c r="J860" s="21">
        <v>0</v>
      </c>
      <c r="K860" s="21">
        <v>6</v>
      </c>
      <c r="L860" s="21">
        <v>1</v>
      </c>
      <c r="M860" s="21">
        <v>6</v>
      </c>
      <c r="P860" s="24">
        <f>J860+L860+N860</f>
        <v>1</v>
      </c>
      <c r="Q860" s="24">
        <f>K860+M860+O860</f>
        <v>12</v>
      </c>
      <c r="R860" s="24">
        <v>7.6923076923076927E-2</v>
      </c>
      <c r="S860" s="21" t="s">
        <v>425</v>
      </c>
      <c r="U860" s="21" t="s">
        <v>287</v>
      </c>
      <c r="V860" s="21" t="s">
        <v>286</v>
      </c>
      <c r="W860" s="21">
        <v>7</v>
      </c>
      <c r="X860" s="21" t="s">
        <v>285</v>
      </c>
      <c r="Y860" s="21" t="s">
        <v>318</v>
      </c>
      <c r="Z860" s="21" t="s">
        <v>317</v>
      </c>
      <c r="AA860" s="21" t="s">
        <v>206</v>
      </c>
      <c r="AB860" s="21">
        <v>1</v>
      </c>
      <c r="AD860" s="24">
        <v>5.62</v>
      </c>
      <c r="AE860" s="24">
        <v>7.82</v>
      </c>
      <c r="AF860" s="21" t="s">
        <v>302</v>
      </c>
      <c r="AG860" s="21" t="s">
        <v>301</v>
      </c>
    </row>
    <row r="861" spans="1:33">
      <c r="A861" s="21" t="s">
        <v>206</v>
      </c>
      <c r="B861" s="21" t="s">
        <v>415</v>
      </c>
      <c r="C861" s="25">
        <v>46106.645833333336</v>
      </c>
      <c r="D861" s="21" t="s">
        <v>121</v>
      </c>
      <c r="E861" s="24">
        <v>5.96</v>
      </c>
      <c r="F861" s="24">
        <v>6.37</v>
      </c>
      <c r="G861" s="24">
        <f>E861-F861</f>
        <v>-0.41000000000000014</v>
      </c>
      <c r="H861" s="21" t="s">
        <v>294</v>
      </c>
      <c r="I861" s="21">
        <v>0</v>
      </c>
      <c r="J861" s="21">
        <v>6</v>
      </c>
      <c r="K861" s="21">
        <v>3</v>
      </c>
      <c r="L861" s="21">
        <v>3</v>
      </c>
      <c r="M861" s="21">
        <v>6</v>
      </c>
      <c r="N861" s="21">
        <v>6</v>
      </c>
      <c r="O861" s="21">
        <v>7</v>
      </c>
      <c r="P861" s="24">
        <f>J861+L861+N861</f>
        <v>15</v>
      </c>
      <c r="Q861" s="24">
        <f>K861+M861+O861</f>
        <v>16</v>
      </c>
      <c r="R861" s="24">
        <v>0.46250000000000002</v>
      </c>
      <c r="S861" s="21" t="s">
        <v>207</v>
      </c>
      <c r="U861" s="21" t="s">
        <v>287</v>
      </c>
      <c r="V861" s="21" t="s">
        <v>286</v>
      </c>
      <c r="W861" s="21">
        <v>8</v>
      </c>
      <c r="X861" s="21" t="s">
        <v>285</v>
      </c>
      <c r="Y861" s="21" t="s">
        <v>318</v>
      </c>
      <c r="Z861" s="21" t="s">
        <v>317</v>
      </c>
      <c r="AA861" s="21" t="s">
        <v>206</v>
      </c>
      <c r="AB861" s="21">
        <v>1</v>
      </c>
      <c r="AD861" s="24">
        <v>5.62</v>
      </c>
      <c r="AE861" s="24">
        <v>6.03</v>
      </c>
      <c r="AF861" s="21" t="s">
        <v>302</v>
      </c>
      <c r="AG861" s="21" t="s">
        <v>301</v>
      </c>
    </row>
    <row r="862" spans="1:33">
      <c r="A862" s="21" t="s">
        <v>206</v>
      </c>
      <c r="B862" s="21" t="s">
        <v>415</v>
      </c>
      <c r="C862" s="25">
        <v>46111.645833333336</v>
      </c>
      <c r="D862" s="21" t="s">
        <v>73</v>
      </c>
      <c r="E862" s="24">
        <v>5.96</v>
      </c>
      <c r="F862" s="24">
        <v>3.35</v>
      </c>
      <c r="G862" s="24">
        <f>E862-F862</f>
        <v>2.61</v>
      </c>
      <c r="H862" s="21" t="s">
        <v>289</v>
      </c>
      <c r="I862" s="21">
        <v>1</v>
      </c>
      <c r="J862" s="21">
        <v>6</v>
      </c>
      <c r="K862" s="21">
        <v>2</v>
      </c>
      <c r="L862" s="21">
        <v>6</v>
      </c>
      <c r="M862" s="21">
        <v>3</v>
      </c>
      <c r="P862" s="24">
        <f>J862+L862+N862</f>
        <v>12</v>
      </c>
      <c r="Q862" s="24">
        <f>K862+M862+O862</f>
        <v>5</v>
      </c>
      <c r="R862" s="24">
        <v>0.70588235294117652</v>
      </c>
      <c r="S862" s="21" t="s">
        <v>182</v>
      </c>
      <c r="U862" s="21" t="s">
        <v>287</v>
      </c>
      <c r="V862" s="21" t="s">
        <v>286</v>
      </c>
      <c r="W862" s="21">
        <v>9</v>
      </c>
      <c r="X862" s="21" t="s">
        <v>285</v>
      </c>
      <c r="Y862" s="21" t="s">
        <v>318</v>
      </c>
      <c r="Z862" s="21" t="s">
        <v>317</v>
      </c>
      <c r="AA862" s="21" t="s">
        <v>206</v>
      </c>
      <c r="AB862" s="21">
        <v>1</v>
      </c>
      <c r="AD862" s="24">
        <v>5.62</v>
      </c>
      <c r="AE862" s="24">
        <v>4.3499999999999996</v>
      </c>
      <c r="AF862" s="21" t="s">
        <v>304</v>
      </c>
      <c r="AG862" s="21" t="s">
        <v>303</v>
      </c>
    </row>
    <row r="863" spans="1:33">
      <c r="A863" s="21" t="s">
        <v>206</v>
      </c>
      <c r="B863" s="21" t="s">
        <v>415</v>
      </c>
      <c r="C863" s="25">
        <v>46119.645833333336</v>
      </c>
      <c r="D863" s="21" t="s">
        <v>469</v>
      </c>
      <c r="E863" s="24">
        <v>5.7</v>
      </c>
      <c r="F863" s="24">
        <v>4.5599999999999996</v>
      </c>
      <c r="G863" s="24">
        <f>E863-F863</f>
        <v>1.1400000000000006</v>
      </c>
      <c r="H863" s="21" t="s">
        <v>289</v>
      </c>
      <c r="I863" s="21">
        <v>1</v>
      </c>
      <c r="J863" s="21">
        <v>4</v>
      </c>
      <c r="K863" s="21">
        <v>6</v>
      </c>
      <c r="L863" s="21">
        <v>6</v>
      </c>
      <c r="M863" s="21">
        <v>0</v>
      </c>
      <c r="N863" s="21">
        <v>6</v>
      </c>
      <c r="O863" s="21">
        <v>0</v>
      </c>
      <c r="P863" s="24">
        <f>J863+L863+N863</f>
        <v>16</v>
      </c>
      <c r="Q863" s="24">
        <f>K863+M863+O863</f>
        <v>6</v>
      </c>
      <c r="R863" s="24">
        <v>0.72727272727272729</v>
      </c>
      <c r="S863" s="21" t="s">
        <v>421</v>
      </c>
      <c r="U863" s="21" t="s">
        <v>287</v>
      </c>
      <c r="V863" s="21" t="s">
        <v>286</v>
      </c>
      <c r="W863" s="21">
        <v>10</v>
      </c>
      <c r="X863" s="21" t="s">
        <v>285</v>
      </c>
      <c r="Y863" s="21" t="s">
        <v>318</v>
      </c>
      <c r="Z863" s="21" t="s">
        <v>317</v>
      </c>
      <c r="AA863" s="21" t="s">
        <v>206</v>
      </c>
      <c r="AB863" s="21">
        <v>1</v>
      </c>
      <c r="AD863" s="24">
        <v>5.62</v>
      </c>
      <c r="AE863" s="24">
        <v>4.5599999999999996</v>
      </c>
      <c r="AF863" s="21" t="s">
        <v>304</v>
      </c>
      <c r="AG863" s="21" t="s">
        <v>303</v>
      </c>
    </row>
    <row r="864" spans="1:33">
      <c r="A864" s="21" t="s">
        <v>206</v>
      </c>
      <c r="B864" s="21" t="s">
        <v>415</v>
      </c>
      <c r="C864" s="25">
        <v>46125.645833333336</v>
      </c>
      <c r="D864" s="21" t="s">
        <v>138</v>
      </c>
      <c r="E864" s="24">
        <v>5.7</v>
      </c>
      <c r="F864" s="24">
        <v>7.45</v>
      </c>
      <c r="G864" s="24">
        <f>E864-F864</f>
        <v>-1.75</v>
      </c>
      <c r="H864" s="21" t="s">
        <v>294</v>
      </c>
      <c r="I864" s="21">
        <v>0</v>
      </c>
      <c r="J864" s="21">
        <v>1</v>
      </c>
      <c r="K864" s="21">
        <v>6</v>
      </c>
      <c r="L864" s="21">
        <v>2</v>
      </c>
      <c r="M864" s="21">
        <v>6</v>
      </c>
      <c r="P864" s="24">
        <f>J864+L864+N864</f>
        <v>3</v>
      </c>
      <c r="Q864" s="24">
        <f>K864+M864+O864</f>
        <v>12</v>
      </c>
      <c r="R864" s="24">
        <v>0.2</v>
      </c>
      <c r="S864" s="21" t="s">
        <v>417</v>
      </c>
      <c r="U864" s="21" t="s">
        <v>287</v>
      </c>
      <c r="V864" s="21" t="s">
        <v>286</v>
      </c>
      <c r="W864" s="21">
        <v>11</v>
      </c>
      <c r="X864" s="21" t="s">
        <v>285</v>
      </c>
      <c r="Y864" s="21" t="s">
        <v>318</v>
      </c>
      <c r="Z864" s="21" t="s">
        <v>317</v>
      </c>
      <c r="AA864" s="21" t="s">
        <v>206</v>
      </c>
      <c r="AB864" s="21">
        <v>1</v>
      </c>
      <c r="AD864" s="24">
        <v>5.62</v>
      </c>
      <c r="AE864" s="24">
        <v>7.45</v>
      </c>
      <c r="AF864" s="21" t="s">
        <v>304</v>
      </c>
      <c r="AG864" s="21" t="s">
        <v>303</v>
      </c>
    </row>
    <row r="865" spans="1:33">
      <c r="A865" s="21" t="s">
        <v>206</v>
      </c>
      <c r="B865" s="21" t="s">
        <v>415</v>
      </c>
      <c r="C865" s="25">
        <v>46127.645833333336</v>
      </c>
      <c r="D865" s="21" t="s">
        <v>494</v>
      </c>
      <c r="E865" s="24">
        <v>5.73</v>
      </c>
      <c r="F865" s="24">
        <v>3.97</v>
      </c>
      <c r="G865" s="24">
        <f>E865-F865</f>
        <v>1.7600000000000002</v>
      </c>
      <c r="H865" s="21" t="s">
        <v>289</v>
      </c>
      <c r="I865" s="21">
        <v>1</v>
      </c>
      <c r="J865" s="21">
        <v>6</v>
      </c>
      <c r="K865" s="21">
        <v>0</v>
      </c>
      <c r="L865" s="21">
        <v>6</v>
      </c>
      <c r="M865" s="21">
        <v>0</v>
      </c>
      <c r="P865" s="24">
        <f>J865+L865+N865</f>
        <v>12</v>
      </c>
      <c r="Q865" s="24">
        <f>K865+M865+O865</f>
        <v>0</v>
      </c>
      <c r="R865" s="24">
        <v>1</v>
      </c>
      <c r="S865" s="21" t="s">
        <v>416</v>
      </c>
      <c r="U865" s="21" t="s">
        <v>287</v>
      </c>
      <c r="V865" s="21" t="s">
        <v>286</v>
      </c>
      <c r="W865" s="21">
        <v>12</v>
      </c>
      <c r="X865" s="21" t="s">
        <v>285</v>
      </c>
      <c r="Y865" s="21" t="s">
        <v>318</v>
      </c>
      <c r="Z865" s="21" t="s">
        <v>317</v>
      </c>
      <c r="AA865" s="21" t="s">
        <v>206</v>
      </c>
      <c r="AB865" s="21">
        <v>1</v>
      </c>
      <c r="AD865" s="24">
        <v>5.62</v>
      </c>
      <c r="AE865" s="24">
        <v>3.97</v>
      </c>
      <c r="AF865" s="21" t="s">
        <v>304</v>
      </c>
      <c r="AG865" s="21" t="s">
        <v>303</v>
      </c>
    </row>
    <row r="866" spans="1:33">
      <c r="A866" s="21" t="s">
        <v>206</v>
      </c>
      <c r="B866" s="21" t="s">
        <v>415</v>
      </c>
      <c r="C866" s="25">
        <v>46136.625</v>
      </c>
      <c r="D866" s="21" t="s">
        <v>103</v>
      </c>
      <c r="E866" s="24">
        <v>5.72</v>
      </c>
      <c r="F866" s="24">
        <v>7.13</v>
      </c>
      <c r="G866" s="24">
        <f>E866-F866</f>
        <v>-1.4100000000000001</v>
      </c>
      <c r="H866" s="21" t="s">
        <v>294</v>
      </c>
      <c r="I866" s="21">
        <v>0</v>
      </c>
      <c r="J866" s="21">
        <v>1</v>
      </c>
      <c r="K866" s="21">
        <v>6</v>
      </c>
      <c r="L866" s="21">
        <v>0</v>
      </c>
      <c r="M866" s="21">
        <v>6</v>
      </c>
      <c r="P866" s="24">
        <f>J866+L866+N866</f>
        <v>1</v>
      </c>
      <c r="Q866" s="24">
        <f>K866+M866+O866</f>
        <v>12</v>
      </c>
      <c r="R866" s="24">
        <v>7.6923076923076927E-2</v>
      </c>
      <c r="S866" s="21" t="s">
        <v>51</v>
      </c>
      <c r="U866" s="21" t="s">
        <v>287</v>
      </c>
      <c r="V866" s="21" t="s">
        <v>286</v>
      </c>
      <c r="W866" s="21">
        <v>13</v>
      </c>
      <c r="X866" s="21" t="s">
        <v>285</v>
      </c>
      <c r="Y866" s="21" t="s">
        <v>318</v>
      </c>
      <c r="Z866" s="21" t="s">
        <v>317</v>
      </c>
      <c r="AA866" s="21" t="s">
        <v>206</v>
      </c>
      <c r="AB866" s="21">
        <v>1</v>
      </c>
      <c r="AD866" s="24">
        <v>5.62</v>
      </c>
      <c r="AE866" s="24">
        <v>7.14</v>
      </c>
      <c r="AF866" s="21" t="s">
        <v>302</v>
      </c>
      <c r="AG866" s="21" t="s">
        <v>301</v>
      </c>
    </row>
    <row r="867" spans="1:33">
      <c r="A867" s="21" t="s">
        <v>206</v>
      </c>
      <c r="B867" s="21" t="s">
        <v>415</v>
      </c>
      <c r="C867" s="25">
        <v>46140.333333333336</v>
      </c>
      <c r="D867" s="21" t="s">
        <v>493</v>
      </c>
      <c r="E867" s="24">
        <v>5.72</v>
      </c>
      <c r="F867" s="24">
        <v>2.99</v>
      </c>
      <c r="G867" s="24">
        <f>E867-F867</f>
        <v>2.7299999999999995</v>
      </c>
      <c r="H867" s="21" t="s">
        <v>289</v>
      </c>
      <c r="I867" s="21">
        <v>1</v>
      </c>
      <c r="J867" s="21">
        <v>6</v>
      </c>
      <c r="K867" s="21">
        <v>0</v>
      </c>
      <c r="L867" s="21">
        <v>6</v>
      </c>
      <c r="M867" s="21">
        <v>0</v>
      </c>
      <c r="P867" s="24">
        <f>J867+L867+N867</f>
        <v>12</v>
      </c>
      <c r="Q867" s="24">
        <f>K867+M867+O867</f>
        <v>0</v>
      </c>
      <c r="R867" s="24">
        <v>1</v>
      </c>
      <c r="S867" s="21" t="s">
        <v>47</v>
      </c>
      <c r="U867" s="21" t="s">
        <v>287</v>
      </c>
      <c r="V867" s="21" t="s">
        <v>286</v>
      </c>
      <c r="W867" s="21">
        <v>14</v>
      </c>
      <c r="X867" s="21" t="s">
        <v>285</v>
      </c>
      <c r="Y867" s="21" t="s">
        <v>318</v>
      </c>
      <c r="Z867" s="21" t="s">
        <v>317</v>
      </c>
      <c r="AA867" s="21" t="s">
        <v>206</v>
      </c>
      <c r="AB867" s="21">
        <v>1</v>
      </c>
      <c r="AD867" s="24">
        <v>5.62</v>
      </c>
      <c r="AE867" s="24">
        <v>2.99</v>
      </c>
      <c r="AF867" s="21" t="s">
        <v>322</v>
      </c>
      <c r="AG867" s="21" t="s">
        <v>301</v>
      </c>
    </row>
    <row r="868" spans="1:33">
      <c r="A868" s="21" t="s">
        <v>90</v>
      </c>
      <c r="B868" s="21" t="s">
        <v>485</v>
      </c>
      <c r="C868" s="25">
        <v>46099.645833333336</v>
      </c>
      <c r="D868" s="21" t="s">
        <v>492</v>
      </c>
      <c r="E868" s="24">
        <v>5.82</v>
      </c>
      <c r="F868" s="24">
        <v>3.57</v>
      </c>
      <c r="G868" s="24">
        <f>E868-F868</f>
        <v>2.2500000000000004</v>
      </c>
      <c r="H868" s="21" t="s">
        <v>289</v>
      </c>
      <c r="I868" s="21">
        <v>1</v>
      </c>
      <c r="J868" s="21">
        <v>6</v>
      </c>
      <c r="K868" s="21">
        <v>0</v>
      </c>
      <c r="L868" s="21">
        <v>6</v>
      </c>
      <c r="M868" s="21">
        <v>2</v>
      </c>
      <c r="P868" s="24">
        <f>J868+L868+N868</f>
        <v>12</v>
      </c>
      <c r="Q868" s="24">
        <f>K868+M868+O868</f>
        <v>2</v>
      </c>
      <c r="R868" s="24">
        <v>0.8571428571428571</v>
      </c>
      <c r="S868" s="21" t="s">
        <v>491</v>
      </c>
      <c r="U868" s="21" t="s">
        <v>287</v>
      </c>
      <c r="V868" s="21" t="s">
        <v>286</v>
      </c>
      <c r="W868" s="21">
        <v>0</v>
      </c>
      <c r="X868" s="21" t="s">
        <v>312</v>
      </c>
      <c r="Y868" s="21" t="s">
        <v>284</v>
      </c>
      <c r="Z868" s="21" t="s">
        <v>283</v>
      </c>
      <c r="AA868" s="21" t="s">
        <v>90</v>
      </c>
      <c r="AB868" s="21">
        <v>1</v>
      </c>
      <c r="AD868" s="24">
        <v>6.31</v>
      </c>
      <c r="AE868" s="24">
        <v>3.57</v>
      </c>
      <c r="AF868" s="21" t="s">
        <v>322</v>
      </c>
      <c r="AG868" s="21" t="s">
        <v>301</v>
      </c>
    </row>
    <row r="869" spans="1:33">
      <c r="A869" s="21" t="s">
        <v>90</v>
      </c>
      <c r="B869" s="21" t="s">
        <v>485</v>
      </c>
      <c r="C869" s="25">
        <v>46105.645833333336</v>
      </c>
      <c r="D869" s="21" t="s">
        <v>121</v>
      </c>
      <c r="E869" s="24">
        <v>5.82</v>
      </c>
      <c r="F869" s="24">
        <v>6.37</v>
      </c>
      <c r="G869" s="24">
        <f>E869-F869</f>
        <v>-0.54999999999999982</v>
      </c>
      <c r="H869" s="21" t="s">
        <v>289</v>
      </c>
      <c r="I869" s="21">
        <v>1</v>
      </c>
      <c r="J869" s="21">
        <v>6</v>
      </c>
      <c r="K869" s="21">
        <v>0</v>
      </c>
      <c r="L869" s="21">
        <v>4</v>
      </c>
      <c r="M869" s="21">
        <v>6</v>
      </c>
      <c r="N869" s="21">
        <v>7</v>
      </c>
      <c r="O869" s="21">
        <v>6</v>
      </c>
      <c r="P869" s="24">
        <f>J869+L869+N869</f>
        <v>17</v>
      </c>
      <c r="Q869" s="24">
        <f>K869+M869+O869</f>
        <v>12</v>
      </c>
      <c r="R869" s="24">
        <v>0.54938271604938271</v>
      </c>
      <c r="S869" s="21" t="s">
        <v>213</v>
      </c>
      <c r="U869" s="21" t="s">
        <v>287</v>
      </c>
      <c r="V869" s="21" t="s">
        <v>286</v>
      </c>
      <c r="W869" s="21">
        <v>1</v>
      </c>
      <c r="X869" s="21" t="s">
        <v>323</v>
      </c>
      <c r="Y869" s="21" t="s">
        <v>284</v>
      </c>
      <c r="Z869" s="21" t="s">
        <v>283</v>
      </c>
      <c r="AA869" s="21" t="s">
        <v>90</v>
      </c>
      <c r="AB869" s="21">
        <v>1</v>
      </c>
      <c r="AD869" s="24">
        <v>6.31</v>
      </c>
      <c r="AE869" s="24">
        <v>6.07</v>
      </c>
      <c r="AF869" s="21" t="s">
        <v>322</v>
      </c>
      <c r="AG869" s="21" t="s">
        <v>301</v>
      </c>
    </row>
    <row r="870" spans="1:33">
      <c r="A870" s="21" t="s">
        <v>90</v>
      </c>
      <c r="B870" s="21" t="s">
        <v>485</v>
      </c>
      <c r="C870" s="25">
        <v>46111.645833333336</v>
      </c>
      <c r="D870" s="21" t="s">
        <v>181</v>
      </c>
      <c r="E870" s="24">
        <v>5.82</v>
      </c>
      <c r="F870" s="24">
        <v>6.09</v>
      </c>
      <c r="G870" s="24">
        <f>E870-F870</f>
        <v>-0.26999999999999957</v>
      </c>
      <c r="H870" s="21" t="s">
        <v>289</v>
      </c>
      <c r="I870" s="21">
        <v>1</v>
      </c>
      <c r="J870" s="21">
        <v>7</v>
      </c>
      <c r="K870" s="21">
        <v>5</v>
      </c>
      <c r="L870" s="21">
        <v>6</v>
      </c>
      <c r="M870" s="21">
        <v>4</v>
      </c>
      <c r="P870" s="24">
        <f>J870+L870+N870</f>
        <v>13</v>
      </c>
      <c r="Q870" s="24">
        <f>K870+M870+O870</f>
        <v>9</v>
      </c>
      <c r="R870" s="24">
        <v>0.59090909090909094</v>
      </c>
      <c r="S870" s="21" t="s">
        <v>182</v>
      </c>
      <c r="U870" s="21" t="s">
        <v>287</v>
      </c>
      <c r="V870" s="21" t="s">
        <v>286</v>
      </c>
      <c r="W870" s="21">
        <v>2</v>
      </c>
      <c r="X870" s="21" t="s">
        <v>310</v>
      </c>
      <c r="Y870" s="21" t="s">
        <v>284</v>
      </c>
      <c r="Z870" s="21" t="s">
        <v>283</v>
      </c>
      <c r="AA870" s="21" t="s">
        <v>90</v>
      </c>
      <c r="AB870" s="21">
        <v>1</v>
      </c>
      <c r="AD870" s="24">
        <v>6.31</v>
      </c>
      <c r="AE870" s="24">
        <v>6.07</v>
      </c>
      <c r="AF870" s="21" t="s">
        <v>322</v>
      </c>
      <c r="AG870" s="21" t="s">
        <v>301</v>
      </c>
    </row>
    <row r="871" spans="1:33">
      <c r="A871" s="21" t="s">
        <v>90</v>
      </c>
      <c r="B871" s="21" t="s">
        <v>485</v>
      </c>
      <c r="C871" s="25">
        <v>46119.645833333336</v>
      </c>
      <c r="D871" s="21" t="s">
        <v>398</v>
      </c>
      <c r="E871" s="24">
        <v>6.39</v>
      </c>
      <c r="F871" s="24">
        <v>4.3600000000000003</v>
      </c>
      <c r="G871" s="24">
        <f>E871-F871</f>
        <v>2.0299999999999994</v>
      </c>
      <c r="H871" s="21" t="s">
        <v>289</v>
      </c>
      <c r="I871" s="21">
        <v>1</v>
      </c>
      <c r="J871" s="21">
        <v>6</v>
      </c>
      <c r="K871" s="21">
        <v>1</v>
      </c>
      <c r="L871" s="21">
        <v>6</v>
      </c>
      <c r="M871" s="21">
        <v>1</v>
      </c>
      <c r="P871" s="24">
        <f>J871+L871+N871</f>
        <v>12</v>
      </c>
      <c r="Q871" s="24">
        <f>K871+M871+O871</f>
        <v>2</v>
      </c>
      <c r="R871" s="24">
        <v>0.8571428571428571</v>
      </c>
      <c r="S871" s="21" t="s">
        <v>164</v>
      </c>
      <c r="U871" s="21" t="s">
        <v>287</v>
      </c>
      <c r="V871" s="21" t="s">
        <v>286</v>
      </c>
      <c r="W871" s="21">
        <v>3</v>
      </c>
      <c r="X871" s="21" t="s">
        <v>285</v>
      </c>
      <c r="Y871" s="21" t="s">
        <v>284</v>
      </c>
      <c r="Z871" s="21" t="s">
        <v>283</v>
      </c>
      <c r="AA871" s="21" t="s">
        <v>90</v>
      </c>
      <c r="AB871" s="21">
        <v>1</v>
      </c>
      <c r="AD871" s="24">
        <v>6.31</v>
      </c>
      <c r="AE871" s="24">
        <v>4.3600000000000003</v>
      </c>
      <c r="AF871" s="21" t="s">
        <v>322</v>
      </c>
      <c r="AG871" s="21" t="s">
        <v>301</v>
      </c>
    </row>
    <row r="872" spans="1:33">
      <c r="A872" s="21" t="s">
        <v>90</v>
      </c>
      <c r="B872" s="21" t="s">
        <v>485</v>
      </c>
      <c r="C872" s="25">
        <v>46120.645833333336</v>
      </c>
      <c r="D872" s="21" t="s">
        <v>490</v>
      </c>
      <c r="E872" s="24">
        <v>6.39</v>
      </c>
      <c r="F872" s="24">
        <v>2.81</v>
      </c>
      <c r="G872" s="24">
        <f>E872-F872</f>
        <v>3.5799999999999996</v>
      </c>
      <c r="H872" s="21" t="s">
        <v>289</v>
      </c>
      <c r="I872" s="21">
        <v>1</v>
      </c>
      <c r="J872" s="21">
        <v>6</v>
      </c>
      <c r="K872" s="21">
        <v>0</v>
      </c>
      <c r="L872" s="21">
        <v>6</v>
      </c>
      <c r="M872" s="21">
        <v>2</v>
      </c>
      <c r="P872" s="24">
        <f>J872+L872+N872</f>
        <v>12</v>
      </c>
      <c r="Q872" s="24">
        <f>K872+M872+O872</f>
        <v>2</v>
      </c>
      <c r="R872" s="24">
        <v>0.8571428571428571</v>
      </c>
      <c r="S872" s="21" t="s">
        <v>489</v>
      </c>
      <c r="U872" s="21" t="s">
        <v>287</v>
      </c>
      <c r="V872" s="21" t="s">
        <v>286</v>
      </c>
      <c r="W872" s="21">
        <v>4</v>
      </c>
      <c r="X872" s="21" t="s">
        <v>285</v>
      </c>
      <c r="Y872" s="21" t="s">
        <v>284</v>
      </c>
      <c r="Z872" s="21" t="s">
        <v>283</v>
      </c>
      <c r="AA872" s="21" t="s">
        <v>90</v>
      </c>
      <c r="AB872" s="21">
        <v>1</v>
      </c>
      <c r="AD872" s="24">
        <v>6.31</v>
      </c>
      <c r="AE872" s="24">
        <v>2.81</v>
      </c>
      <c r="AF872" s="21" t="s">
        <v>304</v>
      </c>
      <c r="AG872" s="21" t="s">
        <v>341</v>
      </c>
    </row>
    <row r="873" spans="1:33">
      <c r="A873" s="21" t="s">
        <v>90</v>
      </c>
      <c r="B873" s="21" t="s">
        <v>485</v>
      </c>
      <c r="C873" s="25">
        <v>46125.645833333336</v>
      </c>
      <c r="D873" s="21" t="s">
        <v>488</v>
      </c>
      <c r="E873" s="24">
        <v>6.39</v>
      </c>
      <c r="F873" s="24">
        <v>4.9000000000000004</v>
      </c>
      <c r="G873" s="24">
        <f>E873-F873</f>
        <v>1.4899999999999993</v>
      </c>
      <c r="H873" s="21" t="s">
        <v>289</v>
      </c>
      <c r="I873" s="21">
        <v>1</v>
      </c>
      <c r="J873" s="21">
        <v>6</v>
      </c>
      <c r="K873" s="21">
        <v>3</v>
      </c>
      <c r="L873" s="21">
        <v>6</v>
      </c>
      <c r="M873" s="21">
        <v>1</v>
      </c>
      <c r="P873" s="24">
        <f>J873+L873+N873</f>
        <v>12</v>
      </c>
      <c r="Q873" s="24">
        <f>K873+M873+O873</f>
        <v>4</v>
      </c>
      <c r="R873" s="24">
        <v>0.75</v>
      </c>
      <c r="S873" s="21" t="s">
        <v>487</v>
      </c>
      <c r="U873" s="21" t="s">
        <v>287</v>
      </c>
      <c r="V873" s="21" t="s">
        <v>286</v>
      </c>
      <c r="W873" s="21">
        <v>5</v>
      </c>
      <c r="X873" s="21" t="s">
        <v>285</v>
      </c>
      <c r="Y873" s="21" t="s">
        <v>284</v>
      </c>
      <c r="Z873" s="21" t="s">
        <v>283</v>
      </c>
      <c r="AA873" s="21" t="s">
        <v>90</v>
      </c>
      <c r="AB873" s="21">
        <v>1</v>
      </c>
      <c r="AD873" s="24">
        <v>6.31</v>
      </c>
      <c r="AE873" s="24">
        <v>4.9000000000000004</v>
      </c>
      <c r="AF873" s="21" t="s">
        <v>304</v>
      </c>
      <c r="AG873" s="21" t="s">
        <v>303</v>
      </c>
    </row>
    <row r="874" spans="1:33">
      <c r="A874" s="21" t="s">
        <v>90</v>
      </c>
      <c r="B874" s="21" t="s">
        <v>485</v>
      </c>
      <c r="C874" s="25">
        <v>46126.645833333336</v>
      </c>
      <c r="D874" s="21" t="s">
        <v>21</v>
      </c>
      <c r="E874" s="24">
        <v>6.39</v>
      </c>
      <c r="F874" s="24">
        <v>8.9600000000000009</v>
      </c>
      <c r="G874" s="24">
        <f>E874-F874</f>
        <v>-2.5700000000000012</v>
      </c>
      <c r="H874" s="21" t="s">
        <v>294</v>
      </c>
      <c r="I874" s="21">
        <v>0</v>
      </c>
      <c r="J874" s="21">
        <v>0</v>
      </c>
      <c r="K874" s="21">
        <v>6</v>
      </c>
      <c r="L874" s="21">
        <v>0</v>
      </c>
      <c r="M874" s="21">
        <v>6</v>
      </c>
      <c r="P874" s="24">
        <f>J874+L874+N874</f>
        <v>0</v>
      </c>
      <c r="Q874" s="24">
        <f>K874+M874+O874</f>
        <v>12</v>
      </c>
      <c r="R874" s="24">
        <v>0</v>
      </c>
      <c r="S874" s="21" t="s">
        <v>486</v>
      </c>
      <c r="U874" s="21" t="s">
        <v>287</v>
      </c>
      <c r="V874" s="21" t="s">
        <v>286</v>
      </c>
      <c r="W874" s="21">
        <v>6</v>
      </c>
      <c r="X874" s="21" t="s">
        <v>285</v>
      </c>
      <c r="Y874" s="21" t="s">
        <v>284</v>
      </c>
      <c r="Z874" s="21" t="s">
        <v>283</v>
      </c>
      <c r="AA874" s="21" t="s">
        <v>90</v>
      </c>
      <c r="AB874" s="21">
        <v>1</v>
      </c>
      <c r="AD874" s="24">
        <v>6.31</v>
      </c>
      <c r="AE874" s="24">
        <v>8.2799999999999994</v>
      </c>
      <c r="AF874" s="21" t="s">
        <v>302</v>
      </c>
      <c r="AG874" s="21" t="s">
        <v>301</v>
      </c>
    </row>
    <row r="875" spans="1:33">
      <c r="A875" s="21" t="s">
        <v>90</v>
      </c>
      <c r="B875" s="21" t="s">
        <v>485</v>
      </c>
      <c r="C875" s="25">
        <v>46128.458333333336</v>
      </c>
      <c r="D875" s="21" t="s">
        <v>427</v>
      </c>
      <c r="E875" s="24">
        <v>6.39</v>
      </c>
      <c r="F875" s="24">
        <v>2.38</v>
      </c>
      <c r="G875" s="24">
        <f>E875-F875</f>
        <v>4.01</v>
      </c>
      <c r="H875" s="21" t="s">
        <v>289</v>
      </c>
      <c r="I875" s="21">
        <v>1</v>
      </c>
      <c r="J875" s="21">
        <v>8</v>
      </c>
      <c r="K875" s="21">
        <v>4</v>
      </c>
      <c r="P875" s="24">
        <f>J875+L875+N875</f>
        <v>8</v>
      </c>
      <c r="Q875" s="24">
        <f>K875+M875+O875</f>
        <v>4</v>
      </c>
      <c r="R875" s="24">
        <v>0.66666666666666663</v>
      </c>
      <c r="S875" s="21" t="s">
        <v>74</v>
      </c>
      <c r="T875" s="21" t="s">
        <v>297</v>
      </c>
      <c r="U875" s="21" t="s">
        <v>287</v>
      </c>
      <c r="V875" s="21" t="s">
        <v>286</v>
      </c>
      <c r="W875" s="21">
        <v>7</v>
      </c>
      <c r="X875" s="21" t="s">
        <v>285</v>
      </c>
      <c r="Y875" s="21" t="s">
        <v>284</v>
      </c>
      <c r="Z875" s="21" t="s">
        <v>283</v>
      </c>
      <c r="AA875" s="21" t="s">
        <v>90</v>
      </c>
      <c r="AB875" s="21">
        <v>1</v>
      </c>
      <c r="AD875" s="24">
        <v>6.31</v>
      </c>
      <c r="AE875" s="24">
        <v>2.5099999999999998</v>
      </c>
      <c r="AF875" s="21" t="s">
        <v>304</v>
      </c>
      <c r="AG875" s="21" t="s">
        <v>303</v>
      </c>
    </row>
    <row r="876" spans="1:33">
      <c r="A876" s="21" t="s">
        <v>90</v>
      </c>
      <c r="B876" s="21" t="s">
        <v>485</v>
      </c>
      <c r="C876" s="25">
        <v>46128.541666666664</v>
      </c>
      <c r="D876" s="21" t="s">
        <v>91</v>
      </c>
      <c r="E876" s="24">
        <v>6.39</v>
      </c>
      <c r="F876" s="24">
        <v>5.85</v>
      </c>
      <c r="G876" s="24">
        <f>E876-F876</f>
        <v>0.54</v>
      </c>
      <c r="H876" s="21" t="s">
        <v>294</v>
      </c>
      <c r="I876" s="21">
        <v>0</v>
      </c>
      <c r="J876" s="21">
        <v>5</v>
      </c>
      <c r="K876" s="21">
        <v>8</v>
      </c>
      <c r="P876" s="24">
        <f>J876+L876+N876</f>
        <v>5</v>
      </c>
      <c r="Q876" s="24">
        <f>K876+M876+O876</f>
        <v>8</v>
      </c>
      <c r="R876" s="24">
        <v>0.38461538461538464</v>
      </c>
      <c r="S876" s="21" t="s">
        <v>74</v>
      </c>
      <c r="T876" s="21" t="s">
        <v>296</v>
      </c>
      <c r="U876" s="21" t="s">
        <v>287</v>
      </c>
      <c r="V876" s="21" t="s">
        <v>286</v>
      </c>
      <c r="W876" s="21">
        <v>8</v>
      </c>
      <c r="X876" s="21" t="s">
        <v>285</v>
      </c>
      <c r="Y876" s="21" t="s">
        <v>284</v>
      </c>
      <c r="Z876" s="21" t="s">
        <v>283</v>
      </c>
      <c r="AA876" s="21" t="s">
        <v>90</v>
      </c>
      <c r="AB876" s="21">
        <v>1</v>
      </c>
      <c r="AD876" s="24">
        <v>6.31</v>
      </c>
      <c r="AE876" s="24">
        <v>6.44</v>
      </c>
      <c r="AF876" s="21" t="s">
        <v>304</v>
      </c>
      <c r="AG876" s="21" t="s">
        <v>303</v>
      </c>
    </row>
    <row r="877" spans="1:33">
      <c r="A877" s="21" t="s">
        <v>90</v>
      </c>
      <c r="B877" s="21" t="s">
        <v>485</v>
      </c>
      <c r="C877" s="25">
        <v>46133.645833333336</v>
      </c>
      <c r="D877" s="21" t="s">
        <v>396</v>
      </c>
      <c r="E877" s="24">
        <v>6.23</v>
      </c>
      <c r="F877" s="24">
        <v>2.65</v>
      </c>
      <c r="G877" s="24">
        <f>E877-F877</f>
        <v>3.5800000000000005</v>
      </c>
      <c r="H877" s="21" t="s">
        <v>289</v>
      </c>
      <c r="I877" s="21">
        <v>1</v>
      </c>
      <c r="J877" s="21">
        <v>6</v>
      </c>
      <c r="K877" s="21">
        <v>1</v>
      </c>
      <c r="L877" s="21">
        <v>6</v>
      </c>
      <c r="M877" s="21">
        <v>1</v>
      </c>
      <c r="P877" s="24">
        <f>J877+L877+N877</f>
        <v>12</v>
      </c>
      <c r="Q877" s="24">
        <f>K877+M877+O877</f>
        <v>2</v>
      </c>
      <c r="R877" s="24">
        <v>0.8571428571428571</v>
      </c>
      <c r="S877" s="21" t="s">
        <v>74</v>
      </c>
      <c r="U877" s="21" t="s">
        <v>287</v>
      </c>
      <c r="V877" s="21" t="s">
        <v>286</v>
      </c>
      <c r="W877" s="21">
        <v>9</v>
      </c>
      <c r="X877" s="21" t="s">
        <v>285</v>
      </c>
      <c r="Y877" s="21" t="s">
        <v>284</v>
      </c>
      <c r="Z877" s="21" t="s">
        <v>283</v>
      </c>
      <c r="AA877" s="21" t="s">
        <v>90</v>
      </c>
      <c r="AB877" s="21">
        <v>1</v>
      </c>
      <c r="AD877" s="24">
        <v>6.31</v>
      </c>
      <c r="AE877" s="24">
        <v>3.35</v>
      </c>
      <c r="AF877" s="21" t="s">
        <v>304</v>
      </c>
      <c r="AG877" s="21" t="s">
        <v>303</v>
      </c>
    </row>
    <row r="878" spans="1:33">
      <c r="A878" s="21" t="s">
        <v>90</v>
      </c>
      <c r="B878" s="21" t="s">
        <v>485</v>
      </c>
      <c r="C878" s="25">
        <v>46136.645833333336</v>
      </c>
      <c r="D878" s="21" t="s">
        <v>401</v>
      </c>
      <c r="E878" s="24">
        <v>6.23</v>
      </c>
      <c r="F878" s="24">
        <v>4.71</v>
      </c>
      <c r="G878" s="24">
        <f>E878-F878</f>
        <v>1.5200000000000005</v>
      </c>
      <c r="H878" s="21" t="s">
        <v>289</v>
      </c>
      <c r="I878" s="21">
        <v>1</v>
      </c>
      <c r="J878" s="21">
        <v>4</v>
      </c>
      <c r="K878" s="21">
        <v>6</v>
      </c>
      <c r="L878" s="21">
        <v>6</v>
      </c>
      <c r="M878" s="21">
        <v>0</v>
      </c>
      <c r="N878" s="21">
        <v>6</v>
      </c>
      <c r="O878" s="21">
        <v>1</v>
      </c>
      <c r="P878" s="24">
        <f>J878+L878+N878</f>
        <v>16</v>
      </c>
      <c r="Q878" s="24">
        <f>K878+M878+O878</f>
        <v>7</v>
      </c>
      <c r="R878" s="24">
        <v>0.69565217391304346</v>
      </c>
      <c r="S878" s="21" t="s">
        <v>55</v>
      </c>
      <c r="U878" s="21" t="s">
        <v>287</v>
      </c>
      <c r="V878" s="21" t="s">
        <v>286</v>
      </c>
      <c r="W878" s="21">
        <v>10</v>
      </c>
      <c r="X878" s="21" t="s">
        <v>285</v>
      </c>
      <c r="Y878" s="21" t="s">
        <v>284</v>
      </c>
      <c r="Z878" s="21" t="s">
        <v>283</v>
      </c>
      <c r="AA878" s="21" t="s">
        <v>90</v>
      </c>
      <c r="AB878" s="21">
        <v>1</v>
      </c>
      <c r="AD878" s="24">
        <v>6.31</v>
      </c>
      <c r="AE878" s="24">
        <v>4.71</v>
      </c>
      <c r="AF878" s="21" t="s">
        <v>304</v>
      </c>
      <c r="AG878" s="21" t="s">
        <v>303</v>
      </c>
    </row>
    <row r="879" spans="1:33">
      <c r="A879" s="21" t="s">
        <v>14</v>
      </c>
      <c r="B879" s="21" t="s">
        <v>473</v>
      </c>
      <c r="C879" s="25">
        <v>46018</v>
      </c>
      <c r="D879" s="21" t="s">
        <v>484</v>
      </c>
      <c r="E879" s="24">
        <v>8.06</v>
      </c>
      <c r="F879" s="24">
        <v>5.73</v>
      </c>
      <c r="G879" s="24">
        <f>E879-F879</f>
        <v>2.33</v>
      </c>
      <c r="H879" s="21" t="s">
        <v>289</v>
      </c>
      <c r="I879" s="21">
        <v>1</v>
      </c>
      <c r="J879" s="21">
        <v>6</v>
      </c>
      <c r="K879" s="21">
        <v>3</v>
      </c>
      <c r="P879" s="24">
        <f>J879+L879+N879</f>
        <v>6</v>
      </c>
      <c r="Q879" s="24">
        <f>K879+M879+O879</f>
        <v>3</v>
      </c>
      <c r="R879" s="24">
        <v>0.66666666666666663</v>
      </c>
      <c r="S879" s="21" t="s">
        <v>478</v>
      </c>
      <c r="T879" s="21" t="s">
        <v>316</v>
      </c>
      <c r="U879" s="21" t="s">
        <v>292</v>
      </c>
      <c r="V879" s="21" t="s">
        <v>286</v>
      </c>
      <c r="W879" s="21">
        <v>0</v>
      </c>
      <c r="X879" s="21" t="s">
        <v>312</v>
      </c>
      <c r="Y879" s="21" t="s">
        <v>318</v>
      </c>
      <c r="Z879" s="21" t="s">
        <v>317</v>
      </c>
      <c r="AA879" s="21" t="s">
        <v>14</v>
      </c>
      <c r="AB879" s="21">
        <v>1</v>
      </c>
      <c r="AD879" s="24">
        <v>8.06</v>
      </c>
      <c r="AE879" s="24">
        <v>5.73</v>
      </c>
      <c r="AF879" s="21" t="s">
        <v>304</v>
      </c>
      <c r="AG879" s="21" t="s">
        <v>303</v>
      </c>
    </row>
    <row r="880" spans="1:33">
      <c r="A880" s="21" t="s">
        <v>14</v>
      </c>
      <c r="B880" s="21" t="s">
        <v>473</v>
      </c>
      <c r="C880" s="25">
        <v>46018</v>
      </c>
      <c r="D880" s="21" t="s">
        <v>235</v>
      </c>
      <c r="E880" s="24">
        <v>8.06</v>
      </c>
      <c r="F880" s="24">
        <v>8.07</v>
      </c>
      <c r="G880" s="24">
        <f>E880-F880</f>
        <v>-9.9999999999997868E-3</v>
      </c>
      <c r="H880" s="21" t="s">
        <v>294</v>
      </c>
      <c r="I880" s="21">
        <v>0</v>
      </c>
      <c r="J880" s="21">
        <v>5</v>
      </c>
      <c r="K880" s="21">
        <v>7</v>
      </c>
      <c r="L880" s="21">
        <v>7</v>
      </c>
      <c r="M880" s="21">
        <v>6</v>
      </c>
      <c r="N880" s="21">
        <v>0</v>
      </c>
      <c r="O880" s="21">
        <v>1</v>
      </c>
      <c r="P880" s="24">
        <f>J880+L880+N880</f>
        <v>12</v>
      </c>
      <c r="Q880" s="24">
        <f>K880+M880+O880</f>
        <v>14</v>
      </c>
      <c r="R880" s="24">
        <v>0.33208955223880599</v>
      </c>
      <c r="S880" s="21" t="s">
        <v>483</v>
      </c>
      <c r="T880" s="21" t="s">
        <v>297</v>
      </c>
      <c r="U880" s="21" t="s">
        <v>292</v>
      </c>
      <c r="V880" s="21" t="s">
        <v>286</v>
      </c>
      <c r="W880" s="21">
        <v>0</v>
      </c>
      <c r="X880" s="21" t="s">
        <v>312</v>
      </c>
      <c r="Y880" s="21" t="s">
        <v>318</v>
      </c>
      <c r="Z880" s="21" t="s">
        <v>317</v>
      </c>
      <c r="AA880" s="21" t="s">
        <v>14</v>
      </c>
      <c r="AB880" s="21">
        <v>1</v>
      </c>
      <c r="AD880" s="24">
        <v>8.06</v>
      </c>
      <c r="AE880" s="24">
        <v>8.07</v>
      </c>
      <c r="AF880" s="21" t="s">
        <v>304</v>
      </c>
      <c r="AG880" s="21" t="s">
        <v>303</v>
      </c>
    </row>
    <row r="881" spans="1:33">
      <c r="A881" s="21" t="s">
        <v>14</v>
      </c>
      <c r="B881" s="21" t="s">
        <v>473</v>
      </c>
      <c r="C881" s="25">
        <v>46018</v>
      </c>
      <c r="D881" s="21" t="s">
        <v>482</v>
      </c>
      <c r="E881" s="24">
        <v>8.06</v>
      </c>
      <c r="F881" s="24">
        <v>4.4800000000000004</v>
      </c>
      <c r="G881" s="24">
        <f>E881-F881</f>
        <v>3.58</v>
      </c>
      <c r="H881" s="21" t="s">
        <v>289</v>
      </c>
      <c r="I881" s="21">
        <v>1</v>
      </c>
      <c r="J881" s="21">
        <v>6</v>
      </c>
      <c r="K881" s="21">
        <v>1</v>
      </c>
      <c r="P881" s="24">
        <f>J881+L881+N881</f>
        <v>6</v>
      </c>
      <c r="Q881" s="24">
        <f>K881+M881+O881</f>
        <v>1</v>
      </c>
      <c r="R881" s="24">
        <v>0.8571428571428571</v>
      </c>
      <c r="S881" s="21" t="s">
        <v>478</v>
      </c>
      <c r="T881" s="21" t="s">
        <v>481</v>
      </c>
      <c r="U881" s="21" t="s">
        <v>292</v>
      </c>
      <c r="V881" s="21" t="s">
        <v>286</v>
      </c>
      <c r="W881" s="21">
        <v>0</v>
      </c>
      <c r="X881" s="21" t="s">
        <v>312</v>
      </c>
      <c r="Y881" s="21" t="s">
        <v>318</v>
      </c>
      <c r="Z881" s="21" t="s">
        <v>317</v>
      </c>
      <c r="AA881" s="21" t="s">
        <v>14</v>
      </c>
      <c r="AB881" s="21">
        <v>1</v>
      </c>
      <c r="AD881" s="24">
        <v>8.06</v>
      </c>
      <c r="AE881" s="24">
        <v>4.4800000000000004</v>
      </c>
      <c r="AF881" s="21" t="s">
        <v>304</v>
      </c>
      <c r="AG881" s="21" t="s">
        <v>303</v>
      </c>
    </row>
    <row r="882" spans="1:33">
      <c r="A882" s="21" t="s">
        <v>14</v>
      </c>
      <c r="B882" s="21" t="s">
        <v>473</v>
      </c>
      <c r="C882" s="25">
        <v>46046</v>
      </c>
      <c r="D882" s="21" t="s">
        <v>480</v>
      </c>
      <c r="E882" s="24">
        <v>8.06</v>
      </c>
      <c r="F882" s="24">
        <v>8.2799999999999994</v>
      </c>
      <c r="G882" s="24">
        <f>E882-F882</f>
        <v>-0.21999999999999886</v>
      </c>
      <c r="H882" s="21" t="s">
        <v>289</v>
      </c>
      <c r="I882" s="21">
        <v>1</v>
      </c>
      <c r="J882" s="21">
        <v>2</v>
      </c>
      <c r="K882" s="21">
        <v>4</v>
      </c>
      <c r="L882" s="21">
        <v>4</v>
      </c>
      <c r="M882" s="21">
        <v>0</v>
      </c>
      <c r="N882" s="21">
        <v>1</v>
      </c>
      <c r="O882" s="21">
        <v>0</v>
      </c>
      <c r="P882" s="24">
        <f>J882+L882+N882</f>
        <v>7</v>
      </c>
      <c r="Q882" s="24">
        <f>K882+M882+O882</f>
        <v>4</v>
      </c>
      <c r="R882" s="24">
        <v>0.63636363636363635</v>
      </c>
      <c r="S882" s="21" t="s">
        <v>478</v>
      </c>
      <c r="T882" s="21" t="s">
        <v>313</v>
      </c>
      <c r="U882" s="21" t="s">
        <v>292</v>
      </c>
      <c r="V882" s="21" t="s">
        <v>286</v>
      </c>
      <c r="W882" s="21">
        <v>3</v>
      </c>
      <c r="X882" s="21" t="s">
        <v>285</v>
      </c>
      <c r="Y882" s="21" t="s">
        <v>318</v>
      </c>
      <c r="Z882" s="21" t="s">
        <v>317</v>
      </c>
      <c r="AA882" s="21" t="s">
        <v>14</v>
      </c>
      <c r="AB882" s="21">
        <v>1</v>
      </c>
      <c r="AD882" s="24">
        <v>8.06</v>
      </c>
      <c r="AE882" s="24">
        <v>8.2799999999999994</v>
      </c>
      <c r="AF882" s="21" t="s">
        <v>302</v>
      </c>
      <c r="AG882" s="21" t="s">
        <v>301</v>
      </c>
    </row>
    <row r="883" spans="1:33">
      <c r="A883" s="21" t="s">
        <v>14</v>
      </c>
      <c r="B883" s="21" t="s">
        <v>473</v>
      </c>
      <c r="C883" s="25">
        <v>46046</v>
      </c>
      <c r="D883" s="21" t="s">
        <v>479</v>
      </c>
      <c r="E883" s="24">
        <v>8.06</v>
      </c>
      <c r="F883" s="24">
        <v>8.8800000000000008</v>
      </c>
      <c r="G883" s="24">
        <f>E883-F883</f>
        <v>-0.82000000000000028</v>
      </c>
      <c r="H883" s="21" t="s">
        <v>294</v>
      </c>
      <c r="I883" s="21">
        <v>0</v>
      </c>
      <c r="J883" s="21">
        <v>5</v>
      </c>
      <c r="K883" s="21">
        <v>4</v>
      </c>
      <c r="L883" s="21">
        <v>1</v>
      </c>
      <c r="M883" s="21">
        <v>4</v>
      </c>
      <c r="N883" s="21">
        <v>0</v>
      </c>
      <c r="O883" s="21">
        <v>1</v>
      </c>
      <c r="P883" s="24">
        <f>J883+L883+N883</f>
        <v>6</v>
      </c>
      <c r="Q883" s="24">
        <f>K883+M883+O883</f>
        <v>9</v>
      </c>
      <c r="R883" s="24">
        <v>0.55238095238095242</v>
      </c>
      <c r="S883" s="21" t="s">
        <v>478</v>
      </c>
      <c r="T883" s="21" t="s">
        <v>316</v>
      </c>
      <c r="U883" s="21" t="s">
        <v>292</v>
      </c>
      <c r="V883" s="21" t="s">
        <v>286</v>
      </c>
      <c r="W883" s="21">
        <v>3</v>
      </c>
      <c r="X883" s="21" t="s">
        <v>285</v>
      </c>
      <c r="Y883" s="21" t="s">
        <v>318</v>
      </c>
      <c r="Z883" s="21" t="s">
        <v>317</v>
      </c>
      <c r="AA883" s="21" t="s">
        <v>14</v>
      </c>
      <c r="AB883" s="21">
        <v>1</v>
      </c>
      <c r="AD883" s="24">
        <v>8.06</v>
      </c>
      <c r="AE883" s="24">
        <v>8.8800000000000008</v>
      </c>
      <c r="AF883" s="21" t="s">
        <v>304</v>
      </c>
      <c r="AG883" s="21" t="s">
        <v>303</v>
      </c>
    </row>
    <row r="884" spans="1:33">
      <c r="A884" s="21" t="s">
        <v>14</v>
      </c>
      <c r="B884" s="21" t="s">
        <v>473</v>
      </c>
      <c r="C884" s="25">
        <v>46092.645833333336</v>
      </c>
      <c r="D884" s="21" t="s">
        <v>124</v>
      </c>
      <c r="E884" s="24">
        <v>6.63</v>
      </c>
      <c r="F884" s="24">
        <v>4.4000000000000004</v>
      </c>
      <c r="G884" s="24">
        <f>E884-F884</f>
        <v>2.2299999999999995</v>
      </c>
      <c r="H884" s="21" t="s">
        <v>289</v>
      </c>
      <c r="I884" s="21">
        <v>1</v>
      </c>
      <c r="J884" s="21">
        <v>6</v>
      </c>
      <c r="K884" s="21">
        <v>0</v>
      </c>
      <c r="L884" s="21">
        <v>6</v>
      </c>
      <c r="M884" s="21">
        <v>1</v>
      </c>
      <c r="P884" s="24">
        <f>J884+L884+N884</f>
        <v>12</v>
      </c>
      <c r="Q884" s="24">
        <f>K884+M884+O884</f>
        <v>1</v>
      </c>
      <c r="R884" s="24">
        <v>0.92307692307692313</v>
      </c>
      <c r="S884" s="21" t="s">
        <v>477</v>
      </c>
      <c r="U884" s="21" t="s">
        <v>287</v>
      </c>
      <c r="V884" s="21" t="s">
        <v>286</v>
      </c>
      <c r="W884" s="21">
        <v>5</v>
      </c>
      <c r="X884" s="21" t="s">
        <v>285</v>
      </c>
      <c r="Y884" s="21" t="s">
        <v>318</v>
      </c>
      <c r="Z884" s="21" t="s">
        <v>317</v>
      </c>
      <c r="AA884" s="21" t="s">
        <v>14</v>
      </c>
      <c r="AB884" s="21">
        <v>1</v>
      </c>
      <c r="AD884" s="24">
        <v>8.06</v>
      </c>
      <c r="AE884" s="24">
        <v>6.17</v>
      </c>
      <c r="AF884" s="21" t="s">
        <v>304</v>
      </c>
      <c r="AG884" s="21" t="s">
        <v>303</v>
      </c>
    </row>
    <row r="885" spans="1:33">
      <c r="A885" s="21" t="s">
        <v>14</v>
      </c>
      <c r="B885" s="21" t="s">
        <v>473</v>
      </c>
      <c r="C885" s="25">
        <v>46094.645833333336</v>
      </c>
      <c r="D885" s="21" t="s">
        <v>143</v>
      </c>
      <c r="E885" s="24">
        <v>6.63</v>
      </c>
      <c r="F885" s="24">
        <v>7.15</v>
      </c>
      <c r="G885" s="24">
        <f>E885-F885</f>
        <v>-0.52000000000000046</v>
      </c>
      <c r="H885" s="21" t="s">
        <v>289</v>
      </c>
      <c r="I885" s="21">
        <v>1</v>
      </c>
      <c r="J885" s="21">
        <v>6</v>
      </c>
      <c r="K885" s="21">
        <v>4</v>
      </c>
      <c r="L885" s="21">
        <v>6</v>
      </c>
      <c r="M885" s="21">
        <v>2</v>
      </c>
      <c r="P885" s="24">
        <f>J885+L885+N885</f>
        <v>12</v>
      </c>
      <c r="Q885" s="24">
        <f>K885+M885+O885</f>
        <v>6</v>
      </c>
      <c r="R885" s="24">
        <v>0.66666666666666663</v>
      </c>
      <c r="S885" s="21" t="s">
        <v>383</v>
      </c>
      <c r="U885" s="21" t="s">
        <v>287</v>
      </c>
      <c r="V885" s="21" t="s">
        <v>286</v>
      </c>
      <c r="W885" s="21">
        <v>6</v>
      </c>
      <c r="X885" s="21" t="s">
        <v>285</v>
      </c>
      <c r="Y885" s="21" t="s">
        <v>318</v>
      </c>
      <c r="Z885" s="21" t="s">
        <v>317</v>
      </c>
      <c r="AA885" s="21" t="s">
        <v>14</v>
      </c>
      <c r="AB885" s="21">
        <v>1</v>
      </c>
      <c r="AD885" s="24">
        <v>8.06</v>
      </c>
      <c r="AE885" s="24">
        <v>7.19</v>
      </c>
      <c r="AF885" s="21" t="s">
        <v>304</v>
      </c>
      <c r="AG885" s="21" t="s">
        <v>303</v>
      </c>
    </row>
    <row r="886" spans="1:33">
      <c r="A886" s="21" t="s">
        <v>14</v>
      </c>
      <c r="B886" s="21" t="s">
        <v>473</v>
      </c>
      <c r="C886" s="25">
        <v>46098.645833333336</v>
      </c>
      <c r="D886" s="21" t="s">
        <v>171</v>
      </c>
      <c r="E886" s="24">
        <v>6.64</v>
      </c>
      <c r="F886" s="24">
        <v>5.3</v>
      </c>
      <c r="G886" s="24">
        <f>E886-F886</f>
        <v>1.3399999999999999</v>
      </c>
      <c r="H886" s="21" t="s">
        <v>289</v>
      </c>
      <c r="I886" s="21">
        <v>1</v>
      </c>
      <c r="J886" s="21">
        <v>6</v>
      </c>
      <c r="K886" s="21">
        <v>1</v>
      </c>
      <c r="L886" s="21">
        <v>6</v>
      </c>
      <c r="M886" s="21">
        <v>1</v>
      </c>
      <c r="P886" s="24">
        <f>J886+L886+N886</f>
        <v>12</v>
      </c>
      <c r="Q886" s="24">
        <f>K886+M886+O886</f>
        <v>2</v>
      </c>
      <c r="R886" s="24">
        <v>0.8571428571428571</v>
      </c>
      <c r="S886" s="21" t="s">
        <v>334</v>
      </c>
      <c r="U886" s="21" t="s">
        <v>287</v>
      </c>
      <c r="V886" s="21" t="s">
        <v>286</v>
      </c>
      <c r="W886" s="21">
        <v>7</v>
      </c>
      <c r="X886" s="21" t="s">
        <v>285</v>
      </c>
      <c r="Y886" s="21" t="s">
        <v>318</v>
      </c>
      <c r="Z886" s="21" t="s">
        <v>317</v>
      </c>
      <c r="AA886" s="21" t="s">
        <v>14</v>
      </c>
      <c r="AB886" s="21">
        <v>1</v>
      </c>
      <c r="AD886" s="24">
        <v>8.06</v>
      </c>
      <c r="AE886" s="24">
        <v>5.3</v>
      </c>
      <c r="AF886" s="21" t="s">
        <v>304</v>
      </c>
      <c r="AG886" s="21" t="s">
        <v>303</v>
      </c>
    </row>
    <row r="887" spans="1:33">
      <c r="A887" s="21" t="s">
        <v>14</v>
      </c>
      <c r="B887" s="21" t="s">
        <v>473</v>
      </c>
      <c r="C887" s="25">
        <v>46099.645833333336</v>
      </c>
      <c r="D887" s="21" t="s">
        <v>61</v>
      </c>
      <c r="E887" s="24">
        <v>6.64</v>
      </c>
      <c r="F887" s="24">
        <v>7.07</v>
      </c>
      <c r="G887" s="24">
        <f>E887-F887</f>
        <v>-0.4300000000000006</v>
      </c>
      <c r="H887" s="21" t="s">
        <v>289</v>
      </c>
      <c r="I887" s="21">
        <v>1</v>
      </c>
      <c r="J887" s="21">
        <v>6</v>
      </c>
      <c r="K887" s="21">
        <v>4</v>
      </c>
      <c r="L887" s="21">
        <v>6</v>
      </c>
      <c r="M887" s="21">
        <v>3</v>
      </c>
      <c r="P887" s="24">
        <f>J887+L887+N887</f>
        <v>12</v>
      </c>
      <c r="Q887" s="24">
        <f>K887+M887+O887</f>
        <v>7</v>
      </c>
      <c r="R887" s="24">
        <v>0.63157894736842102</v>
      </c>
      <c r="S887" s="21" t="s">
        <v>237</v>
      </c>
      <c r="U887" s="21" t="s">
        <v>287</v>
      </c>
      <c r="V887" s="21" t="s">
        <v>286</v>
      </c>
      <c r="W887" s="21">
        <v>8</v>
      </c>
      <c r="X887" s="21" t="s">
        <v>285</v>
      </c>
      <c r="Y887" s="21" t="s">
        <v>318</v>
      </c>
      <c r="Z887" s="21" t="s">
        <v>317</v>
      </c>
      <c r="AA887" s="21" t="s">
        <v>14</v>
      </c>
      <c r="AB887" s="21">
        <v>1</v>
      </c>
      <c r="AD887" s="24">
        <v>8.06</v>
      </c>
      <c r="AE887" s="24">
        <v>6.95</v>
      </c>
      <c r="AF887" s="21" t="s">
        <v>304</v>
      </c>
      <c r="AG887" s="21" t="s">
        <v>303</v>
      </c>
    </row>
    <row r="888" spans="1:33">
      <c r="A888" s="21" t="s">
        <v>14</v>
      </c>
      <c r="B888" s="21" t="s">
        <v>473</v>
      </c>
      <c r="C888" s="25">
        <v>46106.645833333336</v>
      </c>
      <c r="D888" s="21" t="s">
        <v>65</v>
      </c>
      <c r="E888" s="24">
        <v>6.72</v>
      </c>
      <c r="F888" s="24">
        <v>6.58</v>
      </c>
      <c r="G888" s="24">
        <f>E888-F888</f>
        <v>0.13999999999999968</v>
      </c>
      <c r="H888" s="21" t="s">
        <v>294</v>
      </c>
      <c r="I888" s="21">
        <v>0</v>
      </c>
      <c r="J888" s="21">
        <v>7</v>
      </c>
      <c r="K888" s="21">
        <v>6</v>
      </c>
      <c r="L888" s="21">
        <v>3</v>
      </c>
      <c r="M888" s="21">
        <v>6</v>
      </c>
      <c r="N888" s="21">
        <v>4</v>
      </c>
      <c r="O888" s="21">
        <v>6</v>
      </c>
      <c r="P888" s="24">
        <f>J888+L888+N888</f>
        <v>14</v>
      </c>
      <c r="Q888" s="24">
        <f>K888+M888+O888</f>
        <v>18</v>
      </c>
      <c r="R888" s="24">
        <v>0.52173913043478259</v>
      </c>
      <c r="S888" s="21" t="s">
        <v>209</v>
      </c>
      <c r="U888" s="21" t="s">
        <v>287</v>
      </c>
      <c r="V888" s="21" t="s">
        <v>286</v>
      </c>
      <c r="W888" s="21">
        <v>9</v>
      </c>
      <c r="X888" s="21" t="s">
        <v>285</v>
      </c>
      <c r="Y888" s="21" t="s">
        <v>318</v>
      </c>
      <c r="Z888" s="21" t="s">
        <v>317</v>
      </c>
      <c r="AA888" s="21" t="s">
        <v>14</v>
      </c>
      <c r="AB888" s="21">
        <v>1</v>
      </c>
      <c r="AD888" s="24">
        <v>8.06</v>
      </c>
      <c r="AE888" s="24">
        <v>8.31</v>
      </c>
      <c r="AF888" s="21" t="s">
        <v>304</v>
      </c>
      <c r="AG888" s="21" t="s">
        <v>303</v>
      </c>
    </row>
    <row r="889" spans="1:33">
      <c r="A889" s="21" t="s">
        <v>14</v>
      </c>
      <c r="B889" s="21" t="s">
        <v>473</v>
      </c>
      <c r="C889" s="25">
        <v>46107.645833333336</v>
      </c>
      <c r="D889" s="21" t="s">
        <v>18</v>
      </c>
      <c r="E889" s="24">
        <v>6.72</v>
      </c>
      <c r="F889" s="24">
        <v>8.08</v>
      </c>
      <c r="G889" s="24">
        <f>E889-F889</f>
        <v>-1.3600000000000003</v>
      </c>
      <c r="H889" s="21" t="s">
        <v>294</v>
      </c>
      <c r="I889" s="21">
        <v>0</v>
      </c>
      <c r="J889" s="21">
        <v>1</v>
      </c>
      <c r="K889" s="21">
        <v>6</v>
      </c>
      <c r="L889" s="21">
        <v>0</v>
      </c>
      <c r="M889" s="21">
        <v>6</v>
      </c>
      <c r="P889" s="24">
        <f>J889+L889+N889</f>
        <v>1</v>
      </c>
      <c r="Q889" s="24">
        <f>K889+M889+O889</f>
        <v>12</v>
      </c>
      <c r="R889" s="24">
        <v>7.6923076923076927E-2</v>
      </c>
      <c r="S889" s="21" t="s">
        <v>202</v>
      </c>
      <c r="U889" s="21" t="s">
        <v>287</v>
      </c>
      <c r="V889" s="21" t="s">
        <v>286</v>
      </c>
      <c r="W889" s="21">
        <v>10</v>
      </c>
      <c r="X889" s="21" t="s">
        <v>285</v>
      </c>
      <c r="Y889" s="21" t="s">
        <v>318</v>
      </c>
      <c r="Z889" s="21" t="s">
        <v>317</v>
      </c>
      <c r="AA889" s="21" t="s">
        <v>14</v>
      </c>
      <c r="AB889" s="21">
        <v>1</v>
      </c>
      <c r="AD889" s="24">
        <v>8.06</v>
      </c>
      <c r="AE889" s="24">
        <v>8.73</v>
      </c>
      <c r="AF889" s="21" t="s">
        <v>304</v>
      </c>
      <c r="AG889" s="21" t="s">
        <v>303</v>
      </c>
    </row>
    <row r="890" spans="1:33">
      <c r="A890" s="21" t="s">
        <v>14</v>
      </c>
      <c r="B890" s="21" t="s">
        <v>473</v>
      </c>
      <c r="C890" s="25">
        <v>46108.645833333336</v>
      </c>
      <c r="D890" s="21" t="s">
        <v>37</v>
      </c>
      <c r="E890" s="24">
        <v>6.72</v>
      </c>
      <c r="F890" s="24">
        <v>10.029999999999999</v>
      </c>
      <c r="G890" s="24">
        <f>E890-F890</f>
        <v>-3.3099999999999996</v>
      </c>
      <c r="H890" s="21" t="s">
        <v>294</v>
      </c>
      <c r="I890" s="21">
        <v>0</v>
      </c>
      <c r="J890" s="21">
        <v>2</v>
      </c>
      <c r="K890" s="21">
        <v>6</v>
      </c>
      <c r="L890" s="21">
        <v>2</v>
      </c>
      <c r="M890" s="21">
        <v>6</v>
      </c>
      <c r="P890" s="24">
        <f>J890+L890+N890</f>
        <v>4</v>
      </c>
      <c r="Q890" s="24">
        <f>K890+M890+O890</f>
        <v>12</v>
      </c>
      <c r="R890" s="24">
        <v>0.25</v>
      </c>
      <c r="S890" s="21" t="s">
        <v>11</v>
      </c>
      <c r="U890" s="21" t="s">
        <v>287</v>
      </c>
      <c r="V890" s="21" t="s">
        <v>286</v>
      </c>
      <c r="W890" s="21">
        <v>11</v>
      </c>
      <c r="X890" s="21" t="s">
        <v>285</v>
      </c>
      <c r="Y890" s="21" t="s">
        <v>318</v>
      </c>
      <c r="Z890" s="21" t="s">
        <v>317</v>
      </c>
      <c r="AA890" s="21" t="s">
        <v>14</v>
      </c>
      <c r="AB890" s="21">
        <v>1</v>
      </c>
      <c r="AD890" s="24">
        <v>8.06</v>
      </c>
      <c r="AE890" s="24">
        <v>10.06</v>
      </c>
      <c r="AF890" s="21" t="s">
        <v>304</v>
      </c>
      <c r="AG890" s="21" t="s">
        <v>303</v>
      </c>
    </row>
    <row r="891" spans="1:33">
      <c r="A891" s="21" t="s">
        <v>14</v>
      </c>
      <c r="B891" s="21" t="s">
        <v>473</v>
      </c>
      <c r="C891" s="25">
        <v>46118.625</v>
      </c>
      <c r="D891" s="21" t="s">
        <v>165</v>
      </c>
      <c r="E891" s="24">
        <v>6.73</v>
      </c>
      <c r="F891" s="24">
        <v>6.02</v>
      </c>
      <c r="G891" s="24">
        <f>E891-F891</f>
        <v>0.71000000000000085</v>
      </c>
      <c r="H891" s="21" t="s">
        <v>289</v>
      </c>
      <c r="I891" s="21">
        <v>1</v>
      </c>
      <c r="J891" s="21">
        <v>6</v>
      </c>
      <c r="K891" s="21">
        <v>0</v>
      </c>
      <c r="L891" s="21">
        <v>6</v>
      </c>
      <c r="M891" s="21">
        <v>2</v>
      </c>
      <c r="P891" s="24">
        <f>J891+L891+N891</f>
        <v>12</v>
      </c>
      <c r="Q891" s="24">
        <f>K891+M891+O891</f>
        <v>2</v>
      </c>
      <c r="R891" s="24">
        <v>0.8571428571428571</v>
      </c>
      <c r="S891" s="21" t="s">
        <v>166</v>
      </c>
      <c r="U891" s="21" t="s">
        <v>287</v>
      </c>
      <c r="V891" s="21" t="s">
        <v>286</v>
      </c>
      <c r="W891" s="21">
        <v>12</v>
      </c>
      <c r="X891" s="21" t="s">
        <v>285</v>
      </c>
      <c r="Y891" s="21" t="s">
        <v>318</v>
      </c>
      <c r="Z891" s="21" t="s">
        <v>317</v>
      </c>
      <c r="AA891" s="21" t="s">
        <v>14</v>
      </c>
      <c r="AB891" s="21">
        <v>1</v>
      </c>
      <c r="AD891" s="24">
        <v>8.06</v>
      </c>
      <c r="AE891" s="24">
        <v>6.17</v>
      </c>
      <c r="AF891" s="21" t="s">
        <v>304</v>
      </c>
      <c r="AG891" s="21" t="s">
        <v>303</v>
      </c>
    </row>
    <row r="892" spans="1:33">
      <c r="A892" s="21" t="s">
        <v>14</v>
      </c>
      <c r="B892" s="21" t="s">
        <v>473</v>
      </c>
      <c r="C892" s="25">
        <v>46122.645833333336</v>
      </c>
      <c r="D892" s="21" t="s">
        <v>309</v>
      </c>
      <c r="E892" s="24">
        <v>6.75</v>
      </c>
      <c r="F892" s="24">
        <v>3.63</v>
      </c>
      <c r="G892" s="24">
        <f>E892-F892</f>
        <v>3.12</v>
      </c>
      <c r="H892" s="21" t="s">
        <v>289</v>
      </c>
      <c r="I892" s="21">
        <v>1</v>
      </c>
      <c r="J892" s="21">
        <v>6</v>
      </c>
      <c r="K892" s="21">
        <v>1</v>
      </c>
      <c r="L892" s="21">
        <v>6</v>
      </c>
      <c r="M892" s="21">
        <v>1</v>
      </c>
      <c r="P892" s="24">
        <f>J892+L892+N892</f>
        <v>12</v>
      </c>
      <c r="Q892" s="24">
        <f>K892+M892+O892</f>
        <v>2</v>
      </c>
      <c r="R892" s="24">
        <v>0.8571428571428571</v>
      </c>
      <c r="S892" s="21" t="s">
        <v>476</v>
      </c>
      <c r="U892" s="21" t="s">
        <v>287</v>
      </c>
      <c r="V892" s="21" t="s">
        <v>286</v>
      </c>
      <c r="W892" s="21">
        <v>13</v>
      </c>
      <c r="X892" s="21" t="s">
        <v>285</v>
      </c>
      <c r="Y892" s="21" t="s">
        <v>318</v>
      </c>
      <c r="Z892" s="21" t="s">
        <v>317</v>
      </c>
      <c r="AA892" s="21" t="s">
        <v>14</v>
      </c>
      <c r="AB892" s="21">
        <v>1</v>
      </c>
      <c r="AD892" s="24">
        <v>8.06</v>
      </c>
      <c r="AE892" s="24">
        <v>4.22</v>
      </c>
      <c r="AF892" s="21" t="s">
        <v>304</v>
      </c>
      <c r="AG892" s="21" t="s">
        <v>303</v>
      </c>
    </row>
    <row r="893" spans="1:33">
      <c r="A893" s="21" t="s">
        <v>14</v>
      </c>
      <c r="B893" s="21" t="s">
        <v>473</v>
      </c>
      <c r="C893" s="25">
        <v>46126.645833333336</v>
      </c>
      <c r="D893" s="21" t="s">
        <v>28</v>
      </c>
      <c r="E893" s="24">
        <v>6.78</v>
      </c>
      <c r="F893" s="24">
        <v>8.2100000000000009</v>
      </c>
      <c r="G893" s="24">
        <f>E893-F893</f>
        <v>-1.4300000000000006</v>
      </c>
      <c r="H893" s="21" t="s">
        <v>289</v>
      </c>
      <c r="I893" s="21">
        <v>1</v>
      </c>
      <c r="J893" s="21">
        <v>7</v>
      </c>
      <c r="K893" s="21">
        <v>5</v>
      </c>
      <c r="L893" s="21">
        <v>6</v>
      </c>
      <c r="M893" s="21">
        <v>4</v>
      </c>
      <c r="P893" s="24">
        <f>J893+L893+N893</f>
        <v>13</v>
      </c>
      <c r="Q893" s="24">
        <f>K893+M893+O893</f>
        <v>9</v>
      </c>
      <c r="R893" s="24">
        <v>0.59090909090909094</v>
      </c>
      <c r="S893" s="21" t="s">
        <v>300</v>
      </c>
      <c r="U893" s="21" t="s">
        <v>287</v>
      </c>
      <c r="V893" s="21" t="s">
        <v>286</v>
      </c>
      <c r="W893" s="21">
        <v>14</v>
      </c>
      <c r="X893" s="21" t="s">
        <v>285</v>
      </c>
      <c r="Y893" s="21" t="s">
        <v>318</v>
      </c>
      <c r="Z893" s="21" t="s">
        <v>317</v>
      </c>
      <c r="AA893" s="21" t="s">
        <v>14</v>
      </c>
      <c r="AB893" s="21">
        <v>1</v>
      </c>
      <c r="AD893" s="24">
        <v>8.06</v>
      </c>
      <c r="AE893" s="24">
        <v>8.57</v>
      </c>
      <c r="AF893" s="21" t="s">
        <v>322</v>
      </c>
      <c r="AG893" s="21" t="s">
        <v>301</v>
      </c>
    </row>
    <row r="894" spans="1:33">
      <c r="A894" s="21" t="s">
        <v>14</v>
      </c>
      <c r="B894" s="21" t="s">
        <v>473</v>
      </c>
      <c r="C894" s="25">
        <v>46131.777777777781</v>
      </c>
      <c r="D894" s="21" t="s">
        <v>475</v>
      </c>
      <c r="E894" s="24">
        <v>6.78</v>
      </c>
      <c r="F894" s="24">
        <v>3.26</v>
      </c>
      <c r="G894" s="24">
        <f>E894-F894</f>
        <v>3.5200000000000005</v>
      </c>
      <c r="H894" s="21" t="s">
        <v>289</v>
      </c>
      <c r="I894" s="21">
        <v>1</v>
      </c>
      <c r="J894" s="21">
        <v>6</v>
      </c>
      <c r="K894" s="21">
        <v>1</v>
      </c>
      <c r="L894" s="21">
        <v>6</v>
      </c>
      <c r="M894" s="21">
        <v>0</v>
      </c>
      <c r="P894" s="24">
        <f>J894+L894+N894</f>
        <v>12</v>
      </c>
      <c r="Q894" s="24">
        <f>K894+M894+O894</f>
        <v>1</v>
      </c>
      <c r="R894" s="24">
        <v>0.92307692307692313</v>
      </c>
      <c r="S894" s="21" t="s">
        <v>63</v>
      </c>
      <c r="U894" s="21" t="s">
        <v>287</v>
      </c>
      <c r="V894" s="21" t="s">
        <v>286</v>
      </c>
      <c r="W894" s="21">
        <v>15</v>
      </c>
      <c r="X894" s="21" t="s">
        <v>285</v>
      </c>
      <c r="Y894" s="21" t="s">
        <v>318</v>
      </c>
      <c r="Z894" s="21" t="s">
        <v>317</v>
      </c>
      <c r="AA894" s="21" t="s">
        <v>14</v>
      </c>
      <c r="AB894" s="21">
        <v>1</v>
      </c>
      <c r="AD894" s="24">
        <v>8.06</v>
      </c>
      <c r="AE894" s="24">
        <v>3.26</v>
      </c>
      <c r="AF894" s="21" t="s">
        <v>322</v>
      </c>
      <c r="AG894" s="21" t="s">
        <v>301</v>
      </c>
    </row>
    <row r="895" spans="1:33">
      <c r="A895" s="21" t="s">
        <v>14</v>
      </c>
      <c r="B895" s="21" t="s">
        <v>473</v>
      </c>
      <c r="C895" s="25">
        <v>46131.779861111114</v>
      </c>
      <c r="D895" s="21" t="s">
        <v>124</v>
      </c>
      <c r="E895" s="24">
        <v>6.78</v>
      </c>
      <c r="F895" s="24">
        <v>5.34</v>
      </c>
      <c r="G895" s="24">
        <f>E895-F895</f>
        <v>1.4400000000000004</v>
      </c>
      <c r="H895" s="21" t="s">
        <v>289</v>
      </c>
      <c r="I895" s="21">
        <v>1</v>
      </c>
      <c r="J895" s="21">
        <v>6</v>
      </c>
      <c r="K895" s="21">
        <v>1</v>
      </c>
      <c r="L895" s="21">
        <v>3</v>
      </c>
      <c r="M895" s="21">
        <v>6</v>
      </c>
      <c r="N895" s="21">
        <v>6</v>
      </c>
      <c r="O895" s="21">
        <v>1</v>
      </c>
      <c r="P895" s="24">
        <f>J895+L895+N895</f>
        <v>15</v>
      </c>
      <c r="Q895" s="24">
        <f>K895+M895+O895</f>
        <v>8</v>
      </c>
      <c r="R895" s="24">
        <v>0.65217391304347827</v>
      </c>
      <c r="S895" s="21" t="s">
        <v>63</v>
      </c>
      <c r="U895" s="21" t="s">
        <v>287</v>
      </c>
      <c r="V895" s="21" t="s">
        <v>286</v>
      </c>
      <c r="W895" s="21">
        <v>16</v>
      </c>
      <c r="X895" s="21" t="s">
        <v>285</v>
      </c>
      <c r="Y895" s="21" t="s">
        <v>318</v>
      </c>
      <c r="Z895" s="21" t="s">
        <v>317</v>
      </c>
      <c r="AA895" s="21" t="s">
        <v>14</v>
      </c>
      <c r="AB895" s="21">
        <v>1</v>
      </c>
      <c r="AD895" s="24">
        <v>8.06</v>
      </c>
      <c r="AE895" s="24">
        <v>6.17</v>
      </c>
      <c r="AF895" s="21" t="s">
        <v>322</v>
      </c>
      <c r="AG895" s="21" t="s">
        <v>301</v>
      </c>
    </row>
    <row r="896" spans="1:33">
      <c r="A896" s="21" t="s">
        <v>14</v>
      </c>
      <c r="B896" s="21" t="s">
        <v>473</v>
      </c>
      <c r="C896" s="25">
        <v>46131.78125</v>
      </c>
      <c r="D896" s="21" t="s">
        <v>65</v>
      </c>
      <c r="E896" s="24">
        <v>6.78</v>
      </c>
      <c r="F896" s="24">
        <v>7.3</v>
      </c>
      <c r="G896" s="24">
        <f>E896-F896</f>
        <v>-0.51999999999999957</v>
      </c>
      <c r="H896" s="21" t="s">
        <v>289</v>
      </c>
      <c r="I896" s="21">
        <v>1</v>
      </c>
      <c r="J896" s="21">
        <v>6</v>
      </c>
      <c r="K896" s="21">
        <v>7</v>
      </c>
      <c r="L896" s="21">
        <v>6</v>
      </c>
      <c r="M896" s="21">
        <v>4</v>
      </c>
      <c r="N896" s="21">
        <v>6</v>
      </c>
      <c r="O896" s="21">
        <v>3</v>
      </c>
      <c r="P896" s="24">
        <f>J896+L896+N896</f>
        <v>18</v>
      </c>
      <c r="Q896" s="24">
        <f>K896+M896+O896</f>
        <v>14</v>
      </c>
      <c r="R896" s="24">
        <v>0.47826086956521741</v>
      </c>
      <c r="S896" s="21" t="s">
        <v>63</v>
      </c>
      <c r="U896" s="21" t="s">
        <v>287</v>
      </c>
      <c r="V896" s="21" t="s">
        <v>286</v>
      </c>
      <c r="W896" s="21">
        <v>17</v>
      </c>
      <c r="X896" s="21" t="s">
        <v>285</v>
      </c>
      <c r="Y896" s="21" t="s">
        <v>318</v>
      </c>
      <c r="Z896" s="21" t="s">
        <v>317</v>
      </c>
      <c r="AA896" s="21" t="s">
        <v>14</v>
      </c>
      <c r="AB896" s="21">
        <v>1</v>
      </c>
      <c r="AD896" s="24">
        <v>8.06</v>
      </c>
      <c r="AE896" s="24">
        <v>8.31</v>
      </c>
      <c r="AF896" s="21" t="s">
        <v>304</v>
      </c>
      <c r="AG896" s="21" t="s">
        <v>303</v>
      </c>
    </row>
    <row r="897" spans="1:33">
      <c r="A897" s="21" t="s">
        <v>14</v>
      </c>
      <c r="B897" s="21" t="s">
        <v>473</v>
      </c>
      <c r="C897" s="25">
        <v>46131.78125</v>
      </c>
      <c r="D897" s="21" t="s">
        <v>10</v>
      </c>
      <c r="E897" s="24">
        <v>6.78</v>
      </c>
      <c r="F897" s="24">
        <v>6.92</v>
      </c>
      <c r="G897" s="24">
        <f>E897-F897</f>
        <v>-0.13999999999999968</v>
      </c>
      <c r="H897" s="21" t="s">
        <v>289</v>
      </c>
      <c r="I897" s="21">
        <v>1</v>
      </c>
      <c r="J897" s="21">
        <v>6</v>
      </c>
      <c r="K897" s="21">
        <v>2</v>
      </c>
      <c r="L897" s="21">
        <v>6</v>
      </c>
      <c r="M897" s="21">
        <v>4</v>
      </c>
      <c r="P897" s="24">
        <f>J897+L897+N897</f>
        <v>12</v>
      </c>
      <c r="Q897" s="24">
        <f>K897+M897+O897</f>
        <v>6</v>
      </c>
      <c r="R897" s="24">
        <v>0.66666666666666663</v>
      </c>
      <c r="S897" s="21" t="s">
        <v>63</v>
      </c>
      <c r="U897" s="21" t="s">
        <v>287</v>
      </c>
      <c r="V897" s="21" t="s">
        <v>286</v>
      </c>
      <c r="W897" s="21">
        <v>17</v>
      </c>
      <c r="X897" s="21" t="s">
        <v>285</v>
      </c>
      <c r="Y897" s="21" t="s">
        <v>318</v>
      </c>
      <c r="Z897" s="21" t="s">
        <v>317</v>
      </c>
      <c r="AA897" s="21" t="s">
        <v>14</v>
      </c>
      <c r="AB897" s="21">
        <v>1</v>
      </c>
      <c r="AD897" s="24">
        <v>8.06</v>
      </c>
      <c r="AE897" s="24">
        <v>6.92</v>
      </c>
      <c r="AF897" s="21" t="s">
        <v>302</v>
      </c>
      <c r="AG897" s="21" t="s">
        <v>301</v>
      </c>
    </row>
    <row r="898" spans="1:33">
      <c r="A898" s="21" t="s">
        <v>14</v>
      </c>
      <c r="B898" s="21" t="s">
        <v>473</v>
      </c>
      <c r="C898" s="25">
        <v>46133.645833333336</v>
      </c>
      <c r="D898" s="21" t="s">
        <v>78</v>
      </c>
      <c r="E898" s="24">
        <v>6.83</v>
      </c>
      <c r="F898" s="24">
        <v>10.41</v>
      </c>
      <c r="G898" s="24">
        <f>E898-F898</f>
        <v>-3.58</v>
      </c>
      <c r="H898" s="21" t="s">
        <v>294</v>
      </c>
      <c r="I898" s="21">
        <v>0</v>
      </c>
      <c r="J898" s="21">
        <v>6</v>
      </c>
      <c r="K898" s="21">
        <v>7</v>
      </c>
      <c r="L898" s="21">
        <v>1</v>
      </c>
      <c r="M898" s="21">
        <v>6</v>
      </c>
      <c r="P898" s="24">
        <f>J898+L898+N898</f>
        <v>7</v>
      </c>
      <c r="Q898" s="24">
        <f>K898+M898+O898</f>
        <v>13</v>
      </c>
      <c r="R898" s="24">
        <v>0.44295302013422821</v>
      </c>
      <c r="S898" s="21" t="s">
        <v>63</v>
      </c>
      <c r="U898" s="21" t="s">
        <v>287</v>
      </c>
      <c r="V898" s="21" t="s">
        <v>286</v>
      </c>
      <c r="W898" s="21">
        <v>19</v>
      </c>
      <c r="X898" s="21" t="s">
        <v>285</v>
      </c>
      <c r="Y898" s="21" t="s">
        <v>318</v>
      </c>
      <c r="Z898" s="21" t="s">
        <v>317</v>
      </c>
      <c r="AA898" s="21" t="s">
        <v>14</v>
      </c>
      <c r="AB898" s="21">
        <v>1</v>
      </c>
      <c r="AD898" s="24">
        <v>8.06</v>
      </c>
      <c r="AE898" s="24">
        <v>9.77</v>
      </c>
      <c r="AF898" s="21" t="s">
        <v>302</v>
      </c>
      <c r="AG898" s="21" t="s">
        <v>301</v>
      </c>
    </row>
    <row r="899" spans="1:33">
      <c r="A899" s="21" t="s">
        <v>14</v>
      </c>
      <c r="B899" s="21" t="s">
        <v>473</v>
      </c>
      <c r="C899" s="25">
        <v>46141.479166666664</v>
      </c>
      <c r="D899" s="21" t="s">
        <v>441</v>
      </c>
      <c r="E899" s="24">
        <v>6.86</v>
      </c>
      <c r="F899" s="24">
        <v>3.42</v>
      </c>
      <c r="G899" s="24">
        <f>E899-F899</f>
        <v>3.4400000000000004</v>
      </c>
      <c r="H899" s="21" t="s">
        <v>289</v>
      </c>
      <c r="I899" s="21">
        <v>1</v>
      </c>
      <c r="J899" s="26">
        <v>6</v>
      </c>
      <c r="K899" s="26">
        <v>0</v>
      </c>
      <c r="L899" s="26">
        <v>6</v>
      </c>
      <c r="M899" s="26">
        <v>0</v>
      </c>
      <c r="N899" s="26"/>
      <c r="O899" s="26"/>
      <c r="P899" s="24">
        <f>J899+L899+N899</f>
        <v>12</v>
      </c>
      <c r="Q899" s="24">
        <f>K899+M899+O899</f>
        <v>0</v>
      </c>
      <c r="R899" s="24">
        <v>1</v>
      </c>
      <c r="S899" s="21" t="s">
        <v>474</v>
      </c>
      <c r="U899" s="21" t="s">
        <v>287</v>
      </c>
      <c r="V899" s="21" t="s">
        <v>286</v>
      </c>
      <c r="W899" s="21">
        <v>20</v>
      </c>
      <c r="X899" s="21" t="s">
        <v>285</v>
      </c>
      <c r="Y899" s="21" t="s">
        <v>318</v>
      </c>
      <c r="Z899" s="21" t="s">
        <v>317</v>
      </c>
      <c r="AA899" s="21" t="s">
        <v>14</v>
      </c>
      <c r="AB899" s="21">
        <v>1</v>
      </c>
      <c r="AD899" s="24">
        <v>8.06</v>
      </c>
      <c r="AE899" s="24">
        <v>3.25</v>
      </c>
      <c r="AF899" s="21" t="s">
        <v>302</v>
      </c>
      <c r="AG899" s="21" t="s">
        <v>301</v>
      </c>
    </row>
    <row r="900" spans="1:33">
      <c r="A900" s="21" t="s">
        <v>14</v>
      </c>
      <c r="B900" s="21" t="s">
        <v>473</v>
      </c>
      <c r="C900" s="25">
        <v>46141.571527777778</v>
      </c>
      <c r="D900" s="21" t="s">
        <v>70</v>
      </c>
      <c r="E900" s="24">
        <v>6.86</v>
      </c>
      <c r="F900" s="24">
        <v>7.26</v>
      </c>
      <c r="G900" s="24">
        <f>E900-F900</f>
        <v>-0.39999999999999947</v>
      </c>
      <c r="H900" s="21" t="s">
        <v>289</v>
      </c>
      <c r="I900" s="21">
        <v>1</v>
      </c>
      <c r="J900" s="21">
        <v>6</v>
      </c>
      <c r="K900" s="21">
        <v>3</v>
      </c>
      <c r="L900" s="21">
        <v>6</v>
      </c>
      <c r="M900" s="21">
        <v>3</v>
      </c>
      <c r="P900" s="24">
        <f>J900+L900+N900</f>
        <v>12</v>
      </c>
      <c r="Q900" s="24">
        <f>K900+M900+O900</f>
        <v>6</v>
      </c>
      <c r="R900" s="24">
        <v>0.66666666666666663</v>
      </c>
      <c r="S900" s="21" t="s">
        <v>29</v>
      </c>
      <c r="T900" s="21" t="s">
        <v>298</v>
      </c>
      <c r="U900" s="21" t="s">
        <v>292</v>
      </c>
      <c r="V900" s="21" t="s">
        <v>286</v>
      </c>
      <c r="W900" s="21">
        <v>21</v>
      </c>
      <c r="X900" s="21" t="s">
        <v>285</v>
      </c>
      <c r="Y900" s="21" t="s">
        <v>318</v>
      </c>
      <c r="Z900" s="21" t="s">
        <v>317</v>
      </c>
      <c r="AA900" s="21" t="s">
        <v>14</v>
      </c>
      <c r="AB900" s="21">
        <v>1</v>
      </c>
      <c r="AD900" s="24">
        <v>8.06</v>
      </c>
      <c r="AE900" s="24">
        <v>7.26</v>
      </c>
      <c r="AF900" s="21" t="s">
        <v>302</v>
      </c>
      <c r="AG900" s="21" t="s">
        <v>301</v>
      </c>
    </row>
    <row r="901" spans="1:33">
      <c r="A901" s="21" t="s">
        <v>14</v>
      </c>
      <c r="B901" s="21" t="s">
        <v>473</v>
      </c>
      <c r="C901" s="25">
        <v>46141.581944444442</v>
      </c>
      <c r="D901" s="21" t="s">
        <v>18</v>
      </c>
      <c r="E901" s="24">
        <v>6.86</v>
      </c>
      <c r="F901" s="24">
        <v>8.18</v>
      </c>
      <c r="G901" s="24">
        <f>E901-F901</f>
        <v>-1.3199999999999994</v>
      </c>
      <c r="H901" s="21" t="s">
        <v>294</v>
      </c>
      <c r="I901" s="21">
        <v>0</v>
      </c>
      <c r="J901" s="21">
        <v>3</v>
      </c>
      <c r="K901" s="21">
        <v>6</v>
      </c>
      <c r="L901" s="21">
        <v>3</v>
      </c>
      <c r="M901" s="21">
        <v>6</v>
      </c>
      <c r="P901" s="24">
        <f>J901+L901+N901</f>
        <v>6</v>
      </c>
      <c r="Q901" s="24">
        <f>K901+M901+O901</f>
        <v>12</v>
      </c>
      <c r="R901" s="24">
        <v>0.33333333333333331</v>
      </c>
      <c r="S901" s="21" t="s">
        <v>29</v>
      </c>
      <c r="T901" s="21" t="s">
        <v>297</v>
      </c>
      <c r="U901" s="21" t="s">
        <v>292</v>
      </c>
      <c r="V901" s="21" t="s">
        <v>286</v>
      </c>
      <c r="W901" s="21">
        <v>22</v>
      </c>
      <c r="X901" s="21" t="s">
        <v>285</v>
      </c>
      <c r="Y901" s="21" t="s">
        <v>318</v>
      </c>
      <c r="Z901" s="21" t="s">
        <v>317</v>
      </c>
      <c r="AA901" s="21" t="s">
        <v>14</v>
      </c>
      <c r="AB901" s="21">
        <v>1</v>
      </c>
      <c r="AD901" s="24">
        <v>8.06</v>
      </c>
      <c r="AE901" s="24">
        <v>8.73</v>
      </c>
      <c r="AF901" s="21" t="s">
        <v>302</v>
      </c>
      <c r="AG901" s="21" t="s">
        <v>301</v>
      </c>
    </row>
    <row r="902" spans="1:33">
      <c r="A902" s="21" t="s">
        <v>14</v>
      </c>
      <c r="B902" s="21" t="s">
        <v>473</v>
      </c>
      <c r="C902" s="25">
        <v>46142.645833333336</v>
      </c>
      <c r="D902" s="21" t="s">
        <v>13</v>
      </c>
      <c r="E902" s="24">
        <v>6.86</v>
      </c>
      <c r="F902" s="24">
        <v>7.26</v>
      </c>
      <c r="G902" s="24">
        <f>E902-F902</f>
        <v>-0.39999999999999947</v>
      </c>
      <c r="H902" s="21" t="s">
        <v>289</v>
      </c>
      <c r="I902" s="21">
        <v>1</v>
      </c>
      <c r="J902" s="21">
        <v>6</v>
      </c>
      <c r="K902" s="21">
        <v>2</v>
      </c>
      <c r="L902" s="21">
        <v>6</v>
      </c>
      <c r="M902" s="21">
        <v>4</v>
      </c>
      <c r="P902" s="24">
        <f>J902+L902+N902</f>
        <v>12</v>
      </c>
      <c r="Q902" s="24">
        <f>K902+M902+O902</f>
        <v>6</v>
      </c>
      <c r="R902" s="24">
        <v>0.66666666666666663</v>
      </c>
      <c r="S902" s="21" t="s">
        <v>15</v>
      </c>
      <c r="U902" s="21" t="s">
        <v>287</v>
      </c>
      <c r="V902" s="21" t="s">
        <v>286</v>
      </c>
      <c r="W902" s="21">
        <v>23</v>
      </c>
      <c r="X902" s="21" t="s">
        <v>285</v>
      </c>
      <c r="Y902" s="21" t="s">
        <v>318</v>
      </c>
      <c r="Z902" s="21" t="s">
        <v>317</v>
      </c>
      <c r="AA902" s="21" t="s">
        <v>14</v>
      </c>
      <c r="AB902" s="21">
        <v>1</v>
      </c>
      <c r="AD902" s="24">
        <v>8.06</v>
      </c>
      <c r="AE902" s="24">
        <v>7.52</v>
      </c>
      <c r="AF902" s="21" t="s">
        <v>304</v>
      </c>
      <c r="AG902" s="21" t="s">
        <v>341</v>
      </c>
    </row>
    <row r="903" spans="1:33">
      <c r="A903" s="21" t="s">
        <v>14</v>
      </c>
      <c r="B903" s="21" t="s">
        <v>473</v>
      </c>
      <c r="C903" s="25">
        <v>46146.6875</v>
      </c>
      <c r="D903" s="21" t="s">
        <v>37</v>
      </c>
      <c r="E903" s="24">
        <v>6.86</v>
      </c>
      <c r="F903" s="24">
        <v>10.16</v>
      </c>
      <c r="G903" s="24">
        <f>E903-F903</f>
        <v>-3.3</v>
      </c>
      <c r="H903" s="21" t="s">
        <v>294</v>
      </c>
      <c r="I903" s="21">
        <v>0</v>
      </c>
      <c r="J903" s="21">
        <v>1</v>
      </c>
      <c r="K903" s="21">
        <v>6</v>
      </c>
      <c r="L903" s="21">
        <v>6</v>
      </c>
      <c r="M903" s="21">
        <v>3</v>
      </c>
      <c r="N903" s="21">
        <v>2</v>
      </c>
      <c r="O903" s="21">
        <v>6</v>
      </c>
      <c r="P903" s="24">
        <f>J903+L903+N903</f>
        <v>9</v>
      </c>
      <c r="Q903" s="24">
        <f>K903+M903+O903</f>
        <v>15</v>
      </c>
      <c r="R903" s="24">
        <v>0.375</v>
      </c>
      <c r="S903" s="21" t="s">
        <v>11</v>
      </c>
      <c r="U903" s="21" t="s">
        <v>287</v>
      </c>
      <c r="V903" s="21" t="s">
        <v>286</v>
      </c>
      <c r="W903" s="21">
        <v>24</v>
      </c>
      <c r="X903" s="21" t="s">
        <v>285</v>
      </c>
      <c r="Y903" s="21" t="s">
        <v>318</v>
      </c>
      <c r="Z903" s="21" t="s">
        <v>317</v>
      </c>
      <c r="AA903" s="21" t="s">
        <v>14</v>
      </c>
      <c r="AB903" s="21">
        <v>1</v>
      </c>
      <c r="AD903" s="24">
        <v>8.06</v>
      </c>
      <c r="AE903" s="24">
        <v>10.06</v>
      </c>
      <c r="AF903" s="21" t="s">
        <v>302</v>
      </c>
      <c r="AG903" s="21" t="s">
        <v>301</v>
      </c>
    </row>
    <row r="904" spans="1:33">
      <c r="A904" s="21" t="s">
        <v>14</v>
      </c>
      <c r="B904" s="21" t="s">
        <v>473</v>
      </c>
      <c r="C904" s="25">
        <v>46147.708333333336</v>
      </c>
      <c r="D904" s="21" t="s">
        <v>18</v>
      </c>
      <c r="E904" s="24">
        <v>6.93</v>
      </c>
      <c r="F904" s="24">
        <v>8.24</v>
      </c>
      <c r="G904" s="24">
        <f>E904-F904</f>
        <v>-1.3100000000000005</v>
      </c>
      <c r="H904" s="21" t="s">
        <v>294</v>
      </c>
      <c r="I904" s="21">
        <v>0</v>
      </c>
      <c r="J904" s="21">
        <v>3</v>
      </c>
      <c r="K904" s="21">
        <v>6</v>
      </c>
      <c r="L904" s="21">
        <v>4</v>
      </c>
      <c r="M904" s="21">
        <v>6</v>
      </c>
      <c r="P904" s="24">
        <f>J904+L904+N904</f>
        <v>7</v>
      </c>
      <c r="Q904" s="24">
        <f>K904+M904+O904</f>
        <v>12</v>
      </c>
      <c r="R904" s="24">
        <v>0.36842105263157893</v>
      </c>
      <c r="S904" s="21" t="s">
        <v>3</v>
      </c>
      <c r="U904" s="21" t="s">
        <v>287</v>
      </c>
      <c r="V904" s="21" t="s">
        <v>286</v>
      </c>
      <c r="W904" s="21">
        <v>25</v>
      </c>
      <c r="X904" s="21" t="s">
        <v>285</v>
      </c>
      <c r="Y904" s="21" t="s">
        <v>318</v>
      </c>
      <c r="Z904" s="21" t="s">
        <v>317</v>
      </c>
      <c r="AA904" s="21" t="s">
        <v>14</v>
      </c>
      <c r="AB904" s="21">
        <v>1</v>
      </c>
      <c r="AD904" s="24">
        <v>8.06</v>
      </c>
      <c r="AE904" s="24">
        <v>8.73</v>
      </c>
      <c r="AF904" s="21" t="s">
        <v>304</v>
      </c>
      <c r="AG904" s="21" t="s">
        <v>303</v>
      </c>
    </row>
    <row r="905" spans="1:33">
      <c r="A905" s="21" t="s">
        <v>135</v>
      </c>
      <c r="B905" s="21" t="s">
        <v>461</v>
      </c>
      <c r="C905" s="25">
        <v>46033</v>
      </c>
      <c r="D905" s="21" t="s">
        <v>472</v>
      </c>
      <c r="E905" s="24">
        <v>5.17</v>
      </c>
      <c r="F905" s="24">
        <v>5.1100000000000003</v>
      </c>
      <c r="G905" s="24">
        <f>E905-F905</f>
        <v>5.9999999999999609E-2</v>
      </c>
      <c r="H905" s="21" t="s">
        <v>294</v>
      </c>
      <c r="I905" s="21">
        <v>0</v>
      </c>
      <c r="J905" s="21">
        <v>0</v>
      </c>
      <c r="K905" s="21">
        <v>3</v>
      </c>
      <c r="P905" s="24">
        <f>J905+L905+N905</f>
        <v>0</v>
      </c>
      <c r="Q905" s="24">
        <f>K905+M905+O905</f>
        <v>3</v>
      </c>
      <c r="R905" s="24">
        <v>0</v>
      </c>
      <c r="S905" s="21" t="s">
        <v>429</v>
      </c>
      <c r="U905" s="21" t="s">
        <v>287</v>
      </c>
      <c r="V905" s="21" t="s">
        <v>286</v>
      </c>
      <c r="W905" s="21">
        <v>0</v>
      </c>
      <c r="X905" s="21" t="s">
        <v>312</v>
      </c>
      <c r="Y905" s="21" t="s">
        <v>284</v>
      </c>
      <c r="Z905" s="21" t="s">
        <v>283</v>
      </c>
      <c r="AA905" s="21" t="s">
        <v>135</v>
      </c>
      <c r="AB905" s="21">
        <v>1</v>
      </c>
      <c r="AD905" s="24">
        <v>5.17</v>
      </c>
      <c r="AE905" s="24">
        <v>5.1100000000000003</v>
      </c>
      <c r="AF905" s="21" t="s">
        <v>304</v>
      </c>
      <c r="AG905" s="21" t="s">
        <v>303</v>
      </c>
    </row>
    <row r="906" spans="1:33">
      <c r="A906" s="21" t="s">
        <v>135</v>
      </c>
      <c r="B906" s="21" t="s">
        <v>461</v>
      </c>
      <c r="C906" s="25">
        <v>46054</v>
      </c>
      <c r="D906" s="21" t="s">
        <v>471</v>
      </c>
      <c r="E906" s="24">
        <v>5.17</v>
      </c>
      <c r="F906" s="24">
        <v>5.56</v>
      </c>
      <c r="G906" s="24">
        <f>E906-F906</f>
        <v>-0.38999999999999968</v>
      </c>
      <c r="H906" s="21" t="s">
        <v>294</v>
      </c>
      <c r="I906" s="21">
        <v>0</v>
      </c>
      <c r="J906" s="21">
        <v>1</v>
      </c>
      <c r="K906" s="21">
        <v>2</v>
      </c>
      <c r="P906" s="24">
        <f>J906+L906+N906</f>
        <v>1</v>
      </c>
      <c r="Q906" s="24">
        <f>K906+M906+O906</f>
        <v>2</v>
      </c>
      <c r="R906" s="24">
        <v>0.33333333333333331</v>
      </c>
      <c r="S906" s="21" t="s">
        <v>429</v>
      </c>
      <c r="U906" s="21" t="s">
        <v>287</v>
      </c>
      <c r="V906" s="21" t="s">
        <v>286</v>
      </c>
      <c r="W906" s="21">
        <v>1</v>
      </c>
      <c r="X906" s="21" t="s">
        <v>323</v>
      </c>
      <c r="Y906" s="21" t="s">
        <v>284</v>
      </c>
      <c r="Z906" s="21" t="s">
        <v>283</v>
      </c>
      <c r="AA906" s="21" t="s">
        <v>135</v>
      </c>
      <c r="AB906" s="21">
        <v>1</v>
      </c>
      <c r="AD906" s="24">
        <v>5.17</v>
      </c>
      <c r="AE906" s="24">
        <v>5.56</v>
      </c>
      <c r="AF906" s="21" t="s">
        <v>322</v>
      </c>
      <c r="AG906" s="21" t="s">
        <v>301</v>
      </c>
    </row>
    <row r="907" spans="1:33">
      <c r="A907" s="21" t="s">
        <v>135</v>
      </c>
      <c r="B907" s="21" t="s">
        <v>461</v>
      </c>
      <c r="C907" s="25">
        <v>46061</v>
      </c>
      <c r="D907" s="21" t="s">
        <v>470</v>
      </c>
      <c r="E907" s="24">
        <v>5.17</v>
      </c>
      <c r="F907" s="24">
        <v>2.82</v>
      </c>
      <c r="G907" s="24">
        <f>E907-F907</f>
        <v>2.35</v>
      </c>
      <c r="H907" s="21" t="s">
        <v>289</v>
      </c>
      <c r="I907" s="21">
        <v>1</v>
      </c>
      <c r="J907" s="21">
        <v>3</v>
      </c>
      <c r="K907" s="21">
        <v>1</v>
      </c>
      <c r="P907" s="24">
        <f>J907+L907+N907</f>
        <v>3</v>
      </c>
      <c r="Q907" s="24">
        <f>K907+M907+O907</f>
        <v>1</v>
      </c>
      <c r="R907" s="24">
        <v>0.75</v>
      </c>
      <c r="S907" s="21" t="s">
        <v>429</v>
      </c>
      <c r="U907" s="21" t="s">
        <v>287</v>
      </c>
      <c r="V907" s="21" t="s">
        <v>286</v>
      </c>
      <c r="W907" s="21">
        <v>2</v>
      </c>
      <c r="X907" s="21" t="s">
        <v>310</v>
      </c>
      <c r="Y907" s="21" t="s">
        <v>284</v>
      </c>
      <c r="Z907" s="21" t="s">
        <v>283</v>
      </c>
      <c r="AA907" s="21" t="s">
        <v>135</v>
      </c>
      <c r="AB907" s="21">
        <v>1</v>
      </c>
      <c r="AD907" s="24">
        <v>5.17</v>
      </c>
      <c r="AE907" s="24">
        <v>2.82</v>
      </c>
      <c r="AF907" s="21" t="s">
        <v>322</v>
      </c>
      <c r="AG907" s="21" t="s">
        <v>301</v>
      </c>
    </row>
    <row r="908" spans="1:33">
      <c r="A908" s="21" t="s">
        <v>135</v>
      </c>
      <c r="B908" s="21" t="s">
        <v>461</v>
      </c>
      <c r="C908" s="25">
        <v>46091.645833333336</v>
      </c>
      <c r="D908" s="21" t="s">
        <v>181</v>
      </c>
      <c r="E908" s="24">
        <v>5</v>
      </c>
      <c r="F908" s="24">
        <v>6</v>
      </c>
      <c r="G908" s="24">
        <f>E908-F908</f>
        <v>-1</v>
      </c>
      <c r="H908" s="21" t="s">
        <v>294</v>
      </c>
      <c r="I908" s="21">
        <v>0</v>
      </c>
      <c r="J908" s="21">
        <v>2</v>
      </c>
      <c r="K908" s="21">
        <v>6</v>
      </c>
      <c r="L908" s="21">
        <v>1</v>
      </c>
      <c r="M908" s="21">
        <v>6</v>
      </c>
      <c r="P908" s="24">
        <f>J908+L908+N908</f>
        <v>3</v>
      </c>
      <c r="Q908" s="24">
        <f>K908+M908+O908</f>
        <v>12</v>
      </c>
      <c r="R908" s="24">
        <v>0.2</v>
      </c>
      <c r="S908" s="21" t="s">
        <v>429</v>
      </c>
      <c r="U908" s="21" t="s">
        <v>287</v>
      </c>
      <c r="V908" s="21" t="s">
        <v>286</v>
      </c>
      <c r="W908" s="21">
        <v>3</v>
      </c>
      <c r="X908" s="21" t="s">
        <v>285</v>
      </c>
      <c r="Y908" s="21" t="s">
        <v>284</v>
      </c>
      <c r="Z908" s="21" t="s">
        <v>283</v>
      </c>
      <c r="AA908" s="21" t="s">
        <v>135</v>
      </c>
      <c r="AB908" s="21">
        <v>1</v>
      </c>
      <c r="AD908" s="24">
        <v>5.17</v>
      </c>
      <c r="AE908" s="24">
        <v>6.07</v>
      </c>
      <c r="AF908" s="21" t="s">
        <v>322</v>
      </c>
      <c r="AG908" s="21" t="s">
        <v>301</v>
      </c>
    </row>
    <row r="909" spans="1:33">
      <c r="A909" s="21" t="s">
        <v>135</v>
      </c>
      <c r="B909" s="21" t="s">
        <v>461</v>
      </c>
      <c r="C909" s="25">
        <v>46092.645833333336</v>
      </c>
      <c r="D909" s="21" t="s">
        <v>251</v>
      </c>
      <c r="E909" s="24">
        <v>5</v>
      </c>
      <c r="F909" s="24">
        <v>5.33</v>
      </c>
      <c r="G909" s="24">
        <f>E909-F909</f>
        <v>-0.33000000000000007</v>
      </c>
      <c r="H909" s="21" t="s">
        <v>294</v>
      </c>
      <c r="I909" s="21">
        <v>0</v>
      </c>
      <c r="J909" s="21">
        <v>3</v>
      </c>
      <c r="K909" s="21">
        <v>6</v>
      </c>
      <c r="L909" s="21">
        <v>3</v>
      </c>
      <c r="M909" s="21">
        <v>6</v>
      </c>
      <c r="P909" s="24">
        <f>J909+L909+N909</f>
        <v>6</v>
      </c>
      <c r="Q909" s="24">
        <f>K909+M909+O909</f>
        <v>12</v>
      </c>
      <c r="R909" s="24">
        <v>0.33333333333333331</v>
      </c>
      <c r="S909" s="21" t="s">
        <v>252</v>
      </c>
      <c r="U909" s="21" t="s">
        <v>287</v>
      </c>
      <c r="V909" s="21" t="s">
        <v>286</v>
      </c>
      <c r="W909" s="21">
        <v>4</v>
      </c>
      <c r="X909" s="21" t="s">
        <v>285</v>
      </c>
      <c r="Y909" s="21" t="s">
        <v>284</v>
      </c>
      <c r="Z909" s="21" t="s">
        <v>283</v>
      </c>
      <c r="AA909" s="21" t="s">
        <v>135</v>
      </c>
      <c r="AB909" s="21">
        <v>1</v>
      </c>
      <c r="AD909" s="24">
        <v>5.17</v>
      </c>
      <c r="AE909" s="24">
        <v>5.33</v>
      </c>
      <c r="AF909" s="21" t="s">
        <v>322</v>
      </c>
      <c r="AG909" s="21" t="s">
        <v>301</v>
      </c>
    </row>
    <row r="910" spans="1:33">
      <c r="A910" s="21" t="s">
        <v>135</v>
      </c>
      <c r="B910" s="21" t="s">
        <v>461</v>
      </c>
      <c r="C910" s="25">
        <v>46094.145833333336</v>
      </c>
      <c r="D910" s="21" t="s">
        <v>469</v>
      </c>
      <c r="E910" s="24">
        <v>5</v>
      </c>
      <c r="F910" s="24">
        <v>4.49</v>
      </c>
      <c r="G910" s="24">
        <f>E910-F910</f>
        <v>0.50999999999999979</v>
      </c>
      <c r="H910" s="21" t="s">
        <v>289</v>
      </c>
      <c r="I910" s="21">
        <v>1</v>
      </c>
      <c r="J910" s="21">
        <v>6</v>
      </c>
      <c r="K910" s="21">
        <v>4</v>
      </c>
      <c r="L910" s="21">
        <v>6</v>
      </c>
      <c r="M910" s="21">
        <v>4</v>
      </c>
      <c r="P910" s="24">
        <f>J910+L910+N910</f>
        <v>12</v>
      </c>
      <c r="Q910" s="24">
        <f>K910+M910+O910</f>
        <v>8</v>
      </c>
      <c r="R910" s="24">
        <v>0.6</v>
      </c>
      <c r="S910" s="21" t="s">
        <v>468</v>
      </c>
      <c r="U910" s="21" t="s">
        <v>287</v>
      </c>
      <c r="V910" s="21" t="s">
        <v>286</v>
      </c>
      <c r="W910" s="21">
        <v>5</v>
      </c>
      <c r="X910" s="21" t="s">
        <v>285</v>
      </c>
      <c r="Y910" s="21" t="s">
        <v>284</v>
      </c>
      <c r="Z910" s="21" t="s">
        <v>283</v>
      </c>
      <c r="AA910" s="21" t="s">
        <v>135</v>
      </c>
      <c r="AB910" s="21">
        <v>1</v>
      </c>
      <c r="AD910" s="24">
        <v>5.17</v>
      </c>
      <c r="AE910" s="24">
        <v>4.49</v>
      </c>
      <c r="AF910" s="21" t="s">
        <v>322</v>
      </c>
      <c r="AG910" s="21" t="s">
        <v>301</v>
      </c>
    </row>
    <row r="911" spans="1:33">
      <c r="A911" s="21" t="s">
        <v>135</v>
      </c>
      <c r="B911" s="21" t="s">
        <v>461</v>
      </c>
      <c r="C911" s="25">
        <v>46098.645833333336</v>
      </c>
      <c r="D911" s="21" t="s">
        <v>424</v>
      </c>
      <c r="E911" s="24">
        <v>4.6900000000000004</v>
      </c>
      <c r="F911" s="24">
        <v>4.91</v>
      </c>
      <c r="G911" s="24">
        <f>E911-F911</f>
        <v>-0.21999999999999975</v>
      </c>
      <c r="H911" s="21" t="s">
        <v>289</v>
      </c>
      <c r="I911" s="21">
        <v>1</v>
      </c>
      <c r="J911" s="21">
        <v>6</v>
      </c>
      <c r="K911" s="21">
        <v>1</v>
      </c>
      <c r="L911" s="21">
        <v>6</v>
      </c>
      <c r="M911" s="21">
        <v>7</v>
      </c>
      <c r="N911" s="21">
        <v>1</v>
      </c>
      <c r="O911" s="21">
        <v>0</v>
      </c>
      <c r="P911" s="24">
        <f>J911+L911+N911</f>
        <v>13</v>
      </c>
      <c r="Q911" s="24">
        <f>K911+M911+O911</f>
        <v>8</v>
      </c>
      <c r="R911" s="24">
        <v>0.53971789161098738</v>
      </c>
      <c r="S911" s="21" t="s">
        <v>467</v>
      </c>
      <c r="U911" s="21" t="s">
        <v>287</v>
      </c>
      <c r="V911" s="21" t="s">
        <v>286</v>
      </c>
      <c r="W911" s="21">
        <v>6</v>
      </c>
      <c r="X911" s="21" t="s">
        <v>285</v>
      </c>
      <c r="Y911" s="21" t="s">
        <v>284</v>
      </c>
      <c r="Z911" s="21" t="s">
        <v>283</v>
      </c>
      <c r="AA911" s="21" t="s">
        <v>135</v>
      </c>
      <c r="AB911" s="21">
        <v>1</v>
      </c>
      <c r="AD911" s="24">
        <v>5.17</v>
      </c>
      <c r="AE911" s="24">
        <v>4.91</v>
      </c>
      <c r="AF911" s="21" t="s">
        <v>322</v>
      </c>
      <c r="AG911" s="21" t="s">
        <v>301</v>
      </c>
    </row>
    <row r="912" spans="1:33">
      <c r="A912" s="21" t="s">
        <v>135</v>
      </c>
      <c r="B912" s="21" t="s">
        <v>461</v>
      </c>
      <c r="C912" s="25">
        <v>46106.625</v>
      </c>
      <c r="D912" s="21" t="s">
        <v>340</v>
      </c>
      <c r="E912" s="24">
        <v>4.29</v>
      </c>
      <c r="F912" s="24">
        <v>4.32</v>
      </c>
      <c r="G912" s="24">
        <f>E912-F912</f>
        <v>-3.0000000000000249E-2</v>
      </c>
      <c r="H912" s="21" t="s">
        <v>289</v>
      </c>
      <c r="I912" s="21">
        <v>1</v>
      </c>
      <c r="J912" s="21">
        <v>7</v>
      </c>
      <c r="K912" s="21">
        <v>5</v>
      </c>
      <c r="L912" s="21">
        <v>4</v>
      </c>
      <c r="M912" s="21">
        <v>6</v>
      </c>
      <c r="N912" s="21">
        <v>6</v>
      </c>
      <c r="O912" s="21">
        <v>2</v>
      </c>
      <c r="P912" s="24">
        <f>J912+L912+N912</f>
        <v>17</v>
      </c>
      <c r="Q912" s="24">
        <f>K912+M912+O912</f>
        <v>13</v>
      </c>
      <c r="R912" s="24">
        <v>0.56666666666666665</v>
      </c>
      <c r="S912" s="21" t="s">
        <v>466</v>
      </c>
      <c r="U912" s="21" t="s">
        <v>287</v>
      </c>
      <c r="V912" s="21" t="s">
        <v>286</v>
      </c>
      <c r="W912" s="21">
        <v>7</v>
      </c>
      <c r="X912" s="21" t="s">
        <v>285</v>
      </c>
      <c r="Y912" s="21" t="s">
        <v>284</v>
      </c>
      <c r="Z912" s="21" t="s">
        <v>283</v>
      </c>
      <c r="AA912" s="21" t="s">
        <v>135</v>
      </c>
      <c r="AB912" s="21">
        <v>1</v>
      </c>
      <c r="AD912" s="24">
        <v>5.17</v>
      </c>
      <c r="AE912" s="24">
        <v>4.32</v>
      </c>
      <c r="AF912" s="21" t="s">
        <v>322</v>
      </c>
      <c r="AG912" s="21" t="s">
        <v>301</v>
      </c>
    </row>
    <row r="913" spans="1:33">
      <c r="A913" s="21" t="s">
        <v>135</v>
      </c>
      <c r="B913" s="21" t="s">
        <v>461</v>
      </c>
      <c r="C913" s="25">
        <v>46112.645833333336</v>
      </c>
      <c r="D913" s="21" t="s">
        <v>465</v>
      </c>
      <c r="E913" s="24">
        <v>4.74</v>
      </c>
      <c r="F913" s="24">
        <v>3.53</v>
      </c>
      <c r="G913" s="24">
        <f>E913-F913</f>
        <v>1.2100000000000004</v>
      </c>
      <c r="H913" s="21" t="s">
        <v>289</v>
      </c>
      <c r="I913" s="21">
        <v>1</v>
      </c>
      <c r="J913" s="21">
        <v>6</v>
      </c>
      <c r="K913" s="21">
        <v>0</v>
      </c>
      <c r="L913" s="21">
        <v>6</v>
      </c>
      <c r="M913" s="21">
        <v>0</v>
      </c>
      <c r="P913" s="24">
        <f>J913+L913+N913</f>
        <v>12</v>
      </c>
      <c r="Q913" s="24">
        <f>K913+M913+O913</f>
        <v>0</v>
      </c>
      <c r="R913" s="24">
        <v>1</v>
      </c>
      <c r="S913" s="21" t="s">
        <v>177</v>
      </c>
      <c r="U913" s="21" t="s">
        <v>287</v>
      </c>
      <c r="V913" s="21" t="s">
        <v>286</v>
      </c>
      <c r="W913" s="21">
        <v>8</v>
      </c>
      <c r="X913" s="21" t="s">
        <v>285</v>
      </c>
      <c r="Y913" s="21" t="s">
        <v>284</v>
      </c>
      <c r="Z913" s="21" t="s">
        <v>283</v>
      </c>
      <c r="AA913" s="21" t="s">
        <v>135</v>
      </c>
      <c r="AB913" s="21">
        <v>1</v>
      </c>
      <c r="AD913" s="24">
        <v>5.17</v>
      </c>
      <c r="AE913" s="24">
        <v>3.53</v>
      </c>
      <c r="AF913" s="21" t="s">
        <v>322</v>
      </c>
      <c r="AG913" s="21" t="s">
        <v>301</v>
      </c>
    </row>
    <row r="914" spans="1:33">
      <c r="A914" s="21" t="s">
        <v>135</v>
      </c>
      <c r="B914" s="21" t="s">
        <v>461</v>
      </c>
      <c r="C914" s="25">
        <v>46113.645833333336</v>
      </c>
      <c r="D914" s="21" t="s">
        <v>26</v>
      </c>
      <c r="E914" s="24">
        <v>4.74</v>
      </c>
      <c r="F914" s="24">
        <v>6.79</v>
      </c>
      <c r="G914" s="24">
        <f>E914-F914</f>
        <v>-2.0499999999999998</v>
      </c>
      <c r="H914" s="21" t="s">
        <v>294</v>
      </c>
      <c r="I914" s="21">
        <v>0</v>
      </c>
      <c r="J914" s="21">
        <v>0</v>
      </c>
      <c r="K914" s="21">
        <v>6</v>
      </c>
      <c r="L914" s="21">
        <v>1</v>
      </c>
      <c r="M914" s="21">
        <v>6</v>
      </c>
      <c r="P914" s="24">
        <f>J914+L914+N914</f>
        <v>1</v>
      </c>
      <c r="Q914" s="24">
        <f>K914+M914+O914</f>
        <v>12</v>
      </c>
      <c r="R914" s="24">
        <v>7.6923076923076927E-2</v>
      </c>
      <c r="S914" s="21" t="s">
        <v>464</v>
      </c>
      <c r="U914" s="21" t="s">
        <v>287</v>
      </c>
      <c r="V914" s="21" t="s">
        <v>286</v>
      </c>
      <c r="W914" s="21">
        <v>9</v>
      </c>
      <c r="X914" s="21" t="s">
        <v>285</v>
      </c>
      <c r="Y914" s="21" t="s">
        <v>284</v>
      </c>
      <c r="Z914" s="21" t="s">
        <v>283</v>
      </c>
      <c r="AA914" s="21" t="s">
        <v>135</v>
      </c>
      <c r="AB914" s="21">
        <v>1</v>
      </c>
      <c r="AD914" s="24">
        <v>5.17</v>
      </c>
      <c r="AE914" s="24">
        <v>7.98</v>
      </c>
      <c r="AF914" s="21" t="s">
        <v>322</v>
      </c>
      <c r="AG914" s="21" t="s">
        <v>301</v>
      </c>
    </row>
    <row r="915" spans="1:33">
      <c r="A915" s="21" t="s">
        <v>135</v>
      </c>
      <c r="B915" s="21" t="s">
        <v>461</v>
      </c>
      <c r="C915" s="25">
        <v>46120.666666666664</v>
      </c>
      <c r="D915" s="21" t="s">
        <v>463</v>
      </c>
      <c r="E915" s="24">
        <v>5</v>
      </c>
      <c r="F915" s="24">
        <v>6.6</v>
      </c>
      <c r="G915" s="24">
        <f>E915-F915</f>
        <v>-1.5999999999999996</v>
      </c>
      <c r="H915" s="21" t="s">
        <v>294</v>
      </c>
      <c r="I915" s="21">
        <v>0</v>
      </c>
      <c r="J915" s="21">
        <v>0</v>
      </c>
      <c r="K915" s="21">
        <v>6</v>
      </c>
      <c r="L915" s="21">
        <v>1</v>
      </c>
      <c r="M915" s="21">
        <v>6</v>
      </c>
      <c r="P915" s="24">
        <f>J915+L915+N915</f>
        <v>1</v>
      </c>
      <c r="Q915" s="24">
        <f>K915+M915+O915</f>
        <v>12</v>
      </c>
      <c r="R915" s="24">
        <v>7.6923076923076927E-2</v>
      </c>
      <c r="S915" s="21" t="s">
        <v>462</v>
      </c>
      <c r="U915" s="21" t="s">
        <v>287</v>
      </c>
      <c r="V915" s="21" t="s">
        <v>286</v>
      </c>
      <c r="W915" s="21">
        <v>10</v>
      </c>
      <c r="X915" s="21" t="s">
        <v>285</v>
      </c>
      <c r="Y915" s="21" t="s">
        <v>284</v>
      </c>
      <c r="Z915" s="21" t="s">
        <v>283</v>
      </c>
      <c r="AA915" s="21" t="s">
        <v>135</v>
      </c>
      <c r="AB915" s="21">
        <v>1</v>
      </c>
      <c r="AD915" s="24">
        <v>5.17</v>
      </c>
      <c r="AE915" s="24">
        <v>6.6</v>
      </c>
      <c r="AF915" s="21" t="s">
        <v>322</v>
      </c>
      <c r="AG915" s="21" t="s">
        <v>301</v>
      </c>
    </row>
    <row r="916" spans="1:33">
      <c r="A916" s="21" t="s">
        <v>135</v>
      </c>
      <c r="B916" s="21" t="s">
        <v>461</v>
      </c>
      <c r="C916" s="25">
        <v>46121.645833333336</v>
      </c>
      <c r="D916" s="21" t="s">
        <v>5</v>
      </c>
      <c r="E916" s="24">
        <v>5</v>
      </c>
      <c r="F916" s="24">
        <v>8.9600000000000009</v>
      </c>
      <c r="G916" s="24">
        <f>E916-F916</f>
        <v>-3.9600000000000009</v>
      </c>
      <c r="H916" s="21" t="s">
        <v>294</v>
      </c>
      <c r="I916" s="21">
        <v>0</v>
      </c>
      <c r="J916" s="21">
        <v>1</v>
      </c>
      <c r="K916" s="21">
        <v>6</v>
      </c>
      <c r="L916" s="21">
        <v>0</v>
      </c>
      <c r="M916" s="21">
        <v>6</v>
      </c>
      <c r="P916" s="24">
        <f>J916+L916+N916</f>
        <v>1</v>
      </c>
      <c r="Q916" s="24">
        <f>K916+M916+O916</f>
        <v>12</v>
      </c>
      <c r="R916" s="24">
        <v>7.6923076923076927E-2</v>
      </c>
      <c r="S916" s="21" t="s">
        <v>442</v>
      </c>
      <c r="U916" s="21" t="s">
        <v>287</v>
      </c>
      <c r="V916" s="21" t="s">
        <v>286</v>
      </c>
      <c r="W916" s="21">
        <v>11</v>
      </c>
      <c r="X916" s="21" t="s">
        <v>285</v>
      </c>
      <c r="Y916" s="21" t="s">
        <v>284</v>
      </c>
      <c r="Z916" s="21" t="s">
        <v>283</v>
      </c>
      <c r="AA916" s="21" t="s">
        <v>135</v>
      </c>
      <c r="AB916" s="21">
        <v>1</v>
      </c>
      <c r="AD916" s="24">
        <v>5.17</v>
      </c>
      <c r="AE916" s="24">
        <v>7.96</v>
      </c>
      <c r="AF916" s="21" t="s">
        <v>304</v>
      </c>
      <c r="AG916" s="21" t="s">
        <v>303</v>
      </c>
    </row>
    <row r="917" spans="1:33">
      <c r="A917" s="21" t="s">
        <v>135</v>
      </c>
      <c r="B917" s="21" t="s">
        <v>461</v>
      </c>
      <c r="C917" s="25">
        <v>46122.333333333336</v>
      </c>
      <c r="D917" s="21" t="s">
        <v>134</v>
      </c>
      <c r="E917" s="24">
        <v>5</v>
      </c>
      <c r="F917" s="24">
        <v>5.44</v>
      </c>
      <c r="G917" s="24">
        <f>E917-F917</f>
        <v>-0.44000000000000039</v>
      </c>
      <c r="H917" s="21" t="s">
        <v>294</v>
      </c>
      <c r="I917" s="21">
        <v>0</v>
      </c>
      <c r="J917" s="21">
        <v>2</v>
      </c>
      <c r="K917" s="21">
        <v>6</v>
      </c>
      <c r="L917" s="21">
        <v>6</v>
      </c>
      <c r="M917" s="21">
        <v>3</v>
      </c>
      <c r="N917" s="21">
        <v>3</v>
      </c>
      <c r="O917" s="21">
        <v>6</v>
      </c>
      <c r="P917" s="24">
        <f>J917+L917+N917</f>
        <v>11</v>
      </c>
      <c r="Q917" s="24">
        <f>K917+M917+O917</f>
        <v>15</v>
      </c>
      <c r="R917" s="24">
        <v>0.42307692307692307</v>
      </c>
      <c r="S917" s="21" t="s">
        <v>136</v>
      </c>
      <c r="U917" s="21" t="s">
        <v>287</v>
      </c>
      <c r="V917" s="21" t="s">
        <v>286</v>
      </c>
      <c r="W917" s="21">
        <v>12</v>
      </c>
      <c r="X917" s="21" t="s">
        <v>285</v>
      </c>
      <c r="Y917" s="21" t="s">
        <v>284</v>
      </c>
      <c r="Z917" s="21" t="s">
        <v>283</v>
      </c>
      <c r="AA917" s="21" t="s">
        <v>135</v>
      </c>
      <c r="AB917" s="21">
        <v>1</v>
      </c>
      <c r="AD917" s="24">
        <v>5.17</v>
      </c>
      <c r="AE917" s="24">
        <v>5.98</v>
      </c>
      <c r="AF917" s="21" t="s">
        <v>302</v>
      </c>
      <c r="AG917" s="21" t="s">
        <v>301</v>
      </c>
    </row>
    <row r="918" spans="1:33">
      <c r="A918" s="21" t="s">
        <v>37</v>
      </c>
      <c r="B918" s="21" t="s">
        <v>439</v>
      </c>
      <c r="C918" s="25">
        <v>46024</v>
      </c>
      <c r="D918" s="21" t="s">
        <v>460</v>
      </c>
      <c r="E918" s="24">
        <v>10.06</v>
      </c>
      <c r="F918" s="24">
        <v>7.71</v>
      </c>
      <c r="G918" s="24">
        <f>E918-F918</f>
        <v>2.3500000000000005</v>
      </c>
      <c r="H918" s="21" t="s">
        <v>289</v>
      </c>
      <c r="I918" s="21">
        <v>1</v>
      </c>
      <c r="J918" s="21">
        <v>6</v>
      </c>
      <c r="K918" s="21">
        <v>0</v>
      </c>
      <c r="L918" s="21">
        <v>6</v>
      </c>
      <c r="M918" s="21">
        <v>0</v>
      </c>
      <c r="P918" s="24">
        <f>J918+L918+N918</f>
        <v>12</v>
      </c>
      <c r="Q918" s="24">
        <f>K918+M918+O918</f>
        <v>0</v>
      </c>
      <c r="R918" s="24">
        <v>1</v>
      </c>
      <c r="S918" s="21" t="s">
        <v>458</v>
      </c>
      <c r="T918" s="21" t="s">
        <v>296</v>
      </c>
      <c r="U918" s="21" t="s">
        <v>292</v>
      </c>
      <c r="V918" s="21" t="s">
        <v>286</v>
      </c>
      <c r="W918" s="21">
        <v>0</v>
      </c>
      <c r="X918" s="21" t="s">
        <v>312</v>
      </c>
      <c r="Y918" s="21" t="s">
        <v>318</v>
      </c>
      <c r="Z918" s="21" t="s">
        <v>317</v>
      </c>
      <c r="AA918" s="21" t="s">
        <v>37</v>
      </c>
      <c r="AB918" s="21">
        <v>1</v>
      </c>
      <c r="AD918" s="24">
        <v>10.06</v>
      </c>
      <c r="AE918" s="24">
        <v>7.71</v>
      </c>
      <c r="AF918" s="21" t="s">
        <v>304</v>
      </c>
      <c r="AG918" s="21" t="s">
        <v>303</v>
      </c>
    </row>
    <row r="919" spans="1:33">
      <c r="A919" s="21" t="s">
        <v>37</v>
      </c>
      <c r="B919" s="21" t="s">
        <v>439</v>
      </c>
      <c r="C919" s="25">
        <v>46024</v>
      </c>
      <c r="D919" s="21" t="s">
        <v>459</v>
      </c>
      <c r="E919" s="24">
        <v>10.06</v>
      </c>
      <c r="F919" s="24">
        <v>8.9700000000000006</v>
      </c>
      <c r="G919" s="24">
        <f>E919-F919</f>
        <v>1.0899999999999999</v>
      </c>
      <c r="H919" s="21" t="s">
        <v>289</v>
      </c>
      <c r="I919" s="21">
        <v>1</v>
      </c>
      <c r="J919" s="21">
        <v>6</v>
      </c>
      <c r="K919" s="21">
        <v>1</v>
      </c>
      <c r="L919" s="21">
        <v>6</v>
      </c>
      <c r="M919" s="21">
        <v>1</v>
      </c>
      <c r="P919" s="24">
        <f>J919+L919+N919</f>
        <v>12</v>
      </c>
      <c r="Q919" s="24">
        <f>K919+M919+O919</f>
        <v>2</v>
      </c>
      <c r="R919" s="24">
        <v>0.8571428571428571</v>
      </c>
      <c r="S919" s="21" t="s">
        <v>458</v>
      </c>
      <c r="T919" s="21" t="s">
        <v>295</v>
      </c>
      <c r="U919" s="21" t="s">
        <v>292</v>
      </c>
      <c r="V919" s="21" t="s">
        <v>286</v>
      </c>
      <c r="W919" s="21">
        <v>0</v>
      </c>
      <c r="X919" s="21" t="s">
        <v>312</v>
      </c>
      <c r="Y919" s="21" t="s">
        <v>318</v>
      </c>
      <c r="Z919" s="21" t="s">
        <v>317</v>
      </c>
      <c r="AA919" s="21" t="s">
        <v>37</v>
      </c>
      <c r="AB919" s="21">
        <v>1</v>
      </c>
      <c r="AD919" s="24">
        <v>10.06</v>
      </c>
      <c r="AE919" s="24">
        <v>8.9700000000000006</v>
      </c>
      <c r="AF919" s="21" t="s">
        <v>304</v>
      </c>
      <c r="AG919" s="21" t="s">
        <v>303</v>
      </c>
    </row>
    <row r="920" spans="1:33">
      <c r="A920" s="21" t="s">
        <v>37</v>
      </c>
      <c r="B920" s="21" t="s">
        <v>439</v>
      </c>
      <c r="C920" s="25">
        <v>46031</v>
      </c>
      <c r="D920" s="21" t="s">
        <v>457</v>
      </c>
      <c r="E920" s="24">
        <v>10.06</v>
      </c>
      <c r="F920" s="24">
        <v>9.24</v>
      </c>
      <c r="G920" s="24">
        <f>E920-F920</f>
        <v>0.82000000000000028</v>
      </c>
      <c r="H920" s="21" t="s">
        <v>289</v>
      </c>
      <c r="I920" s="21">
        <v>1</v>
      </c>
      <c r="J920" s="21">
        <v>6</v>
      </c>
      <c r="K920" s="21">
        <v>3</v>
      </c>
      <c r="L920" s="21">
        <v>6</v>
      </c>
      <c r="M920" s="21">
        <v>4</v>
      </c>
      <c r="P920" s="24">
        <f>J920+L920+N920</f>
        <v>12</v>
      </c>
      <c r="Q920" s="24">
        <f>K920+M920+O920</f>
        <v>7</v>
      </c>
      <c r="R920" s="24">
        <v>0.63157894736842102</v>
      </c>
      <c r="S920" s="21" t="s">
        <v>452</v>
      </c>
      <c r="T920" s="21" t="s">
        <v>298</v>
      </c>
      <c r="U920" s="21" t="s">
        <v>292</v>
      </c>
      <c r="V920" s="21" t="s">
        <v>286</v>
      </c>
      <c r="W920" s="21">
        <v>2</v>
      </c>
      <c r="X920" s="21" t="s">
        <v>310</v>
      </c>
      <c r="Y920" s="21" t="s">
        <v>318</v>
      </c>
      <c r="Z920" s="21" t="s">
        <v>317</v>
      </c>
      <c r="AA920" s="21" t="s">
        <v>37</v>
      </c>
      <c r="AB920" s="21">
        <v>1</v>
      </c>
      <c r="AD920" s="24">
        <v>10.06</v>
      </c>
      <c r="AE920" s="24">
        <v>9.24</v>
      </c>
      <c r="AF920" s="21" t="s">
        <v>304</v>
      </c>
      <c r="AG920" s="21" t="s">
        <v>303</v>
      </c>
    </row>
    <row r="921" spans="1:33">
      <c r="A921" s="21" t="s">
        <v>37</v>
      </c>
      <c r="B921" s="21" t="s">
        <v>439</v>
      </c>
      <c r="C921" s="25">
        <v>46031</v>
      </c>
      <c r="D921" s="21" t="s">
        <v>456</v>
      </c>
      <c r="E921" s="24">
        <v>10.06</v>
      </c>
      <c r="F921" s="24">
        <v>10.96</v>
      </c>
      <c r="G921" s="24">
        <f>E921-F921</f>
        <v>-0.90000000000000036</v>
      </c>
      <c r="H921" s="21" t="s">
        <v>294</v>
      </c>
      <c r="I921" s="21">
        <v>0</v>
      </c>
      <c r="J921" s="21">
        <v>4</v>
      </c>
      <c r="K921" s="21">
        <v>6</v>
      </c>
      <c r="L921" s="21">
        <v>1</v>
      </c>
      <c r="M921" s="21">
        <v>6</v>
      </c>
      <c r="P921" s="24">
        <f>J921+L921+N921</f>
        <v>5</v>
      </c>
      <c r="Q921" s="24">
        <f>K921+M921+O921</f>
        <v>12</v>
      </c>
      <c r="R921" s="24">
        <v>0.29411764705882354</v>
      </c>
      <c r="S921" s="21" t="s">
        <v>452</v>
      </c>
      <c r="T921" s="21" t="s">
        <v>297</v>
      </c>
      <c r="U921" s="21" t="s">
        <v>292</v>
      </c>
      <c r="V921" s="21" t="s">
        <v>286</v>
      </c>
      <c r="W921" s="21">
        <v>2</v>
      </c>
      <c r="X921" s="21" t="s">
        <v>310</v>
      </c>
      <c r="Y921" s="21" t="s">
        <v>318</v>
      </c>
      <c r="Z921" s="21" t="s">
        <v>317</v>
      </c>
      <c r="AA921" s="21" t="s">
        <v>37</v>
      </c>
      <c r="AB921" s="21">
        <v>1</v>
      </c>
      <c r="AD921" s="24">
        <v>10.06</v>
      </c>
      <c r="AE921" s="24">
        <v>10.96</v>
      </c>
      <c r="AF921" s="21" t="s">
        <v>304</v>
      </c>
      <c r="AG921" s="21" t="s">
        <v>303</v>
      </c>
    </row>
    <row r="922" spans="1:33">
      <c r="A922" s="21" t="s">
        <v>37</v>
      </c>
      <c r="B922" s="21" t="s">
        <v>439</v>
      </c>
      <c r="C922" s="25">
        <v>46031</v>
      </c>
      <c r="D922" s="21" t="s">
        <v>455</v>
      </c>
      <c r="E922" s="24">
        <v>10.06</v>
      </c>
      <c r="F922" s="24">
        <v>9.98</v>
      </c>
      <c r="G922" s="24">
        <f>E922-F922</f>
        <v>8.0000000000000071E-2</v>
      </c>
      <c r="H922" s="21" t="s">
        <v>289</v>
      </c>
      <c r="I922" s="21">
        <v>1</v>
      </c>
      <c r="J922" s="21">
        <v>6</v>
      </c>
      <c r="K922" s="21">
        <v>3</v>
      </c>
      <c r="L922" s="21">
        <v>6</v>
      </c>
      <c r="M922" s="21">
        <v>4</v>
      </c>
      <c r="P922" s="24">
        <f>J922+L922+N922</f>
        <v>12</v>
      </c>
      <c r="Q922" s="24">
        <f>K922+M922+O922</f>
        <v>7</v>
      </c>
      <c r="R922" s="24">
        <v>0.63157894736842102</v>
      </c>
      <c r="S922" s="21" t="s">
        <v>452</v>
      </c>
      <c r="T922" s="21" t="s">
        <v>454</v>
      </c>
      <c r="U922" s="21" t="s">
        <v>292</v>
      </c>
      <c r="V922" s="21" t="s">
        <v>286</v>
      </c>
      <c r="W922" s="21">
        <v>2</v>
      </c>
      <c r="X922" s="21" t="s">
        <v>310</v>
      </c>
      <c r="Y922" s="21" t="s">
        <v>318</v>
      </c>
      <c r="Z922" s="21" t="s">
        <v>317</v>
      </c>
      <c r="AA922" s="21" t="s">
        <v>37</v>
      </c>
      <c r="AB922" s="21">
        <v>1</v>
      </c>
      <c r="AD922" s="24">
        <v>10.06</v>
      </c>
      <c r="AE922" s="24">
        <v>9.98</v>
      </c>
      <c r="AF922" s="21" t="s">
        <v>304</v>
      </c>
      <c r="AG922" s="21" t="s">
        <v>303</v>
      </c>
    </row>
    <row r="923" spans="1:33">
      <c r="A923" s="21" t="s">
        <v>37</v>
      </c>
      <c r="B923" s="21" t="s">
        <v>439</v>
      </c>
      <c r="C923" s="25">
        <v>46031</v>
      </c>
      <c r="D923" s="21" t="s">
        <v>453</v>
      </c>
      <c r="E923" s="24">
        <v>10.06</v>
      </c>
      <c r="F923" s="24">
        <v>7.28</v>
      </c>
      <c r="G923" s="24">
        <f>E923-F923</f>
        <v>2.7800000000000002</v>
      </c>
      <c r="H923" s="21" t="s">
        <v>289</v>
      </c>
      <c r="I923" s="21">
        <v>1</v>
      </c>
      <c r="J923" s="21">
        <v>6</v>
      </c>
      <c r="K923" s="21">
        <v>0</v>
      </c>
      <c r="L923" s="21">
        <v>6</v>
      </c>
      <c r="M923" s="21">
        <v>2</v>
      </c>
      <c r="P923" s="24">
        <f>J923+L923+N923</f>
        <v>12</v>
      </c>
      <c r="Q923" s="24">
        <f>K923+M923+O923</f>
        <v>2</v>
      </c>
      <c r="R923" s="24">
        <v>0.8571428571428571</v>
      </c>
      <c r="S923" s="21" t="s">
        <v>452</v>
      </c>
      <c r="T923" s="21" t="s">
        <v>451</v>
      </c>
      <c r="U923" s="21" t="s">
        <v>292</v>
      </c>
      <c r="V923" s="21" t="s">
        <v>286</v>
      </c>
      <c r="W923" s="21">
        <v>2</v>
      </c>
      <c r="X923" s="21" t="s">
        <v>310</v>
      </c>
      <c r="Y923" s="21" t="s">
        <v>318</v>
      </c>
      <c r="Z923" s="21" t="s">
        <v>317</v>
      </c>
      <c r="AA923" s="21" t="s">
        <v>37</v>
      </c>
      <c r="AB923" s="21">
        <v>1</v>
      </c>
      <c r="AD923" s="24">
        <v>10.06</v>
      </c>
      <c r="AE923" s="24">
        <v>7.28</v>
      </c>
      <c r="AF923" s="21" t="s">
        <v>304</v>
      </c>
      <c r="AG923" s="21" t="s">
        <v>303</v>
      </c>
    </row>
    <row r="924" spans="1:33">
      <c r="A924" s="21" t="s">
        <v>37</v>
      </c>
      <c r="B924" s="21" t="s">
        <v>439</v>
      </c>
      <c r="C924" s="25">
        <v>46060</v>
      </c>
      <c r="D924" s="21" t="s">
        <v>450</v>
      </c>
      <c r="E924" s="24">
        <v>10.06</v>
      </c>
      <c r="F924" s="24">
        <v>10.42</v>
      </c>
      <c r="G924" s="24">
        <f>E924-F924</f>
        <v>-0.35999999999999943</v>
      </c>
      <c r="H924" s="21" t="s">
        <v>289</v>
      </c>
      <c r="I924" s="21">
        <v>1</v>
      </c>
      <c r="J924" s="21">
        <v>4</v>
      </c>
      <c r="K924" s="21">
        <v>2</v>
      </c>
      <c r="L924" s="21">
        <v>4</v>
      </c>
      <c r="M924" s="21">
        <v>2</v>
      </c>
      <c r="P924" s="24">
        <f>J924+L924+N924</f>
        <v>8</v>
      </c>
      <c r="Q924" s="24">
        <f>K924+M924+O924</f>
        <v>4</v>
      </c>
      <c r="R924" s="24">
        <v>0.66666666666666663</v>
      </c>
      <c r="S924" s="21" t="s">
        <v>447</v>
      </c>
      <c r="U924" s="21" t="s">
        <v>292</v>
      </c>
      <c r="V924" s="21" t="s">
        <v>286</v>
      </c>
      <c r="W924" s="21">
        <v>6</v>
      </c>
      <c r="X924" s="21" t="s">
        <v>285</v>
      </c>
      <c r="Y924" s="21" t="s">
        <v>318</v>
      </c>
      <c r="Z924" s="21" t="s">
        <v>317</v>
      </c>
      <c r="AA924" s="21" t="s">
        <v>37</v>
      </c>
      <c r="AB924" s="21">
        <v>1</v>
      </c>
      <c r="AD924" s="24">
        <v>10.06</v>
      </c>
      <c r="AE924" s="24">
        <v>10.42</v>
      </c>
      <c r="AF924" s="21" t="s">
        <v>304</v>
      </c>
      <c r="AG924" s="21" t="s">
        <v>341</v>
      </c>
    </row>
    <row r="925" spans="1:33">
      <c r="A925" s="21" t="s">
        <v>37</v>
      </c>
      <c r="B925" s="21" t="s">
        <v>439</v>
      </c>
      <c r="C925" s="25">
        <v>46060</v>
      </c>
      <c r="D925" s="21" t="s">
        <v>40</v>
      </c>
      <c r="E925" s="24">
        <v>10.06</v>
      </c>
      <c r="F925" s="24">
        <v>10.01</v>
      </c>
      <c r="G925" s="24">
        <f>E925-F925</f>
        <v>5.0000000000000711E-2</v>
      </c>
      <c r="H925" s="21" t="s">
        <v>294</v>
      </c>
      <c r="I925" s="21">
        <v>0</v>
      </c>
      <c r="J925" s="21">
        <v>4</v>
      </c>
      <c r="K925" s="21">
        <v>6</v>
      </c>
      <c r="L925" s="21">
        <v>6</v>
      </c>
      <c r="M925" s="21">
        <v>7</v>
      </c>
      <c r="P925" s="24">
        <f>J925+L925+N925</f>
        <v>10</v>
      </c>
      <c r="Q925" s="24">
        <f>K925+M925+O925</f>
        <v>13</v>
      </c>
      <c r="R925" s="24">
        <v>0.45512820512820512</v>
      </c>
      <c r="S925" s="21" t="s">
        <v>447</v>
      </c>
      <c r="T925" s="21" t="s">
        <v>295</v>
      </c>
      <c r="U925" s="21" t="s">
        <v>292</v>
      </c>
      <c r="V925" s="21" t="s">
        <v>286</v>
      </c>
      <c r="W925" s="21">
        <v>6</v>
      </c>
      <c r="X925" s="21" t="s">
        <v>285</v>
      </c>
      <c r="Y925" s="21" t="s">
        <v>318</v>
      </c>
      <c r="Z925" s="21" t="s">
        <v>317</v>
      </c>
      <c r="AA925" s="21" t="s">
        <v>37</v>
      </c>
      <c r="AB925" s="21">
        <v>1</v>
      </c>
      <c r="AD925" s="24">
        <v>10.06</v>
      </c>
      <c r="AE925" s="24">
        <v>10.01</v>
      </c>
      <c r="AF925" s="21" t="s">
        <v>304</v>
      </c>
      <c r="AG925" s="21" t="s">
        <v>303</v>
      </c>
    </row>
    <row r="926" spans="1:33">
      <c r="A926" s="21" t="s">
        <v>37</v>
      </c>
      <c r="B926" s="21" t="s">
        <v>439</v>
      </c>
      <c r="C926" s="25">
        <v>46060</v>
      </c>
      <c r="D926" s="21" t="s">
        <v>449</v>
      </c>
      <c r="E926" s="24">
        <v>10.06</v>
      </c>
      <c r="F926" s="24">
        <v>8.26</v>
      </c>
      <c r="G926" s="24">
        <f>E926-F926</f>
        <v>1.8000000000000007</v>
      </c>
      <c r="H926" s="21" t="s">
        <v>289</v>
      </c>
      <c r="I926" s="21">
        <v>1</v>
      </c>
      <c r="J926" s="21">
        <v>6</v>
      </c>
      <c r="K926" s="21">
        <v>1</v>
      </c>
      <c r="L926" s="21">
        <v>6</v>
      </c>
      <c r="M926" s="21">
        <v>4</v>
      </c>
      <c r="P926" s="24">
        <f>J926+L926+N926</f>
        <v>12</v>
      </c>
      <c r="Q926" s="24">
        <f>K926+M926+O926</f>
        <v>5</v>
      </c>
      <c r="R926" s="24">
        <v>0.70588235294117652</v>
      </c>
      <c r="S926" s="21" t="s">
        <v>447</v>
      </c>
      <c r="T926" s="21" t="s">
        <v>296</v>
      </c>
      <c r="U926" s="21" t="s">
        <v>292</v>
      </c>
      <c r="V926" s="21" t="s">
        <v>286</v>
      </c>
      <c r="W926" s="21">
        <v>6</v>
      </c>
      <c r="X926" s="21" t="s">
        <v>285</v>
      </c>
      <c r="Y926" s="21" t="s">
        <v>318</v>
      </c>
      <c r="Z926" s="21" t="s">
        <v>317</v>
      </c>
      <c r="AA926" s="21" t="s">
        <v>37</v>
      </c>
      <c r="AB926" s="21">
        <v>1</v>
      </c>
      <c r="AD926" s="24">
        <v>10.06</v>
      </c>
      <c r="AE926" s="24">
        <v>8.26</v>
      </c>
      <c r="AF926" s="21" t="s">
        <v>304</v>
      </c>
      <c r="AG926" s="21" t="s">
        <v>303</v>
      </c>
    </row>
    <row r="927" spans="1:33">
      <c r="A927" s="21" t="s">
        <v>37</v>
      </c>
      <c r="B927" s="21" t="s">
        <v>439</v>
      </c>
      <c r="C927" s="25">
        <v>46060</v>
      </c>
      <c r="D927" s="21" t="s">
        <v>448</v>
      </c>
      <c r="E927" s="24">
        <v>10.06</v>
      </c>
      <c r="F927" s="24">
        <v>8.92</v>
      </c>
      <c r="G927" s="24">
        <f>E927-F927</f>
        <v>1.1400000000000006</v>
      </c>
      <c r="H927" s="21" t="s">
        <v>289</v>
      </c>
      <c r="I927" s="21">
        <v>1</v>
      </c>
      <c r="J927" s="21">
        <v>6</v>
      </c>
      <c r="K927" s="21">
        <v>0</v>
      </c>
      <c r="L927" s="21">
        <v>6</v>
      </c>
      <c r="M927" s="21">
        <v>3</v>
      </c>
      <c r="P927" s="24">
        <f>J927+L927+N927</f>
        <v>12</v>
      </c>
      <c r="Q927" s="24">
        <f>K927+M927+O927</f>
        <v>3</v>
      </c>
      <c r="R927" s="24">
        <v>0.8</v>
      </c>
      <c r="S927" s="21" t="s">
        <v>447</v>
      </c>
      <c r="T927" s="21" t="s">
        <v>297</v>
      </c>
      <c r="U927" s="21" t="s">
        <v>292</v>
      </c>
      <c r="V927" s="21" t="s">
        <v>286</v>
      </c>
      <c r="W927" s="21">
        <v>6</v>
      </c>
      <c r="X927" s="21" t="s">
        <v>285</v>
      </c>
      <c r="Y927" s="21" t="s">
        <v>318</v>
      </c>
      <c r="Z927" s="21" t="s">
        <v>317</v>
      </c>
      <c r="AA927" s="21" t="s">
        <v>37</v>
      </c>
      <c r="AB927" s="21">
        <v>1</v>
      </c>
      <c r="AD927" s="24">
        <v>10.06</v>
      </c>
      <c r="AE927" s="24">
        <v>8.92</v>
      </c>
      <c r="AF927" s="21" t="s">
        <v>302</v>
      </c>
      <c r="AG927" s="21" t="s">
        <v>301</v>
      </c>
    </row>
    <row r="928" spans="1:33">
      <c r="A928" s="21" t="s">
        <v>37</v>
      </c>
      <c r="B928" s="21" t="s">
        <v>439</v>
      </c>
      <c r="C928" s="25">
        <v>46092.645833333336</v>
      </c>
      <c r="D928" s="21" t="s">
        <v>44</v>
      </c>
      <c r="E928" s="24">
        <v>9.93</v>
      </c>
      <c r="F928" s="24">
        <v>8.5500000000000007</v>
      </c>
      <c r="G928" s="24">
        <f>E928-F928</f>
        <v>1.379999999999999</v>
      </c>
      <c r="H928" s="21" t="s">
        <v>289</v>
      </c>
      <c r="I928" s="21">
        <v>1</v>
      </c>
      <c r="J928" s="21">
        <v>6</v>
      </c>
      <c r="K928" s="21">
        <v>4</v>
      </c>
      <c r="L928" s="21">
        <v>6</v>
      </c>
      <c r="M928" s="21">
        <v>2</v>
      </c>
      <c r="P928" s="24">
        <f>J928+L928+N928</f>
        <v>12</v>
      </c>
      <c r="Q928" s="24">
        <f>K928+M928+O928</f>
        <v>6</v>
      </c>
      <c r="R928" s="24">
        <v>0.66666666666666663</v>
      </c>
      <c r="S928" s="21" t="s">
        <v>342</v>
      </c>
      <c r="U928" s="21" t="s">
        <v>287</v>
      </c>
      <c r="V928" s="21" t="s">
        <v>286</v>
      </c>
      <c r="W928" s="21">
        <v>10</v>
      </c>
      <c r="X928" s="21" t="s">
        <v>285</v>
      </c>
      <c r="Y928" s="21" t="s">
        <v>318</v>
      </c>
      <c r="Z928" s="21" t="s">
        <v>317</v>
      </c>
      <c r="AA928" s="21" t="s">
        <v>37</v>
      </c>
      <c r="AB928" s="21">
        <v>1</v>
      </c>
      <c r="AD928" s="24">
        <v>10.06</v>
      </c>
      <c r="AE928" s="24">
        <v>8.42</v>
      </c>
      <c r="AF928" s="21" t="s">
        <v>304</v>
      </c>
      <c r="AG928" s="21" t="s">
        <v>303</v>
      </c>
    </row>
    <row r="929" spans="1:33">
      <c r="A929" s="21" t="s">
        <v>37</v>
      </c>
      <c r="B929" s="21" t="s">
        <v>439</v>
      </c>
      <c r="C929" s="25">
        <v>46094.645833333336</v>
      </c>
      <c r="D929" s="21" t="s">
        <v>76</v>
      </c>
      <c r="E929" s="24">
        <v>9.93</v>
      </c>
      <c r="F929" s="24">
        <v>4.45</v>
      </c>
      <c r="G929" s="24">
        <f>E929-F929</f>
        <v>5.4799999999999995</v>
      </c>
      <c r="H929" s="21" t="s">
        <v>289</v>
      </c>
      <c r="I929" s="21">
        <v>1</v>
      </c>
      <c r="J929" s="21">
        <v>6</v>
      </c>
      <c r="K929" s="21">
        <v>1</v>
      </c>
      <c r="L929" s="21">
        <v>6</v>
      </c>
      <c r="M929" s="21">
        <v>1</v>
      </c>
      <c r="P929" s="24">
        <f>J929+L929+N929</f>
        <v>12</v>
      </c>
      <c r="Q929" s="24">
        <f>K929+M929+O929</f>
        <v>2</v>
      </c>
      <c r="R929" s="24">
        <v>0.8571428571428571</v>
      </c>
      <c r="S929" s="21" t="s">
        <v>446</v>
      </c>
      <c r="U929" s="21" t="s">
        <v>287</v>
      </c>
      <c r="V929" s="21" t="s">
        <v>286</v>
      </c>
      <c r="W929" s="21">
        <v>11</v>
      </c>
      <c r="X929" s="21" t="s">
        <v>285</v>
      </c>
      <c r="Y929" s="21" t="s">
        <v>318</v>
      </c>
      <c r="Z929" s="21" t="s">
        <v>317</v>
      </c>
      <c r="AA929" s="21" t="s">
        <v>37</v>
      </c>
      <c r="AB929" s="21">
        <v>1</v>
      </c>
      <c r="AD929" s="24">
        <v>10.06</v>
      </c>
      <c r="AE929" s="24">
        <v>4.45</v>
      </c>
      <c r="AF929" s="21" t="s">
        <v>304</v>
      </c>
      <c r="AG929" s="21" t="s">
        <v>303</v>
      </c>
    </row>
    <row r="930" spans="1:33">
      <c r="A930" s="21" t="s">
        <v>37</v>
      </c>
      <c r="B930" s="21" t="s">
        <v>439</v>
      </c>
      <c r="C930" s="25">
        <v>46098.645833333336</v>
      </c>
      <c r="D930" s="21" t="s">
        <v>54</v>
      </c>
      <c r="E930" s="24">
        <v>9.94</v>
      </c>
      <c r="F930" s="24">
        <v>4.54</v>
      </c>
      <c r="G930" s="24">
        <f>E930-F930</f>
        <v>5.3999999999999995</v>
      </c>
      <c r="H930" s="21" t="s">
        <v>289</v>
      </c>
      <c r="I930" s="21">
        <v>1</v>
      </c>
      <c r="J930" s="21">
        <v>6</v>
      </c>
      <c r="K930" s="21">
        <v>1</v>
      </c>
      <c r="L930" s="21">
        <v>6</v>
      </c>
      <c r="M930" s="21">
        <v>2</v>
      </c>
      <c r="P930" s="24">
        <f>J930+L930+N930</f>
        <v>12</v>
      </c>
      <c r="Q930" s="24">
        <f>K930+M930+O930</f>
        <v>3</v>
      </c>
      <c r="R930" s="24">
        <v>0.8</v>
      </c>
      <c r="S930" s="21" t="s">
        <v>445</v>
      </c>
      <c r="U930" s="21" t="s">
        <v>287</v>
      </c>
      <c r="V930" s="21" t="s">
        <v>286</v>
      </c>
      <c r="W930" s="21">
        <v>12</v>
      </c>
      <c r="X930" s="21" t="s">
        <v>285</v>
      </c>
      <c r="Y930" s="21" t="s">
        <v>318</v>
      </c>
      <c r="Z930" s="21" t="s">
        <v>317</v>
      </c>
      <c r="AA930" s="21" t="s">
        <v>37</v>
      </c>
      <c r="AB930" s="21">
        <v>1</v>
      </c>
      <c r="AD930" s="24">
        <v>10.06</v>
      </c>
      <c r="AE930" s="24">
        <v>4.8600000000000003</v>
      </c>
      <c r="AF930" s="21" t="s">
        <v>304</v>
      </c>
      <c r="AG930" s="21" t="s">
        <v>303</v>
      </c>
    </row>
    <row r="931" spans="1:33">
      <c r="A931" s="21" t="s">
        <v>37</v>
      </c>
      <c r="B931" s="21" t="s">
        <v>439</v>
      </c>
      <c r="C931" s="25">
        <v>46099.645833333336</v>
      </c>
      <c r="D931" s="21" t="s">
        <v>91</v>
      </c>
      <c r="E931" s="24">
        <v>9.94</v>
      </c>
      <c r="F931" s="24">
        <v>5.71</v>
      </c>
      <c r="G931" s="24">
        <f>E931-F931</f>
        <v>4.2299999999999995</v>
      </c>
      <c r="H931" s="21" t="s">
        <v>289</v>
      </c>
      <c r="I931" s="21">
        <v>1</v>
      </c>
      <c r="J931" s="21">
        <v>6</v>
      </c>
      <c r="K931" s="21">
        <v>2</v>
      </c>
      <c r="L931" s="21">
        <v>6</v>
      </c>
      <c r="M931" s="21">
        <v>3</v>
      </c>
      <c r="P931" s="24">
        <f>J931+L931+N931</f>
        <v>12</v>
      </c>
      <c r="Q931" s="24">
        <f>K931+M931+O931</f>
        <v>5</v>
      </c>
      <c r="R931" s="24">
        <v>0.70588235294117652</v>
      </c>
      <c r="S931" s="21" t="s">
        <v>444</v>
      </c>
      <c r="U931" s="21" t="s">
        <v>287</v>
      </c>
      <c r="V931" s="21" t="s">
        <v>286</v>
      </c>
      <c r="W931" s="21">
        <v>13</v>
      </c>
      <c r="X931" s="21" t="s">
        <v>285</v>
      </c>
      <c r="Y931" s="21" t="s">
        <v>318</v>
      </c>
      <c r="Z931" s="21" t="s">
        <v>317</v>
      </c>
      <c r="AA931" s="21" t="s">
        <v>37</v>
      </c>
      <c r="AB931" s="21">
        <v>1</v>
      </c>
      <c r="AD931" s="24">
        <v>10.06</v>
      </c>
      <c r="AE931" s="24">
        <v>6.61</v>
      </c>
      <c r="AF931" s="21" t="s">
        <v>304</v>
      </c>
      <c r="AG931" s="21" t="s">
        <v>303</v>
      </c>
    </row>
    <row r="932" spans="1:33">
      <c r="A932" s="21" t="s">
        <v>37</v>
      </c>
      <c r="B932" s="21" t="s">
        <v>439</v>
      </c>
      <c r="C932" s="25">
        <v>46105.645833333336</v>
      </c>
      <c r="D932" s="21" t="s">
        <v>46</v>
      </c>
      <c r="E932" s="24">
        <v>10.029999999999999</v>
      </c>
      <c r="F932" s="24">
        <v>7.33</v>
      </c>
      <c r="G932" s="24">
        <f>E932-F932</f>
        <v>2.6999999999999993</v>
      </c>
      <c r="H932" s="21" t="s">
        <v>289</v>
      </c>
      <c r="I932" s="21">
        <v>1</v>
      </c>
      <c r="J932" s="21">
        <v>6</v>
      </c>
      <c r="K932" s="21">
        <v>3</v>
      </c>
      <c r="L932" s="21">
        <v>6</v>
      </c>
      <c r="M932" s="21">
        <v>4</v>
      </c>
      <c r="P932" s="24">
        <f>J932+L932+N932</f>
        <v>12</v>
      </c>
      <c r="Q932" s="24">
        <f>K932+M932+O932</f>
        <v>7</v>
      </c>
      <c r="R932" s="24">
        <v>0.63157894736842102</v>
      </c>
      <c r="S932" s="21" t="s">
        <v>425</v>
      </c>
      <c r="U932" s="21" t="s">
        <v>287</v>
      </c>
      <c r="V932" s="21" t="s">
        <v>286</v>
      </c>
      <c r="W932" s="21">
        <v>14</v>
      </c>
      <c r="X932" s="21" t="s">
        <v>285</v>
      </c>
      <c r="Y932" s="21" t="s">
        <v>318</v>
      </c>
      <c r="Z932" s="21" t="s">
        <v>317</v>
      </c>
      <c r="AA932" s="21" t="s">
        <v>37</v>
      </c>
      <c r="AB932" s="21">
        <v>1</v>
      </c>
      <c r="AD932" s="24">
        <v>10.06</v>
      </c>
      <c r="AE932" s="24">
        <v>7.96</v>
      </c>
      <c r="AF932" s="21" t="s">
        <v>304</v>
      </c>
      <c r="AG932" s="21" t="s">
        <v>303</v>
      </c>
    </row>
    <row r="933" spans="1:33">
      <c r="A933" s="21" t="s">
        <v>37</v>
      </c>
      <c r="B933" s="21" t="s">
        <v>439</v>
      </c>
      <c r="C933" s="25">
        <v>46106.645833333336</v>
      </c>
      <c r="D933" s="21" t="s">
        <v>427</v>
      </c>
      <c r="E933" s="24">
        <v>10.029999999999999</v>
      </c>
      <c r="F933" s="24">
        <v>2.35</v>
      </c>
      <c r="G933" s="24">
        <f>E933-F933</f>
        <v>7.68</v>
      </c>
      <c r="H933" s="21" t="s">
        <v>289</v>
      </c>
      <c r="I933" s="21">
        <v>1</v>
      </c>
      <c r="J933" s="21">
        <v>6</v>
      </c>
      <c r="K933" s="21">
        <v>0</v>
      </c>
      <c r="L933" s="21">
        <v>6</v>
      </c>
      <c r="M933" s="21">
        <v>0</v>
      </c>
      <c r="P933" s="24">
        <f>J933+L933+N933</f>
        <v>12</v>
      </c>
      <c r="Q933" s="24">
        <f>K933+M933+O933</f>
        <v>0</v>
      </c>
      <c r="R933" s="24">
        <v>1</v>
      </c>
      <c r="S933" s="21" t="s">
        <v>443</v>
      </c>
      <c r="U933" s="21" t="s">
        <v>287</v>
      </c>
      <c r="V933" s="21" t="s">
        <v>286</v>
      </c>
      <c r="W933" s="21">
        <v>15</v>
      </c>
      <c r="X933" s="21" t="s">
        <v>285</v>
      </c>
      <c r="Y933" s="21" t="s">
        <v>318</v>
      </c>
      <c r="Z933" s="21" t="s">
        <v>317</v>
      </c>
      <c r="AA933" s="21" t="s">
        <v>37</v>
      </c>
      <c r="AB933" s="21">
        <v>1</v>
      </c>
      <c r="AD933" s="24">
        <v>10.06</v>
      </c>
      <c r="AE933" s="24">
        <v>2.5499999999999998</v>
      </c>
      <c r="AF933" s="21" t="s">
        <v>304</v>
      </c>
      <c r="AG933" s="21" t="s">
        <v>303</v>
      </c>
    </row>
    <row r="934" spans="1:33">
      <c r="A934" s="21" t="s">
        <v>37</v>
      </c>
      <c r="B934" s="21" t="s">
        <v>439</v>
      </c>
      <c r="C934" s="25">
        <v>46107.645833333336</v>
      </c>
      <c r="D934" s="21" t="s">
        <v>40</v>
      </c>
      <c r="E934" s="24">
        <v>10.029999999999999</v>
      </c>
      <c r="F934" s="24">
        <v>9.61</v>
      </c>
      <c r="G934" s="24">
        <f>E934-F934</f>
        <v>0.41999999999999993</v>
      </c>
      <c r="H934" s="21" t="s">
        <v>289</v>
      </c>
      <c r="I934" s="21">
        <v>1</v>
      </c>
      <c r="J934" s="21">
        <v>7</v>
      </c>
      <c r="K934" s="21">
        <v>5</v>
      </c>
      <c r="L934" s="21">
        <v>3</v>
      </c>
      <c r="M934" s="21">
        <v>6</v>
      </c>
      <c r="N934" s="21">
        <v>1</v>
      </c>
      <c r="O934" s="21">
        <v>0</v>
      </c>
      <c r="P934" s="24">
        <f>J934+L934+N934</f>
        <v>11</v>
      </c>
      <c r="Q934" s="24">
        <f>K934+M934+O934</f>
        <v>11</v>
      </c>
      <c r="R934" s="24">
        <v>0.88235294117647056</v>
      </c>
      <c r="S934" s="21" t="s">
        <v>198</v>
      </c>
      <c r="U934" s="21" t="s">
        <v>287</v>
      </c>
      <c r="V934" s="21" t="s">
        <v>286</v>
      </c>
      <c r="W934" s="21">
        <v>16</v>
      </c>
      <c r="X934" s="21" t="s">
        <v>285</v>
      </c>
      <c r="Y934" s="21" t="s">
        <v>318</v>
      </c>
      <c r="Z934" s="21" t="s">
        <v>317</v>
      </c>
      <c r="AA934" s="21" t="s">
        <v>37</v>
      </c>
      <c r="AB934" s="21">
        <v>1</v>
      </c>
      <c r="AD934" s="24">
        <v>10.06</v>
      </c>
      <c r="AE934" s="24">
        <v>10.01</v>
      </c>
      <c r="AF934" s="21" t="s">
        <v>304</v>
      </c>
      <c r="AG934" s="21" t="s">
        <v>303</v>
      </c>
    </row>
    <row r="935" spans="1:33">
      <c r="A935" s="21" t="s">
        <v>37</v>
      </c>
      <c r="B935" s="21" t="s">
        <v>439</v>
      </c>
      <c r="C935" s="25">
        <v>46108.645833333336</v>
      </c>
      <c r="D935" s="21" t="s">
        <v>14</v>
      </c>
      <c r="E935" s="24">
        <v>10.029999999999999</v>
      </c>
      <c r="F935" s="24">
        <v>6.72</v>
      </c>
      <c r="G935" s="24">
        <f>E935-F935</f>
        <v>3.3099999999999996</v>
      </c>
      <c r="H935" s="21" t="s">
        <v>289</v>
      </c>
      <c r="I935" s="21">
        <v>1</v>
      </c>
      <c r="J935" s="21">
        <v>6</v>
      </c>
      <c r="K935" s="21">
        <v>2</v>
      </c>
      <c r="L935" s="21">
        <v>6</v>
      </c>
      <c r="M935" s="21">
        <v>2</v>
      </c>
      <c r="P935" s="24">
        <f>J935+L935+N935</f>
        <v>12</v>
      </c>
      <c r="Q935" s="24">
        <f>K935+M935+O935</f>
        <v>4</v>
      </c>
      <c r="R935" s="24">
        <v>0.75</v>
      </c>
      <c r="S935" s="21" t="s">
        <v>11</v>
      </c>
      <c r="U935" s="21" t="s">
        <v>287</v>
      </c>
      <c r="V935" s="21" t="s">
        <v>286</v>
      </c>
      <c r="W935" s="21">
        <v>17</v>
      </c>
      <c r="X935" s="21" t="s">
        <v>285</v>
      </c>
      <c r="Y935" s="21" t="s">
        <v>318</v>
      </c>
      <c r="Z935" s="21" t="s">
        <v>317</v>
      </c>
      <c r="AA935" s="21" t="s">
        <v>37</v>
      </c>
      <c r="AB935" s="21">
        <v>1</v>
      </c>
      <c r="AD935" s="24">
        <v>10.06</v>
      </c>
      <c r="AE935" s="24">
        <v>8.06</v>
      </c>
      <c r="AF935" s="21" t="s">
        <v>304</v>
      </c>
      <c r="AG935" s="21" t="s">
        <v>303</v>
      </c>
    </row>
    <row r="936" spans="1:33">
      <c r="A936" s="21" t="s">
        <v>37</v>
      </c>
      <c r="B936" s="21" t="s">
        <v>439</v>
      </c>
      <c r="C936" s="25">
        <v>46111.645833333336</v>
      </c>
      <c r="D936" s="21" t="s">
        <v>176</v>
      </c>
      <c r="E936" s="24">
        <v>10.029999999999999</v>
      </c>
      <c r="F936" s="24">
        <v>6.32</v>
      </c>
      <c r="G936" s="24">
        <f>E936-F936</f>
        <v>3.7099999999999991</v>
      </c>
      <c r="H936" s="21" t="s">
        <v>289</v>
      </c>
      <c r="I936" s="21">
        <v>1</v>
      </c>
      <c r="J936" s="21">
        <v>6</v>
      </c>
      <c r="K936" s="21">
        <v>0</v>
      </c>
      <c r="L936" s="21">
        <v>6</v>
      </c>
      <c r="M936" s="21">
        <v>0</v>
      </c>
      <c r="P936" s="24">
        <f>J936+L936+N936</f>
        <v>12</v>
      </c>
      <c r="Q936" s="24">
        <f>K936+M936+O936</f>
        <v>0</v>
      </c>
      <c r="R936" s="24">
        <v>1</v>
      </c>
      <c r="S936" s="21" t="s">
        <v>384</v>
      </c>
      <c r="U936" s="21" t="s">
        <v>287</v>
      </c>
      <c r="V936" s="21" t="s">
        <v>286</v>
      </c>
      <c r="W936" s="21">
        <v>18</v>
      </c>
      <c r="X936" s="21" t="s">
        <v>285</v>
      </c>
      <c r="Y936" s="21" t="s">
        <v>318</v>
      </c>
      <c r="Z936" s="21" t="s">
        <v>317</v>
      </c>
      <c r="AA936" s="21" t="s">
        <v>37</v>
      </c>
      <c r="AB936" s="21">
        <v>1</v>
      </c>
      <c r="AD936" s="24">
        <v>10.06</v>
      </c>
      <c r="AE936" s="24">
        <v>6.27</v>
      </c>
      <c r="AF936" s="21" t="s">
        <v>304</v>
      </c>
      <c r="AG936" s="21" t="s">
        <v>303</v>
      </c>
    </row>
    <row r="937" spans="1:33">
      <c r="A937" s="21" t="s">
        <v>37</v>
      </c>
      <c r="B937" s="21" t="s">
        <v>439</v>
      </c>
      <c r="C937" s="25">
        <v>46121.645833333336</v>
      </c>
      <c r="D937" s="21" t="s">
        <v>141</v>
      </c>
      <c r="E937" s="24">
        <v>10.09</v>
      </c>
      <c r="F937" s="24">
        <v>5.68</v>
      </c>
      <c r="G937" s="24">
        <f>E937-F937</f>
        <v>4.41</v>
      </c>
      <c r="H937" s="21" t="s">
        <v>289</v>
      </c>
      <c r="I937" s="21">
        <v>1</v>
      </c>
      <c r="J937" s="21">
        <v>7</v>
      </c>
      <c r="K937" s="21">
        <v>5</v>
      </c>
      <c r="L937" s="21">
        <v>6</v>
      </c>
      <c r="M937" s="21">
        <v>3</v>
      </c>
      <c r="P937" s="24">
        <f>J937+L937+N937</f>
        <v>13</v>
      </c>
      <c r="Q937" s="24">
        <f>K937+M937+O937</f>
        <v>8</v>
      </c>
      <c r="R937" s="24">
        <v>0.61904761904761907</v>
      </c>
      <c r="S937" s="21" t="s">
        <v>442</v>
      </c>
      <c r="U937" s="21" t="s">
        <v>287</v>
      </c>
      <c r="V937" s="21" t="s">
        <v>286</v>
      </c>
      <c r="W937" s="21">
        <v>19</v>
      </c>
      <c r="X937" s="21" t="s">
        <v>285</v>
      </c>
      <c r="Y937" s="21" t="s">
        <v>318</v>
      </c>
      <c r="Z937" s="21" t="s">
        <v>317</v>
      </c>
      <c r="AA937" s="21" t="s">
        <v>37</v>
      </c>
      <c r="AB937" s="21">
        <v>1</v>
      </c>
      <c r="AD937" s="24">
        <v>10.06</v>
      </c>
      <c r="AE937" s="24">
        <v>5.97</v>
      </c>
      <c r="AF937" s="21" t="s">
        <v>304</v>
      </c>
      <c r="AG937" s="21" t="s">
        <v>303</v>
      </c>
    </row>
    <row r="938" spans="1:33">
      <c r="A938" s="21" t="s">
        <v>37</v>
      </c>
      <c r="B938" s="21" t="s">
        <v>439</v>
      </c>
      <c r="C938" s="25">
        <v>46122.645833333336</v>
      </c>
      <c r="D938" s="21" t="s">
        <v>17</v>
      </c>
      <c r="E938" s="24">
        <v>10.09</v>
      </c>
      <c r="F938" s="24">
        <v>8.44</v>
      </c>
      <c r="G938" s="24">
        <f>E938-F938</f>
        <v>1.6500000000000004</v>
      </c>
      <c r="H938" s="21" t="s">
        <v>289</v>
      </c>
      <c r="I938" s="21">
        <v>1</v>
      </c>
      <c r="J938" s="21">
        <v>7</v>
      </c>
      <c r="K938" s="21">
        <v>5</v>
      </c>
      <c r="L938" s="21">
        <v>7</v>
      </c>
      <c r="M938" s="21">
        <v>5</v>
      </c>
      <c r="P938" s="24">
        <f>J938+L938+N938</f>
        <v>14</v>
      </c>
      <c r="Q938" s="24">
        <f>K938+M938+O938</f>
        <v>10</v>
      </c>
      <c r="R938" s="24">
        <v>0.58333333333333337</v>
      </c>
      <c r="S938" s="21" t="s">
        <v>139</v>
      </c>
      <c r="U938" s="21" t="s">
        <v>287</v>
      </c>
      <c r="V938" s="21" t="s">
        <v>286</v>
      </c>
      <c r="W938" s="21">
        <v>20</v>
      </c>
      <c r="X938" s="21" t="s">
        <v>285</v>
      </c>
      <c r="Y938" s="21" t="s">
        <v>318</v>
      </c>
      <c r="Z938" s="21" t="s">
        <v>317</v>
      </c>
      <c r="AA938" s="21" t="s">
        <v>37</v>
      </c>
      <c r="AB938" s="21">
        <v>1</v>
      </c>
      <c r="AD938" s="24">
        <v>10.06</v>
      </c>
      <c r="AE938" s="24">
        <v>8.51</v>
      </c>
      <c r="AF938" s="21" t="s">
        <v>304</v>
      </c>
      <c r="AG938" s="21" t="s">
        <v>303</v>
      </c>
    </row>
    <row r="939" spans="1:33">
      <c r="A939" s="21" t="s">
        <v>37</v>
      </c>
      <c r="B939" s="21" t="s">
        <v>439</v>
      </c>
      <c r="C939" s="25">
        <v>46125.269444444442</v>
      </c>
      <c r="D939" s="21" t="s">
        <v>94</v>
      </c>
      <c r="E939" s="24">
        <v>10.09</v>
      </c>
      <c r="F939" s="24">
        <v>9.7100000000000009</v>
      </c>
      <c r="G939" s="24">
        <f>E939-F939</f>
        <v>0.37999999999999901</v>
      </c>
      <c r="H939" s="21" t="s">
        <v>289</v>
      </c>
      <c r="I939" s="21">
        <v>1</v>
      </c>
      <c r="J939" s="21">
        <v>6</v>
      </c>
      <c r="K939" s="21">
        <v>2</v>
      </c>
      <c r="L939" s="21">
        <v>4</v>
      </c>
      <c r="M939" s="21">
        <v>6</v>
      </c>
      <c r="N939" s="21">
        <v>1</v>
      </c>
      <c r="O939" s="21">
        <v>0</v>
      </c>
      <c r="P939" s="24">
        <f>J939+L939+N939</f>
        <v>11</v>
      </c>
      <c r="Q939" s="24">
        <f>K939+M939+O939</f>
        <v>8</v>
      </c>
      <c r="R939" s="24">
        <v>0.57894736842105265</v>
      </c>
      <c r="S939" s="21" t="s">
        <v>95</v>
      </c>
      <c r="U939" s="21" t="s">
        <v>287</v>
      </c>
      <c r="V939" s="21" t="s">
        <v>286</v>
      </c>
      <c r="W939" s="21">
        <v>21</v>
      </c>
      <c r="X939" s="21" t="s">
        <v>285</v>
      </c>
      <c r="Y939" s="21" t="s">
        <v>318</v>
      </c>
      <c r="Z939" s="21" t="s">
        <v>317</v>
      </c>
      <c r="AA939" s="21" t="s">
        <v>37</v>
      </c>
      <c r="AB939" s="21">
        <v>1</v>
      </c>
      <c r="AD939" s="24">
        <v>10.06</v>
      </c>
      <c r="AE939" s="24">
        <v>9.7100000000000009</v>
      </c>
      <c r="AF939" s="21" t="s">
        <v>302</v>
      </c>
      <c r="AG939" s="21" t="s">
        <v>301</v>
      </c>
    </row>
    <row r="940" spans="1:33">
      <c r="A940" s="21" t="s">
        <v>37</v>
      </c>
      <c r="B940" s="21" t="s">
        <v>439</v>
      </c>
      <c r="C940" s="25">
        <v>46127.645833333336</v>
      </c>
      <c r="D940" s="21" t="s">
        <v>13</v>
      </c>
      <c r="E940" s="24">
        <v>10.09</v>
      </c>
      <c r="F940" s="24">
        <v>7.22</v>
      </c>
      <c r="G940" s="24">
        <f>E940-F940</f>
        <v>2.87</v>
      </c>
      <c r="H940" s="21" t="s">
        <v>289</v>
      </c>
      <c r="I940" s="21">
        <v>1</v>
      </c>
      <c r="J940" s="21">
        <v>6</v>
      </c>
      <c r="K940" s="21">
        <v>4</v>
      </c>
      <c r="L940" s="21">
        <v>6</v>
      </c>
      <c r="M940" s="21">
        <v>3</v>
      </c>
      <c r="P940" s="24">
        <f>J940+L940+N940</f>
        <v>12</v>
      </c>
      <c r="Q940" s="24">
        <f>K940+M940+O940</f>
        <v>7</v>
      </c>
      <c r="R940" s="24">
        <v>0.63157894736842102</v>
      </c>
      <c r="S940" s="21" t="s">
        <v>95</v>
      </c>
      <c r="U940" s="21" t="s">
        <v>287</v>
      </c>
      <c r="V940" s="21" t="s">
        <v>286</v>
      </c>
      <c r="W940" s="21">
        <v>22</v>
      </c>
      <c r="X940" s="21" t="s">
        <v>285</v>
      </c>
      <c r="Y940" s="21" t="s">
        <v>318</v>
      </c>
      <c r="Z940" s="21" t="s">
        <v>317</v>
      </c>
      <c r="AA940" s="21" t="s">
        <v>37</v>
      </c>
      <c r="AB940" s="21">
        <v>1</v>
      </c>
      <c r="AD940" s="24">
        <v>10.06</v>
      </c>
      <c r="AE940" s="24">
        <v>7.52</v>
      </c>
      <c r="AF940" s="21" t="s">
        <v>304</v>
      </c>
      <c r="AG940" s="21" t="s">
        <v>341</v>
      </c>
    </row>
    <row r="941" spans="1:33">
      <c r="A941" s="21" t="s">
        <v>37</v>
      </c>
      <c r="B941" s="21" t="s">
        <v>439</v>
      </c>
      <c r="C941" s="25">
        <v>46128.541666666664</v>
      </c>
      <c r="D941" s="21" t="s">
        <v>181</v>
      </c>
      <c r="E941" s="24">
        <v>10.09</v>
      </c>
      <c r="F941" s="24">
        <v>5.99</v>
      </c>
      <c r="G941" s="24">
        <f>E941-F941</f>
        <v>4.0999999999999996</v>
      </c>
      <c r="H941" s="21" t="s">
        <v>289</v>
      </c>
      <c r="I941" s="21">
        <v>1</v>
      </c>
      <c r="J941" s="21">
        <v>8</v>
      </c>
      <c r="K941" s="21">
        <v>3</v>
      </c>
      <c r="P941" s="24">
        <f>J941+L941+N941</f>
        <v>8</v>
      </c>
      <c r="Q941" s="24">
        <f>K941+M941+O941</f>
        <v>3</v>
      </c>
      <c r="R941" s="24">
        <v>0.72727272727272729</v>
      </c>
      <c r="S941" s="21" t="s">
        <v>440</v>
      </c>
      <c r="T941" s="21" t="s">
        <v>296</v>
      </c>
      <c r="U941" s="21" t="s">
        <v>287</v>
      </c>
      <c r="V941" s="21" t="s">
        <v>286</v>
      </c>
      <c r="W941" s="21">
        <v>23</v>
      </c>
      <c r="X941" s="21" t="s">
        <v>285</v>
      </c>
      <c r="Y941" s="21" t="s">
        <v>318</v>
      </c>
      <c r="Z941" s="21" t="s">
        <v>317</v>
      </c>
      <c r="AA941" s="21" t="s">
        <v>37</v>
      </c>
      <c r="AB941" s="21">
        <v>1</v>
      </c>
      <c r="AD941" s="24">
        <v>10.06</v>
      </c>
      <c r="AE941" s="24">
        <v>6.06</v>
      </c>
      <c r="AF941" s="21" t="s">
        <v>302</v>
      </c>
      <c r="AG941" s="21" t="s">
        <v>301</v>
      </c>
    </row>
    <row r="942" spans="1:33">
      <c r="A942" s="21" t="s">
        <v>37</v>
      </c>
      <c r="B942" s="21" t="s">
        <v>439</v>
      </c>
      <c r="C942" s="25">
        <v>46128.625</v>
      </c>
      <c r="D942" s="21" t="s">
        <v>70</v>
      </c>
      <c r="E942" s="24">
        <v>10.09</v>
      </c>
      <c r="F942" s="24">
        <v>7.81</v>
      </c>
      <c r="G942" s="24">
        <f>E942-F942</f>
        <v>2.2800000000000002</v>
      </c>
      <c r="H942" s="21" t="s">
        <v>289</v>
      </c>
      <c r="I942" s="21">
        <v>1</v>
      </c>
      <c r="J942" s="21">
        <v>6</v>
      </c>
      <c r="K942" s="21">
        <v>3</v>
      </c>
      <c r="L942" s="21">
        <v>7</v>
      </c>
      <c r="M942" s="21">
        <v>5</v>
      </c>
      <c r="P942" s="24">
        <f>J942+L942+N942</f>
        <v>13</v>
      </c>
      <c r="Q942" s="24">
        <f>K942+M942+O942</f>
        <v>8</v>
      </c>
      <c r="R942" s="24">
        <v>0.61904761904761907</v>
      </c>
      <c r="S942" s="21" t="s">
        <v>440</v>
      </c>
      <c r="T942" s="21" t="s">
        <v>295</v>
      </c>
      <c r="U942" s="21" t="s">
        <v>287</v>
      </c>
      <c r="V942" s="21" t="s">
        <v>286</v>
      </c>
      <c r="W942" s="21">
        <v>24</v>
      </c>
      <c r="X942" s="21" t="s">
        <v>285</v>
      </c>
      <c r="Y942" s="21" t="s">
        <v>318</v>
      </c>
      <c r="Z942" s="21" t="s">
        <v>317</v>
      </c>
      <c r="AA942" s="21" t="s">
        <v>37</v>
      </c>
      <c r="AB942" s="21">
        <v>1</v>
      </c>
      <c r="AD942" s="24">
        <v>10.06</v>
      </c>
      <c r="AE942" s="24">
        <v>7.26</v>
      </c>
      <c r="AF942" s="21" t="s">
        <v>304</v>
      </c>
      <c r="AG942" s="21" t="s">
        <v>303</v>
      </c>
    </row>
    <row r="943" spans="1:33">
      <c r="A943" s="21" t="s">
        <v>37</v>
      </c>
      <c r="B943" s="21" t="s">
        <v>439</v>
      </c>
      <c r="C943" s="25">
        <v>46132.645833333336</v>
      </c>
      <c r="D943" s="21" t="s">
        <v>441</v>
      </c>
      <c r="E943" s="24">
        <v>10.09</v>
      </c>
      <c r="F943" s="24">
        <v>3.52</v>
      </c>
      <c r="G943" s="24">
        <f>E943-F943</f>
        <v>6.57</v>
      </c>
      <c r="H943" s="21" t="s">
        <v>289</v>
      </c>
      <c r="I943" s="21">
        <v>1</v>
      </c>
      <c r="J943" s="21">
        <v>6</v>
      </c>
      <c r="K943" s="21">
        <v>0</v>
      </c>
      <c r="L943" s="21">
        <v>6</v>
      </c>
      <c r="M943" s="21">
        <v>0</v>
      </c>
      <c r="P943" s="24">
        <f>J943+L943+N943</f>
        <v>12</v>
      </c>
      <c r="Q943" s="24">
        <f>K943+M943+O943</f>
        <v>0</v>
      </c>
      <c r="R943" s="24">
        <v>1</v>
      </c>
      <c r="S943" s="21" t="s">
        <v>440</v>
      </c>
      <c r="U943" s="21" t="s">
        <v>287</v>
      </c>
      <c r="V943" s="21" t="s">
        <v>286</v>
      </c>
      <c r="W943" s="21">
        <v>25</v>
      </c>
      <c r="X943" s="21" t="s">
        <v>285</v>
      </c>
      <c r="Y943" s="21" t="s">
        <v>318</v>
      </c>
      <c r="Z943" s="21" t="s">
        <v>317</v>
      </c>
      <c r="AA943" s="21" t="s">
        <v>37</v>
      </c>
      <c r="AB943" s="21">
        <v>1</v>
      </c>
      <c r="AD943" s="24">
        <v>10.06</v>
      </c>
      <c r="AE943" s="24">
        <v>3.25</v>
      </c>
      <c r="AF943" s="21" t="s">
        <v>304</v>
      </c>
      <c r="AG943" s="21" t="s">
        <v>303</v>
      </c>
    </row>
    <row r="944" spans="1:33">
      <c r="A944" s="21" t="s">
        <v>37</v>
      </c>
      <c r="B944" s="21" t="s">
        <v>439</v>
      </c>
      <c r="C944" s="25">
        <v>46141.586111111108</v>
      </c>
      <c r="D944" s="21" t="s">
        <v>1</v>
      </c>
      <c r="E944" s="24">
        <v>10.16</v>
      </c>
      <c r="F944" s="24">
        <v>7.89</v>
      </c>
      <c r="G944" s="24">
        <f>E944-F944</f>
        <v>2.2700000000000005</v>
      </c>
      <c r="H944" s="21" t="s">
        <v>289</v>
      </c>
      <c r="I944" s="21">
        <v>1</v>
      </c>
      <c r="J944" s="21">
        <v>6</v>
      </c>
      <c r="K944" s="21">
        <v>3</v>
      </c>
      <c r="L944" s="21">
        <v>6</v>
      </c>
      <c r="M944" s="21">
        <v>1</v>
      </c>
      <c r="P944" s="24">
        <f>J944+L944+N944</f>
        <v>12</v>
      </c>
      <c r="Q944" s="24">
        <f>K944+M944+O944</f>
        <v>4</v>
      </c>
      <c r="R944" s="24">
        <v>0.75</v>
      </c>
      <c r="S944" s="21" t="s">
        <v>29</v>
      </c>
      <c r="T944" s="21" t="s">
        <v>297</v>
      </c>
      <c r="U944" s="21" t="s">
        <v>292</v>
      </c>
      <c r="V944" s="21" t="s">
        <v>286</v>
      </c>
      <c r="W944" s="21">
        <v>26</v>
      </c>
      <c r="X944" s="21" t="s">
        <v>285</v>
      </c>
      <c r="Y944" s="21" t="s">
        <v>318</v>
      </c>
      <c r="Z944" s="21" t="s">
        <v>317</v>
      </c>
      <c r="AA944" s="21" t="s">
        <v>37</v>
      </c>
      <c r="AB944" s="21">
        <v>1</v>
      </c>
      <c r="AD944" s="24">
        <v>10.06</v>
      </c>
      <c r="AE944" s="24">
        <v>7.98</v>
      </c>
      <c r="AF944" s="21" t="s">
        <v>304</v>
      </c>
      <c r="AG944" s="21" t="s">
        <v>341</v>
      </c>
    </row>
    <row r="945" spans="1:33">
      <c r="A945" s="21" t="s">
        <v>37</v>
      </c>
      <c r="B945" s="21" t="s">
        <v>439</v>
      </c>
      <c r="C945" s="25">
        <v>46141.588194444441</v>
      </c>
      <c r="D945" s="21" t="s">
        <v>28</v>
      </c>
      <c r="E945" s="24">
        <v>10.16</v>
      </c>
      <c r="F945" s="24">
        <v>8.31</v>
      </c>
      <c r="G945" s="24">
        <f>E945-F945</f>
        <v>1.8499999999999996</v>
      </c>
      <c r="H945" s="21" t="s">
        <v>289</v>
      </c>
      <c r="I945" s="21">
        <v>1</v>
      </c>
      <c r="J945" s="21">
        <v>6</v>
      </c>
      <c r="K945" s="21">
        <v>2</v>
      </c>
      <c r="L945" s="21">
        <v>6</v>
      </c>
      <c r="M945" s="21">
        <v>2</v>
      </c>
      <c r="P945" s="24">
        <f>J945+L945+N945</f>
        <v>12</v>
      </c>
      <c r="Q945" s="24">
        <f>K945+M945+O945</f>
        <v>4</v>
      </c>
      <c r="R945" s="24">
        <f>P945/(P945+Q945)</f>
        <v>0.75</v>
      </c>
      <c r="S945" s="21" t="s">
        <v>29</v>
      </c>
      <c r="T945" s="21" t="s">
        <v>296</v>
      </c>
      <c r="U945" s="21" t="s">
        <v>292</v>
      </c>
      <c r="V945" s="21" t="s">
        <v>286</v>
      </c>
      <c r="W945" s="21">
        <v>27</v>
      </c>
      <c r="X945" s="21" t="s">
        <v>285</v>
      </c>
      <c r="Y945" s="21" t="s">
        <v>318</v>
      </c>
      <c r="Z945" s="21" t="s">
        <v>317</v>
      </c>
      <c r="AA945" s="21" t="s">
        <v>37</v>
      </c>
      <c r="AB945" s="21">
        <v>1</v>
      </c>
      <c r="AD945" s="24">
        <v>10.06</v>
      </c>
      <c r="AE945" s="24">
        <v>8.57</v>
      </c>
      <c r="AF945" s="21" t="s">
        <v>302</v>
      </c>
      <c r="AG945" s="21" t="s">
        <v>301</v>
      </c>
    </row>
    <row r="946" spans="1:33">
      <c r="A946" s="21" t="s">
        <v>37</v>
      </c>
      <c r="B946" s="21" t="s">
        <v>439</v>
      </c>
      <c r="C946" s="25">
        <v>46141.59097222222</v>
      </c>
      <c r="D946" s="21" t="s">
        <v>38</v>
      </c>
      <c r="E946" s="24">
        <v>10.16</v>
      </c>
      <c r="F946" s="24">
        <v>10.130000000000001</v>
      </c>
      <c r="G946" s="24">
        <f>E946-F946</f>
        <v>2.9999999999999361E-2</v>
      </c>
      <c r="H946" s="21" t="s">
        <v>294</v>
      </c>
      <c r="I946" s="21">
        <v>0</v>
      </c>
      <c r="J946" s="21">
        <v>6</v>
      </c>
      <c r="K946" s="21">
        <v>3</v>
      </c>
      <c r="L946" s="21">
        <v>4</v>
      </c>
      <c r="M946" s="21">
        <v>6</v>
      </c>
      <c r="N946" s="21">
        <v>4</v>
      </c>
      <c r="O946" s="21">
        <v>6</v>
      </c>
      <c r="P946" s="24">
        <f>J946+L946+N946</f>
        <v>14</v>
      </c>
      <c r="Q946" s="24">
        <f>K946+M946+O946</f>
        <v>15</v>
      </c>
      <c r="R946" s="24">
        <f>P946/(P946+Q946)</f>
        <v>0.48275862068965519</v>
      </c>
      <c r="S946" s="21" t="s">
        <v>29</v>
      </c>
      <c r="T946" s="21" t="s">
        <v>295</v>
      </c>
      <c r="U946" s="21" t="s">
        <v>292</v>
      </c>
      <c r="V946" s="21" t="s">
        <v>286</v>
      </c>
      <c r="W946" s="21">
        <v>28</v>
      </c>
      <c r="X946" s="21" t="s">
        <v>285</v>
      </c>
      <c r="Y946" s="21" t="s">
        <v>318</v>
      </c>
      <c r="Z946" s="21" t="s">
        <v>317</v>
      </c>
      <c r="AA946" s="21" t="s">
        <v>37</v>
      </c>
      <c r="AB946" s="21">
        <v>1</v>
      </c>
      <c r="AD946" s="24">
        <v>10.06</v>
      </c>
      <c r="AE946" s="24">
        <v>10.01</v>
      </c>
      <c r="AF946" s="21" t="s">
        <v>302</v>
      </c>
      <c r="AG946" s="21" t="s">
        <v>301</v>
      </c>
    </row>
    <row r="947" spans="1:33">
      <c r="A947" s="21" t="s">
        <v>37</v>
      </c>
      <c r="B947" s="21" t="s">
        <v>439</v>
      </c>
      <c r="C947" s="25">
        <v>46141.599305555559</v>
      </c>
      <c r="D947" s="21" t="s">
        <v>78</v>
      </c>
      <c r="E947" s="24">
        <v>10.16</v>
      </c>
      <c r="F947" s="24">
        <v>10.37</v>
      </c>
      <c r="G947" s="24">
        <f>E947-F947</f>
        <v>-0.20999999999999908</v>
      </c>
      <c r="H947" s="21" t="s">
        <v>289</v>
      </c>
      <c r="I947" s="21">
        <v>1</v>
      </c>
      <c r="J947" s="21">
        <v>6</v>
      </c>
      <c r="K947" s="21">
        <v>2</v>
      </c>
      <c r="L947" s="21">
        <v>6</v>
      </c>
      <c r="M947" s="21">
        <v>1</v>
      </c>
      <c r="P947" s="24">
        <f>J947+L947+N947</f>
        <v>12</v>
      </c>
      <c r="Q947" s="24">
        <f>K947+M947+O947</f>
        <v>3</v>
      </c>
      <c r="R947" s="24">
        <f>P947/(P947+Q947)</f>
        <v>0.8</v>
      </c>
      <c r="S947" s="21" t="s">
        <v>29</v>
      </c>
      <c r="T947" s="21" t="s">
        <v>293</v>
      </c>
      <c r="U947" s="21" t="s">
        <v>292</v>
      </c>
      <c r="V947" s="21" t="s">
        <v>286</v>
      </c>
      <c r="W947" s="21">
        <v>29</v>
      </c>
      <c r="X947" s="21" t="s">
        <v>285</v>
      </c>
      <c r="Y947" s="21" t="s">
        <v>318</v>
      </c>
      <c r="Z947" s="21" t="s">
        <v>317</v>
      </c>
      <c r="AA947" s="21" t="s">
        <v>37</v>
      </c>
      <c r="AB947" s="21">
        <v>1</v>
      </c>
      <c r="AD947" s="24">
        <v>10.06</v>
      </c>
      <c r="AE947" s="24">
        <v>9.77</v>
      </c>
      <c r="AF947" s="21" t="s">
        <v>302</v>
      </c>
      <c r="AG947" s="21" t="s">
        <v>301</v>
      </c>
    </row>
    <row r="948" spans="1:33">
      <c r="A948" s="21" t="s">
        <v>37</v>
      </c>
      <c r="B948" s="21" t="s">
        <v>439</v>
      </c>
      <c r="C948" s="25">
        <v>46141.64166666667</v>
      </c>
      <c r="D948" s="21" t="s">
        <v>154</v>
      </c>
      <c r="E948" s="24">
        <v>10.16</v>
      </c>
      <c r="F948" s="24">
        <v>6.66</v>
      </c>
      <c r="G948" s="24">
        <f>E948-F948</f>
        <v>3.5</v>
      </c>
      <c r="H948" s="21" t="s">
        <v>289</v>
      </c>
      <c r="I948" s="21">
        <v>1</v>
      </c>
      <c r="J948" s="21">
        <v>6</v>
      </c>
      <c r="K948" s="21">
        <v>1</v>
      </c>
      <c r="L948" s="21">
        <v>6</v>
      </c>
      <c r="M948" s="21">
        <v>0</v>
      </c>
      <c r="P948" s="24">
        <f>J948+L948+N948</f>
        <v>12</v>
      </c>
      <c r="Q948" s="24">
        <f>K948+M948+O948</f>
        <v>1</v>
      </c>
      <c r="R948" s="24">
        <v>0.92307692307692313</v>
      </c>
      <c r="S948" s="21" t="s">
        <v>24</v>
      </c>
      <c r="U948" s="21" t="s">
        <v>287</v>
      </c>
      <c r="V948" s="21" t="s">
        <v>286</v>
      </c>
      <c r="W948" s="21">
        <v>30</v>
      </c>
      <c r="X948" s="21" t="s">
        <v>285</v>
      </c>
      <c r="Y948" s="21" t="s">
        <v>318</v>
      </c>
      <c r="Z948" s="21" t="s">
        <v>317</v>
      </c>
      <c r="AA948" s="21" t="s">
        <v>37</v>
      </c>
      <c r="AB948" s="21">
        <v>1</v>
      </c>
      <c r="AD948" s="24">
        <v>10.06</v>
      </c>
      <c r="AE948" s="24">
        <v>6.62</v>
      </c>
      <c r="AF948" s="21" t="s">
        <v>304</v>
      </c>
      <c r="AG948" s="21" t="s">
        <v>303</v>
      </c>
    </row>
    <row r="949" spans="1:33">
      <c r="A949" s="21" t="s">
        <v>37</v>
      </c>
      <c r="B949" s="21" t="s">
        <v>439</v>
      </c>
      <c r="C949" s="25">
        <v>46142.666666666664</v>
      </c>
      <c r="D949" s="21" t="s">
        <v>143</v>
      </c>
      <c r="E949" s="24">
        <v>10.16</v>
      </c>
      <c r="F949" s="24">
        <v>6.58</v>
      </c>
      <c r="G949" s="24">
        <f>E949-F949</f>
        <v>3.58</v>
      </c>
      <c r="H949" s="21" t="s">
        <v>289</v>
      </c>
      <c r="I949" s="21">
        <v>1</v>
      </c>
      <c r="J949" s="21">
        <v>6</v>
      </c>
      <c r="K949" s="21">
        <v>0</v>
      </c>
      <c r="L949" s="21">
        <v>6</v>
      </c>
      <c r="M949" s="21">
        <v>0</v>
      </c>
      <c r="P949" s="24">
        <f>J949+L949+N949</f>
        <v>12</v>
      </c>
      <c r="Q949" s="24">
        <f>K949+M949+O949</f>
        <v>0</v>
      </c>
      <c r="R949" s="24">
        <v>1</v>
      </c>
      <c r="S949" s="21" t="s">
        <v>24</v>
      </c>
      <c r="U949" s="21" t="s">
        <v>287</v>
      </c>
      <c r="V949" s="21" t="s">
        <v>286</v>
      </c>
      <c r="W949" s="21">
        <v>31</v>
      </c>
      <c r="X949" s="21" t="s">
        <v>285</v>
      </c>
      <c r="Y949" s="21" t="s">
        <v>318</v>
      </c>
      <c r="Z949" s="21" t="s">
        <v>317</v>
      </c>
      <c r="AA949" s="21" t="s">
        <v>37</v>
      </c>
      <c r="AB949" s="21">
        <v>1</v>
      </c>
      <c r="AD949" s="24">
        <v>10.06</v>
      </c>
      <c r="AE949" s="24">
        <v>7.19</v>
      </c>
      <c r="AF949" s="21" t="s">
        <v>302</v>
      </c>
      <c r="AG949" s="21" t="s">
        <v>301</v>
      </c>
    </row>
    <row r="950" spans="1:33">
      <c r="A950" s="21" t="s">
        <v>37</v>
      </c>
      <c r="B950" s="21" t="s">
        <v>439</v>
      </c>
      <c r="C950" s="25">
        <v>46146.6875</v>
      </c>
      <c r="D950" s="21" t="s">
        <v>14</v>
      </c>
      <c r="E950" s="24">
        <v>10.16</v>
      </c>
      <c r="F950" s="24">
        <v>6.86</v>
      </c>
      <c r="G950" s="24">
        <f>E950-F950</f>
        <v>3.3</v>
      </c>
      <c r="H950" s="21" t="s">
        <v>289</v>
      </c>
      <c r="I950" s="21">
        <v>1</v>
      </c>
      <c r="J950" s="21">
        <v>6</v>
      </c>
      <c r="K950" s="21">
        <v>1</v>
      </c>
      <c r="L950" s="21">
        <v>3</v>
      </c>
      <c r="M950" s="21">
        <v>6</v>
      </c>
      <c r="N950" s="21">
        <v>6</v>
      </c>
      <c r="O950" s="21">
        <v>2</v>
      </c>
      <c r="P950" s="24">
        <f>J950+L950+N950</f>
        <v>15</v>
      </c>
      <c r="Q950" s="24">
        <f>K950+M950+O950</f>
        <v>9</v>
      </c>
      <c r="R950" s="24">
        <v>0.625</v>
      </c>
      <c r="S950" s="21" t="s">
        <v>11</v>
      </c>
      <c r="U950" s="21" t="s">
        <v>287</v>
      </c>
      <c r="V950" s="21" t="s">
        <v>286</v>
      </c>
      <c r="W950" s="21">
        <v>32</v>
      </c>
      <c r="X950" s="21" t="s">
        <v>285</v>
      </c>
      <c r="Y950" s="21" t="s">
        <v>318</v>
      </c>
      <c r="Z950" s="21" t="s">
        <v>317</v>
      </c>
      <c r="AA950" s="21" t="s">
        <v>37</v>
      </c>
      <c r="AB950" s="21">
        <v>1</v>
      </c>
      <c r="AD950" s="24">
        <v>10.06</v>
      </c>
      <c r="AE950" s="24">
        <v>8.06</v>
      </c>
      <c r="AF950" s="21" t="s">
        <v>304</v>
      </c>
      <c r="AG950" s="21" t="s">
        <v>303</v>
      </c>
    </row>
    <row r="951" spans="1:33">
      <c r="A951" s="21" t="s">
        <v>129</v>
      </c>
      <c r="B951" s="21" t="s">
        <v>435</v>
      </c>
      <c r="C951" s="25">
        <v>46091.645833333336</v>
      </c>
      <c r="D951" s="21" t="s">
        <v>438</v>
      </c>
      <c r="E951" s="24">
        <v>7.07</v>
      </c>
      <c r="F951" s="24">
        <v>2.77</v>
      </c>
      <c r="G951" s="24">
        <f>E951-F951</f>
        <v>4.3000000000000007</v>
      </c>
      <c r="H951" s="21" t="s">
        <v>289</v>
      </c>
      <c r="I951" s="21">
        <v>1</v>
      </c>
      <c r="J951" s="21">
        <v>6</v>
      </c>
      <c r="K951" s="21">
        <v>0</v>
      </c>
      <c r="L951" s="21">
        <v>6</v>
      </c>
      <c r="M951" s="21">
        <v>0</v>
      </c>
      <c r="P951" s="24">
        <f>J951+L951+N951</f>
        <v>12</v>
      </c>
      <c r="Q951" s="24">
        <f>K951+M951+O951</f>
        <v>0</v>
      </c>
      <c r="R951" s="24">
        <v>1</v>
      </c>
      <c r="S951" s="21" t="s">
        <v>437</v>
      </c>
      <c r="U951" s="21" t="s">
        <v>287</v>
      </c>
      <c r="V951" s="21" t="s">
        <v>286</v>
      </c>
      <c r="W951" s="21">
        <v>0</v>
      </c>
      <c r="X951" s="21" t="s">
        <v>312</v>
      </c>
      <c r="Y951" s="21" t="s">
        <v>318</v>
      </c>
      <c r="Z951" s="21" t="s">
        <v>317</v>
      </c>
      <c r="AA951" s="21" t="s">
        <v>129</v>
      </c>
      <c r="AB951" s="21">
        <v>1</v>
      </c>
      <c r="AD951" s="24">
        <v>8.41</v>
      </c>
      <c r="AE951" s="24">
        <v>2.77</v>
      </c>
      <c r="AF951" s="21" t="s">
        <v>304</v>
      </c>
      <c r="AG951" s="21" t="s">
        <v>303</v>
      </c>
    </row>
    <row r="952" spans="1:33">
      <c r="A952" s="21" t="s">
        <v>129</v>
      </c>
      <c r="B952" s="21" t="s">
        <v>435</v>
      </c>
      <c r="C952" s="25">
        <v>46105.625</v>
      </c>
      <c r="D952" s="21" t="s">
        <v>26</v>
      </c>
      <c r="E952" s="24">
        <v>6.93</v>
      </c>
      <c r="F952" s="24">
        <v>6.79</v>
      </c>
      <c r="G952" s="24">
        <f>E952-F952</f>
        <v>0.13999999999999968</v>
      </c>
      <c r="H952" s="21" t="s">
        <v>294</v>
      </c>
      <c r="I952" s="21">
        <v>0</v>
      </c>
      <c r="J952" s="21">
        <v>5</v>
      </c>
      <c r="K952" s="21">
        <v>7</v>
      </c>
      <c r="L952" s="21">
        <v>5</v>
      </c>
      <c r="M952" s="21">
        <v>7</v>
      </c>
      <c r="P952" s="24">
        <f>J952+L952+N952</f>
        <v>10</v>
      </c>
      <c r="Q952" s="24">
        <f>K952+M952+O952</f>
        <v>14</v>
      </c>
      <c r="R952" s="24">
        <v>0.41666666666666669</v>
      </c>
      <c r="S952" s="21" t="s">
        <v>215</v>
      </c>
      <c r="U952" s="21" t="s">
        <v>412</v>
      </c>
      <c r="V952" s="21" t="s">
        <v>286</v>
      </c>
      <c r="W952" s="21">
        <v>1</v>
      </c>
      <c r="X952" s="21" t="s">
        <v>323</v>
      </c>
      <c r="Y952" s="21" t="s">
        <v>318</v>
      </c>
      <c r="Z952" s="21" t="s">
        <v>317</v>
      </c>
      <c r="AA952" s="21" t="s">
        <v>129</v>
      </c>
      <c r="AB952" s="21">
        <v>1</v>
      </c>
      <c r="AD952" s="24">
        <v>8.41</v>
      </c>
      <c r="AE952" s="24">
        <v>8.09</v>
      </c>
      <c r="AF952" s="21" t="s">
        <v>304</v>
      </c>
      <c r="AG952" s="21" t="s">
        <v>303</v>
      </c>
    </row>
    <row r="953" spans="1:33">
      <c r="A953" s="21" t="s">
        <v>129</v>
      </c>
      <c r="B953" s="21" t="s">
        <v>435</v>
      </c>
      <c r="C953" s="25">
        <v>46106.645833333336</v>
      </c>
      <c r="D953" s="21" t="s">
        <v>436</v>
      </c>
      <c r="E953" s="24">
        <v>6.93</v>
      </c>
      <c r="F953" s="24">
        <v>6.76</v>
      </c>
      <c r="G953" s="24">
        <f>E953-F953</f>
        <v>0.16999999999999993</v>
      </c>
      <c r="H953" s="21" t="s">
        <v>289</v>
      </c>
      <c r="I953" s="21">
        <v>1</v>
      </c>
      <c r="J953" s="21">
        <v>6</v>
      </c>
      <c r="K953" s="21">
        <v>0</v>
      </c>
      <c r="L953" s="21">
        <v>6</v>
      </c>
      <c r="M953" s="21">
        <v>0</v>
      </c>
      <c r="P953" s="24">
        <f>J953+L953+N953</f>
        <v>12</v>
      </c>
      <c r="Q953" s="24">
        <f>K953+M953+O953</f>
        <v>0</v>
      </c>
      <c r="R953" s="24">
        <v>1</v>
      </c>
      <c r="S953" s="21" t="s">
        <v>211</v>
      </c>
      <c r="U953" s="21" t="s">
        <v>287</v>
      </c>
      <c r="V953" s="21" t="s">
        <v>286</v>
      </c>
      <c r="W953" s="21">
        <v>2</v>
      </c>
      <c r="X953" s="21" t="s">
        <v>310</v>
      </c>
      <c r="Y953" s="21" t="s">
        <v>318</v>
      </c>
      <c r="Z953" s="21" t="s">
        <v>317</v>
      </c>
      <c r="AA953" s="21" t="s">
        <v>129</v>
      </c>
      <c r="AB953" s="21">
        <v>1</v>
      </c>
      <c r="AD953" s="24">
        <v>8.41</v>
      </c>
      <c r="AE953" s="24">
        <v>6.76</v>
      </c>
      <c r="AF953" s="21" t="s">
        <v>304</v>
      </c>
      <c r="AG953" s="21" t="s">
        <v>303</v>
      </c>
    </row>
    <row r="954" spans="1:33">
      <c r="A954" s="21" t="s">
        <v>129</v>
      </c>
      <c r="B954" s="21" t="s">
        <v>435</v>
      </c>
      <c r="C954" s="25">
        <v>46107.645833333336</v>
      </c>
      <c r="D954" s="21" t="s">
        <v>5</v>
      </c>
      <c r="E954" s="24">
        <v>6.93</v>
      </c>
      <c r="F954" s="24">
        <v>8.93</v>
      </c>
      <c r="G954" s="24">
        <f>E954-F954</f>
        <v>-2</v>
      </c>
      <c r="H954" s="21" t="s">
        <v>289</v>
      </c>
      <c r="I954" s="21">
        <v>1</v>
      </c>
      <c r="J954" s="21">
        <v>6</v>
      </c>
      <c r="K954" s="21">
        <v>1</v>
      </c>
      <c r="L954" s="21">
        <v>6</v>
      </c>
      <c r="M954" s="21">
        <v>7</v>
      </c>
      <c r="N954" s="21">
        <v>1</v>
      </c>
      <c r="O954" s="21">
        <v>0</v>
      </c>
      <c r="P954" s="24">
        <f>J954+L954+N954</f>
        <v>13</v>
      </c>
      <c r="Q954" s="24">
        <f>K954+M954+O954</f>
        <v>8</v>
      </c>
      <c r="R954" s="24">
        <v>0.67527675276752763</v>
      </c>
      <c r="S954" s="21" t="s">
        <v>198</v>
      </c>
      <c r="U954" s="21" t="s">
        <v>287</v>
      </c>
      <c r="V954" s="21" t="s">
        <v>286</v>
      </c>
      <c r="W954" s="21">
        <v>3</v>
      </c>
      <c r="X954" s="21" t="s">
        <v>285</v>
      </c>
      <c r="Y954" s="21" t="s">
        <v>318</v>
      </c>
      <c r="Z954" s="21" t="s">
        <v>317</v>
      </c>
      <c r="AA954" s="21" t="s">
        <v>129</v>
      </c>
      <c r="AB954" s="21">
        <v>1</v>
      </c>
      <c r="AD954" s="24">
        <v>8.41</v>
      </c>
      <c r="AE954" s="24">
        <v>8.08</v>
      </c>
      <c r="AF954" s="21" t="s">
        <v>304</v>
      </c>
      <c r="AG954" s="21" t="s">
        <v>303</v>
      </c>
    </row>
    <row r="955" spans="1:33">
      <c r="A955" s="21" t="s">
        <v>129</v>
      </c>
      <c r="B955" s="21" t="s">
        <v>435</v>
      </c>
      <c r="C955" s="25">
        <v>46125.645833333336</v>
      </c>
      <c r="D955" s="21" t="s">
        <v>128</v>
      </c>
      <c r="E955" s="24">
        <v>6.71</v>
      </c>
      <c r="F955" s="24">
        <v>6.69</v>
      </c>
      <c r="G955" s="24">
        <f>E955-F955</f>
        <v>1.9999999999999574E-2</v>
      </c>
      <c r="H955" s="21" t="s">
        <v>289</v>
      </c>
      <c r="I955" s="21">
        <v>1</v>
      </c>
      <c r="J955" s="21">
        <v>6</v>
      </c>
      <c r="K955" s="21">
        <v>2</v>
      </c>
      <c r="L955" s="21">
        <v>6</v>
      </c>
      <c r="M955" s="21">
        <v>0</v>
      </c>
      <c r="P955" s="24">
        <f>J955+L955+N955</f>
        <v>12</v>
      </c>
      <c r="Q955" s="24">
        <f>K955+M955+O955</f>
        <v>2</v>
      </c>
      <c r="R955" s="24">
        <v>0.8571428571428571</v>
      </c>
      <c r="S955" s="21" t="s">
        <v>122</v>
      </c>
      <c r="U955" s="21" t="s">
        <v>287</v>
      </c>
      <c r="V955" s="21" t="s">
        <v>286</v>
      </c>
      <c r="W955" s="21">
        <v>4</v>
      </c>
      <c r="X955" s="21" t="s">
        <v>285</v>
      </c>
      <c r="Y955" s="21" t="s">
        <v>318</v>
      </c>
      <c r="Z955" s="21" t="s">
        <v>317</v>
      </c>
      <c r="AA955" s="21" t="s">
        <v>129</v>
      </c>
      <c r="AB955" s="21">
        <v>1</v>
      </c>
      <c r="AD955" s="24">
        <v>8.41</v>
      </c>
      <c r="AE955" s="24">
        <v>6.89</v>
      </c>
      <c r="AF955" s="21" t="s">
        <v>304</v>
      </c>
      <c r="AG955" s="21" t="s">
        <v>303</v>
      </c>
    </row>
    <row r="956" spans="1:33">
      <c r="A956" s="21" t="s">
        <v>434</v>
      </c>
      <c r="B956" s="21" t="s">
        <v>350</v>
      </c>
      <c r="C956" s="25">
        <v>46133.645833333336</v>
      </c>
      <c r="D956" s="21" t="s">
        <v>10</v>
      </c>
      <c r="E956" s="24">
        <v>6.85</v>
      </c>
      <c r="F956" s="24">
        <v>7.02</v>
      </c>
      <c r="G956" s="24">
        <f>E956-F956</f>
        <v>-0.16999999999999993</v>
      </c>
      <c r="H956" s="21" t="s">
        <v>289</v>
      </c>
      <c r="I956" s="21">
        <v>1</v>
      </c>
      <c r="J956" s="21">
        <v>2</v>
      </c>
      <c r="K956" s="21">
        <v>6</v>
      </c>
      <c r="L956" s="21">
        <v>6</v>
      </c>
      <c r="M956" s="21">
        <v>1</v>
      </c>
      <c r="N956" s="21">
        <v>6</v>
      </c>
      <c r="O956" s="21">
        <v>4</v>
      </c>
      <c r="P956" s="24">
        <f>J956+L956+N956</f>
        <v>14</v>
      </c>
      <c r="Q956" s="24">
        <f>K956+M956+O956</f>
        <v>11</v>
      </c>
      <c r="R956" s="24">
        <v>0.56000000000000005</v>
      </c>
      <c r="S956" s="21" t="s">
        <v>63</v>
      </c>
      <c r="U956" s="21" t="s">
        <v>287</v>
      </c>
      <c r="V956" s="21" t="s">
        <v>286</v>
      </c>
      <c r="W956" s="21">
        <v>0</v>
      </c>
      <c r="X956" s="21" t="s">
        <v>312</v>
      </c>
      <c r="Y956" s="21" t="s">
        <v>318</v>
      </c>
      <c r="Z956" s="21" t="s">
        <v>317</v>
      </c>
      <c r="AA956" s="21" t="s">
        <v>434</v>
      </c>
      <c r="AB956" s="21">
        <v>1</v>
      </c>
      <c r="AD956" s="24">
        <v>7.17</v>
      </c>
      <c r="AE956" s="24">
        <v>6.92</v>
      </c>
      <c r="AF956" s="21" t="s">
        <v>304</v>
      </c>
      <c r="AG956" s="21" t="s">
        <v>303</v>
      </c>
    </row>
    <row r="957" spans="1:33">
      <c r="A957" s="21" t="s">
        <v>46</v>
      </c>
      <c r="B957" s="21" t="s">
        <v>415</v>
      </c>
      <c r="C957" s="25">
        <v>46088</v>
      </c>
      <c r="D957" s="21" t="s">
        <v>433</v>
      </c>
      <c r="E957" s="24">
        <v>7.32</v>
      </c>
      <c r="F957" s="24">
        <v>5.53</v>
      </c>
      <c r="G957" s="24">
        <f>E957-F957</f>
        <v>1.79</v>
      </c>
      <c r="H957" s="21" t="s">
        <v>289</v>
      </c>
      <c r="I957" s="21">
        <v>1</v>
      </c>
      <c r="J957" s="21">
        <v>6</v>
      </c>
      <c r="K957" s="21">
        <v>4</v>
      </c>
      <c r="P957" s="24">
        <f>J957+L957+N957</f>
        <v>6</v>
      </c>
      <c r="Q957" s="24">
        <f>K957+M957+O957</f>
        <v>4</v>
      </c>
      <c r="R957" s="24">
        <v>0.6</v>
      </c>
      <c r="S957" s="21" t="s">
        <v>430</v>
      </c>
      <c r="U957" s="21" t="s">
        <v>412</v>
      </c>
      <c r="V957" s="21" t="s">
        <v>286</v>
      </c>
      <c r="W957" s="21">
        <v>0</v>
      </c>
      <c r="X957" s="21" t="s">
        <v>312</v>
      </c>
      <c r="Y957" s="21" t="s">
        <v>318</v>
      </c>
      <c r="Z957" s="21" t="s">
        <v>317</v>
      </c>
      <c r="AA957" s="21" t="s">
        <v>46</v>
      </c>
      <c r="AB957" s="21">
        <v>1</v>
      </c>
      <c r="AD957" s="24">
        <v>7.96</v>
      </c>
      <c r="AE957" s="24">
        <v>5.53</v>
      </c>
      <c r="AF957" s="21" t="s">
        <v>302</v>
      </c>
      <c r="AG957" s="21" t="s">
        <v>301</v>
      </c>
    </row>
    <row r="958" spans="1:33">
      <c r="A958" s="21" t="s">
        <v>46</v>
      </c>
      <c r="B958" s="21" t="s">
        <v>415</v>
      </c>
      <c r="C958" s="25">
        <v>46088</v>
      </c>
      <c r="D958" s="21" t="s">
        <v>432</v>
      </c>
      <c r="E958" s="24">
        <v>7.32</v>
      </c>
      <c r="F958" s="24">
        <v>5.46</v>
      </c>
      <c r="G958" s="24">
        <f>E958-F958</f>
        <v>1.8600000000000003</v>
      </c>
      <c r="H958" s="21" t="s">
        <v>289</v>
      </c>
      <c r="I958" s="21">
        <v>1</v>
      </c>
      <c r="J958" s="21">
        <v>6</v>
      </c>
      <c r="K958" s="21">
        <v>1</v>
      </c>
      <c r="P958" s="24">
        <f>J958+L958+N958</f>
        <v>6</v>
      </c>
      <c r="Q958" s="24">
        <f>K958+M958+O958</f>
        <v>1</v>
      </c>
      <c r="R958" s="24">
        <v>0.8571428571428571</v>
      </c>
      <c r="S958" s="21" t="s">
        <v>430</v>
      </c>
      <c r="U958" s="21" t="s">
        <v>412</v>
      </c>
      <c r="V958" s="21" t="s">
        <v>286</v>
      </c>
      <c r="W958" s="21">
        <v>0</v>
      </c>
      <c r="X958" s="21" t="s">
        <v>312</v>
      </c>
      <c r="Y958" s="21" t="s">
        <v>318</v>
      </c>
      <c r="Z958" s="21" t="s">
        <v>317</v>
      </c>
      <c r="AA958" s="21" t="s">
        <v>46</v>
      </c>
      <c r="AB958" s="21">
        <v>1</v>
      </c>
      <c r="AD958" s="24">
        <v>7.96</v>
      </c>
      <c r="AE958" s="24">
        <v>5.46</v>
      </c>
      <c r="AF958" s="21" t="s">
        <v>304</v>
      </c>
      <c r="AG958" s="21" t="s">
        <v>303</v>
      </c>
    </row>
    <row r="959" spans="1:33">
      <c r="A959" s="21" t="s">
        <v>46</v>
      </c>
      <c r="B959" s="21" t="s">
        <v>415</v>
      </c>
      <c r="C959" s="25">
        <v>46088</v>
      </c>
      <c r="D959" s="21" t="s">
        <v>431</v>
      </c>
      <c r="E959" s="24">
        <v>7.32</v>
      </c>
      <c r="F959" s="24">
        <v>9.1</v>
      </c>
      <c r="G959" s="24">
        <f>E959-F959</f>
        <v>-1.7799999999999994</v>
      </c>
      <c r="H959" s="21" t="s">
        <v>294</v>
      </c>
      <c r="I959" s="21">
        <v>0</v>
      </c>
      <c r="J959" s="21">
        <v>0</v>
      </c>
      <c r="K959" s="21">
        <v>3</v>
      </c>
      <c r="P959" s="24">
        <f>J959+L959+N959</f>
        <v>0</v>
      </c>
      <c r="Q959" s="24">
        <f>K959+M959+O959</f>
        <v>3</v>
      </c>
      <c r="R959" s="24">
        <v>0</v>
      </c>
      <c r="S959" s="21" t="s">
        <v>430</v>
      </c>
      <c r="U959" s="21" t="s">
        <v>412</v>
      </c>
      <c r="V959" s="21" t="s">
        <v>286</v>
      </c>
      <c r="W959" s="21">
        <v>0</v>
      </c>
      <c r="X959" s="21" t="s">
        <v>312</v>
      </c>
      <c r="Y959" s="21" t="s">
        <v>318</v>
      </c>
      <c r="Z959" s="21" t="s">
        <v>317</v>
      </c>
      <c r="AA959" s="21" t="s">
        <v>46</v>
      </c>
      <c r="AB959" s="21">
        <v>1</v>
      </c>
      <c r="AD959" s="24">
        <v>7.96</v>
      </c>
      <c r="AE959" s="24">
        <v>9.1</v>
      </c>
      <c r="AF959" s="21" t="s">
        <v>302</v>
      </c>
      <c r="AG959" s="21" t="s">
        <v>301</v>
      </c>
    </row>
    <row r="960" spans="1:33">
      <c r="A960" s="21" t="s">
        <v>46</v>
      </c>
      <c r="B960" s="21" t="s">
        <v>415</v>
      </c>
      <c r="C960" s="25">
        <v>46091.645833333336</v>
      </c>
      <c r="D960" s="21" t="s">
        <v>141</v>
      </c>
      <c r="E960" s="24">
        <v>7.32</v>
      </c>
      <c r="F960" s="24">
        <v>5.53</v>
      </c>
      <c r="G960" s="24">
        <f>E960-F960</f>
        <v>1.79</v>
      </c>
      <c r="H960" s="21" t="s">
        <v>289</v>
      </c>
      <c r="I960" s="21">
        <v>1</v>
      </c>
      <c r="J960" s="21">
        <v>6</v>
      </c>
      <c r="K960" s="21">
        <v>2</v>
      </c>
      <c r="L960" s="21">
        <v>7</v>
      </c>
      <c r="M960" s="21">
        <v>6</v>
      </c>
      <c r="P960" s="24">
        <f>J960+L960+N960</f>
        <v>13</v>
      </c>
      <c r="Q960" s="24">
        <f>K960+M960+O960</f>
        <v>8</v>
      </c>
      <c r="R960" s="24">
        <v>0.61904761904761907</v>
      </c>
      <c r="S960" s="21" t="s">
        <v>429</v>
      </c>
      <c r="U960" s="21" t="s">
        <v>287</v>
      </c>
      <c r="V960" s="21" t="s">
        <v>286</v>
      </c>
      <c r="W960" s="21">
        <v>3</v>
      </c>
      <c r="X960" s="21" t="s">
        <v>285</v>
      </c>
      <c r="Y960" s="21" t="s">
        <v>318</v>
      </c>
      <c r="Z960" s="21" t="s">
        <v>317</v>
      </c>
      <c r="AA960" s="21" t="s">
        <v>46</v>
      </c>
      <c r="AB960" s="21">
        <v>1</v>
      </c>
      <c r="AD960" s="24">
        <v>7.96</v>
      </c>
      <c r="AE960" s="24">
        <v>5.97</v>
      </c>
      <c r="AF960" s="21" t="s">
        <v>302</v>
      </c>
      <c r="AG960" s="21" t="s">
        <v>301</v>
      </c>
    </row>
    <row r="961" spans="1:33">
      <c r="A961" s="21" t="s">
        <v>46</v>
      </c>
      <c r="B961" s="21" t="s">
        <v>415</v>
      </c>
      <c r="C961" s="25">
        <v>46094.645833333336</v>
      </c>
      <c r="D961" s="21" t="s">
        <v>428</v>
      </c>
      <c r="E961" s="24">
        <v>7.32</v>
      </c>
      <c r="F961" s="24">
        <v>6.38</v>
      </c>
      <c r="G961" s="24">
        <f>E961-F961</f>
        <v>0.94000000000000039</v>
      </c>
      <c r="H961" s="21" t="s">
        <v>289</v>
      </c>
      <c r="I961" s="21">
        <v>1</v>
      </c>
      <c r="J961" s="21">
        <v>6</v>
      </c>
      <c r="K961" s="21">
        <v>1</v>
      </c>
      <c r="L961" s="21">
        <v>6</v>
      </c>
      <c r="M961" s="21">
        <v>2</v>
      </c>
      <c r="P961" s="24">
        <f>J961+L961+N961</f>
        <v>12</v>
      </c>
      <c r="Q961" s="24">
        <f>K961+M961+O961</f>
        <v>3</v>
      </c>
      <c r="R961" s="24">
        <v>0.8</v>
      </c>
      <c r="S961" s="21" t="s">
        <v>248</v>
      </c>
      <c r="U961" s="21" t="s">
        <v>287</v>
      </c>
      <c r="V961" s="21" t="s">
        <v>286</v>
      </c>
      <c r="W961" s="21">
        <v>4</v>
      </c>
      <c r="X961" s="21" t="s">
        <v>285</v>
      </c>
      <c r="Y961" s="21" t="s">
        <v>318</v>
      </c>
      <c r="Z961" s="21" t="s">
        <v>317</v>
      </c>
      <c r="AA961" s="21" t="s">
        <v>46</v>
      </c>
      <c r="AB961" s="21">
        <v>1</v>
      </c>
      <c r="AD961" s="24">
        <v>7.96</v>
      </c>
      <c r="AE961" s="24">
        <v>6.38</v>
      </c>
      <c r="AF961" s="21" t="s">
        <v>302</v>
      </c>
      <c r="AG961" s="21" t="s">
        <v>301</v>
      </c>
    </row>
    <row r="962" spans="1:33">
      <c r="A962" s="21" t="s">
        <v>46</v>
      </c>
      <c r="B962" s="21" t="s">
        <v>415</v>
      </c>
      <c r="C962" s="25">
        <v>46098.645833333336</v>
      </c>
      <c r="D962" s="21" t="s">
        <v>44</v>
      </c>
      <c r="E962" s="24">
        <v>7.32</v>
      </c>
      <c r="F962" s="24">
        <v>8.56</v>
      </c>
      <c r="G962" s="24">
        <f>E962-F962</f>
        <v>-1.2400000000000002</v>
      </c>
      <c r="H962" s="21" t="s">
        <v>294</v>
      </c>
      <c r="I962" s="21">
        <v>0</v>
      </c>
      <c r="J962" s="21">
        <v>4</v>
      </c>
      <c r="K962" s="21">
        <v>6</v>
      </c>
      <c r="L962" s="21">
        <v>1</v>
      </c>
      <c r="M962" s="21">
        <v>6</v>
      </c>
      <c r="P962" s="24">
        <f>J962+L962+N962</f>
        <v>5</v>
      </c>
      <c r="Q962" s="24">
        <f>K962+M962+O962</f>
        <v>12</v>
      </c>
      <c r="R962" s="24">
        <v>0.29411764705882354</v>
      </c>
      <c r="S962" s="21" t="s">
        <v>239</v>
      </c>
      <c r="U962" s="21" t="s">
        <v>287</v>
      </c>
      <c r="V962" s="21" t="s">
        <v>286</v>
      </c>
      <c r="W962" s="21">
        <v>5</v>
      </c>
      <c r="X962" s="21" t="s">
        <v>285</v>
      </c>
      <c r="Y962" s="21" t="s">
        <v>318</v>
      </c>
      <c r="Z962" s="21" t="s">
        <v>317</v>
      </c>
      <c r="AA962" s="21" t="s">
        <v>46</v>
      </c>
      <c r="AB962" s="21">
        <v>1</v>
      </c>
      <c r="AD962" s="24">
        <v>7.96</v>
      </c>
      <c r="AE962" s="24">
        <v>8.42</v>
      </c>
      <c r="AF962" s="21" t="s">
        <v>304</v>
      </c>
      <c r="AG962" s="21" t="s">
        <v>303</v>
      </c>
    </row>
    <row r="963" spans="1:33">
      <c r="A963" s="21" t="s">
        <v>46</v>
      </c>
      <c r="B963" s="21" t="s">
        <v>415</v>
      </c>
      <c r="C963" s="25">
        <v>46099.645833333336</v>
      </c>
      <c r="D963" s="21" t="s">
        <v>70</v>
      </c>
      <c r="E963" s="24">
        <v>7.32</v>
      </c>
      <c r="F963" s="24">
        <v>8.11</v>
      </c>
      <c r="G963" s="24">
        <f>E963-F963</f>
        <v>-0.78999999999999915</v>
      </c>
      <c r="H963" s="21" t="s">
        <v>289</v>
      </c>
      <c r="I963" s="21">
        <v>1</v>
      </c>
      <c r="J963" s="21">
        <v>6</v>
      </c>
      <c r="K963" s="21">
        <v>1</v>
      </c>
      <c r="L963" s="21">
        <v>6</v>
      </c>
      <c r="M963" s="21">
        <v>2</v>
      </c>
      <c r="P963" s="24">
        <f>J963+L963+N963</f>
        <v>12</v>
      </c>
      <c r="Q963" s="24">
        <f>K963+M963+O963</f>
        <v>3</v>
      </c>
      <c r="R963" s="24">
        <v>0.8</v>
      </c>
      <c r="S963" s="21" t="s">
        <v>232</v>
      </c>
      <c r="U963" s="21" t="s">
        <v>287</v>
      </c>
      <c r="V963" s="21" t="s">
        <v>286</v>
      </c>
      <c r="W963" s="21">
        <v>6</v>
      </c>
      <c r="X963" s="21" t="s">
        <v>285</v>
      </c>
      <c r="Y963" s="21" t="s">
        <v>318</v>
      </c>
      <c r="Z963" s="21" t="s">
        <v>317</v>
      </c>
      <c r="AA963" s="21" t="s">
        <v>46</v>
      </c>
      <c r="AB963" s="21">
        <v>1</v>
      </c>
      <c r="AD963" s="24">
        <v>7.96</v>
      </c>
      <c r="AE963" s="24">
        <v>7.26</v>
      </c>
      <c r="AF963" s="21" t="s">
        <v>304</v>
      </c>
      <c r="AG963" s="21" t="s">
        <v>303</v>
      </c>
    </row>
    <row r="964" spans="1:33">
      <c r="A964" s="21" t="s">
        <v>46</v>
      </c>
      <c r="B964" s="21" t="s">
        <v>415</v>
      </c>
      <c r="C964" s="25">
        <v>46100.645833333336</v>
      </c>
      <c r="D964" s="21" t="s">
        <v>65</v>
      </c>
      <c r="E964" s="24">
        <v>7.32</v>
      </c>
      <c r="F964" s="24">
        <v>6.59</v>
      </c>
      <c r="G964" s="24">
        <f>E964-F964</f>
        <v>0.73000000000000043</v>
      </c>
      <c r="H964" s="21" t="s">
        <v>294</v>
      </c>
      <c r="I964" s="21">
        <v>0</v>
      </c>
      <c r="J964" s="21">
        <v>3</v>
      </c>
      <c r="K964" s="21">
        <v>6</v>
      </c>
      <c r="L964" s="21">
        <v>2</v>
      </c>
      <c r="M964" s="21">
        <v>6</v>
      </c>
      <c r="P964" s="24">
        <f>J964+L964+N964</f>
        <v>5</v>
      </c>
      <c r="Q964" s="24">
        <f>K964+M964+O964</f>
        <v>12</v>
      </c>
      <c r="R964" s="24">
        <v>0.29411764705882354</v>
      </c>
      <c r="S964" s="21" t="s">
        <v>225</v>
      </c>
      <c r="U964" s="21" t="s">
        <v>287</v>
      </c>
      <c r="V964" s="21" t="s">
        <v>286</v>
      </c>
      <c r="W964" s="21">
        <v>7</v>
      </c>
      <c r="X964" s="21" t="s">
        <v>285</v>
      </c>
      <c r="Y964" s="21" t="s">
        <v>318</v>
      </c>
      <c r="Z964" s="21" t="s">
        <v>317</v>
      </c>
      <c r="AA964" s="21" t="s">
        <v>46</v>
      </c>
      <c r="AB964" s="21">
        <v>1</v>
      </c>
      <c r="AD964" s="24">
        <v>7.96</v>
      </c>
      <c r="AE964" s="24">
        <v>8.31</v>
      </c>
      <c r="AF964" s="21" t="s">
        <v>304</v>
      </c>
      <c r="AG964" s="21" t="s">
        <v>303</v>
      </c>
    </row>
    <row r="965" spans="1:33">
      <c r="A965" s="21" t="s">
        <v>46</v>
      </c>
      <c r="B965" s="21" t="s">
        <v>415</v>
      </c>
      <c r="C965" s="25">
        <v>46101.645833333336</v>
      </c>
      <c r="D965" s="21" t="s">
        <v>427</v>
      </c>
      <c r="E965" s="24">
        <v>7.32</v>
      </c>
      <c r="F965" s="24">
        <v>2.33</v>
      </c>
      <c r="G965" s="24">
        <f>E965-F965</f>
        <v>4.99</v>
      </c>
      <c r="H965" s="21" t="s">
        <v>289</v>
      </c>
      <c r="I965" s="21">
        <v>1</v>
      </c>
      <c r="J965" s="21">
        <v>6</v>
      </c>
      <c r="K965" s="21">
        <v>1</v>
      </c>
      <c r="L965" s="21">
        <v>6</v>
      </c>
      <c r="M965" s="21">
        <v>1</v>
      </c>
      <c r="P965" s="24">
        <f>J965+L965+N965</f>
        <v>12</v>
      </c>
      <c r="Q965" s="24">
        <f>K965+M965+O965</f>
        <v>2</v>
      </c>
      <c r="R965" s="24">
        <v>0.8571428571428571</v>
      </c>
      <c r="S965" s="21" t="s">
        <v>426</v>
      </c>
      <c r="U965" s="21" t="s">
        <v>287</v>
      </c>
      <c r="V965" s="21" t="s">
        <v>286</v>
      </c>
      <c r="W965" s="21">
        <v>8</v>
      </c>
      <c r="X965" s="21" t="s">
        <v>285</v>
      </c>
      <c r="Y965" s="21" t="s">
        <v>318</v>
      </c>
      <c r="Z965" s="21" t="s">
        <v>317</v>
      </c>
      <c r="AA965" s="21" t="s">
        <v>46</v>
      </c>
      <c r="AB965" s="21">
        <v>1</v>
      </c>
      <c r="AD965" s="24">
        <v>7.96</v>
      </c>
      <c r="AE965" s="24">
        <v>2.5499999999999998</v>
      </c>
      <c r="AF965" s="21" t="s">
        <v>304</v>
      </c>
      <c r="AG965" s="21" t="s">
        <v>303</v>
      </c>
    </row>
    <row r="966" spans="1:33">
      <c r="A966" s="21" t="s">
        <v>46</v>
      </c>
      <c r="B966" s="21" t="s">
        <v>415</v>
      </c>
      <c r="C966" s="25">
        <v>46105.645833333336</v>
      </c>
      <c r="D966" s="21" t="s">
        <v>37</v>
      </c>
      <c r="E966" s="24">
        <v>7.33</v>
      </c>
      <c r="F966" s="24">
        <v>10.029999999999999</v>
      </c>
      <c r="G966" s="24">
        <f>E966-F966</f>
        <v>-2.6999999999999993</v>
      </c>
      <c r="H966" s="21" t="s">
        <v>294</v>
      </c>
      <c r="I966" s="21">
        <v>0</v>
      </c>
      <c r="J966" s="21">
        <v>3</v>
      </c>
      <c r="K966" s="21">
        <v>6</v>
      </c>
      <c r="L966" s="21">
        <v>4</v>
      </c>
      <c r="M966" s="21">
        <v>6</v>
      </c>
      <c r="P966" s="24">
        <f>J966+L966+N966</f>
        <v>7</v>
      </c>
      <c r="Q966" s="24">
        <f>K966+M966+O966</f>
        <v>12</v>
      </c>
      <c r="R966" s="24">
        <v>0.36842105263157893</v>
      </c>
      <c r="S966" s="21" t="s">
        <v>425</v>
      </c>
      <c r="U966" s="21" t="s">
        <v>287</v>
      </c>
      <c r="V966" s="21" t="s">
        <v>286</v>
      </c>
      <c r="W966" s="21">
        <v>9</v>
      </c>
      <c r="X966" s="21" t="s">
        <v>285</v>
      </c>
      <c r="Y966" s="21" t="s">
        <v>318</v>
      </c>
      <c r="Z966" s="21" t="s">
        <v>317</v>
      </c>
      <c r="AA966" s="21" t="s">
        <v>46</v>
      </c>
      <c r="AB966" s="21">
        <v>1</v>
      </c>
      <c r="AD966" s="24">
        <v>7.96</v>
      </c>
      <c r="AE966" s="24">
        <v>10.06</v>
      </c>
      <c r="AF966" s="21" t="s">
        <v>304</v>
      </c>
      <c r="AG966" s="21" t="s">
        <v>303</v>
      </c>
    </row>
    <row r="967" spans="1:33">
      <c r="A967" s="21" t="s">
        <v>46</v>
      </c>
      <c r="B967" s="21" t="s">
        <v>415</v>
      </c>
      <c r="C967" s="25">
        <v>46106.645833333336</v>
      </c>
      <c r="D967" s="21" t="s">
        <v>91</v>
      </c>
      <c r="E967" s="24">
        <v>7.33</v>
      </c>
      <c r="F967" s="24">
        <v>5.31</v>
      </c>
      <c r="G967" s="24">
        <f>E967-F967</f>
        <v>2.0200000000000005</v>
      </c>
      <c r="H967" s="21" t="s">
        <v>294</v>
      </c>
      <c r="I967" s="21">
        <v>0</v>
      </c>
      <c r="J967" s="21">
        <v>4</v>
      </c>
      <c r="K967" s="21">
        <v>6</v>
      </c>
      <c r="L967" s="21">
        <v>6</v>
      </c>
      <c r="M967" s="21">
        <v>2</v>
      </c>
      <c r="N967" s="21">
        <v>3</v>
      </c>
      <c r="O967" s="21">
        <v>6</v>
      </c>
      <c r="P967" s="24">
        <f>J967+L967+N967</f>
        <v>13</v>
      </c>
      <c r="Q967" s="24">
        <f>K967+M967+O967</f>
        <v>14</v>
      </c>
      <c r="R967" s="24">
        <f>P967/(P967+Q967)</f>
        <v>0.48148148148148145</v>
      </c>
      <c r="S967" s="21" t="s">
        <v>207</v>
      </c>
      <c r="U967" s="21" t="s">
        <v>287</v>
      </c>
      <c r="V967" s="21" t="s">
        <v>286</v>
      </c>
      <c r="W967" s="21">
        <v>10</v>
      </c>
      <c r="X967" s="21" t="s">
        <v>285</v>
      </c>
      <c r="Y967" s="21" t="s">
        <v>318</v>
      </c>
      <c r="Z967" s="21" t="s">
        <v>317</v>
      </c>
      <c r="AA967" s="21" t="s">
        <v>46</v>
      </c>
      <c r="AB967" s="21">
        <v>1</v>
      </c>
      <c r="AD967" s="24">
        <v>7.96</v>
      </c>
      <c r="AE967" s="24">
        <v>6.61</v>
      </c>
      <c r="AF967" s="21" t="s">
        <v>304</v>
      </c>
      <c r="AG967" s="21" t="s">
        <v>303</v>
      </c>
    </row>
    <row r="968" spans="1:33">
      <c r="A968" s="21" t="s">
        <v>46</v>
      </c>
      <c r="B968" s="21" t="s">
        <v>415</v>
      </c>
      <c r="C968" s="25">
        <v>46111.645833333336</v>
      </c>
      <c r="D968" s="21" t="s">
        <v>54</v>
      </c>
      <c r="E968" s="24">
        <v>7.33</v>
      </c>
      <c r="F968" s="24">
        <v>4.54</v>
      </c>
      <c r="G968" s="24">
        <f>E968-F968</f>
        <v>2.79</v>
      </c>
      <c r="H968" s="21" t="s">
        <v>289</v>
      </c>
      <c r="I968" s="21">
        <v>1</v>
      </c>
      <c r="J968" s="21">
        <v>6</v>
      </c>
      <c r="K968" s="21">
        <v>0</v>
      </c>
      <c r="L968" s="21">
        <v>6</v>
      </c>
      <c r="M968" s="21">
        <v>1</v>
      </c>
      <c r="P968" s="24">
        <f>J968+L968+N968</f>
        <v>12</v>
      </c>
      <c r="Q968" s="24">
        <f>K968+M968+O968</f>
        <v>1</v>
      </c>
      <c r="R968" s="24">
        <f>P968/(P968+Q968)</f>
        <v>0.92307692307692313</v>
      </c>
      <c r="S968" s="21" t="s">
        <v>182</v>
      </c>
      <c r="U968" s="21" t="s">
        <v>287</v>
      </c>
      <c r="V968" s="21" t="s">
        <v>286</v>
      </c>
      <c r="W968" s="21">
        <v>11</v>
      </c>
      <c r="X968" s="21" t="s">
        <v>285</v>
      </c>
      <c r="Y968" s="21" t="s">
        <v>318</v>
      </c>
      <c r="Z968" s="21" t="s">
        <v>317</v>
      </c>
      <c r="AA968" s="21" t="s">
        <v>46</v>
      </c>
      <c r="AB968" s="21">
        <v>1</v>
      </c>
      <c r="AD968" s="24">
        <v>7.96</v>
      </c>
      <c r="AE968" s="24">
        <v>4.8600000000000003</v>
      </c>
      <c r="AF968" s="21" t="s">
        <v>302</v>
      </c>
      <c r="AG968" s="21" t="s">
        <v>301</v>
      </c>
    </row>
    <row r="969" spans="1:33">
      <c r="A969" s="21" t="s">
        <v>46</v>
      </c>
      <c r="B969" s="21" t="s">
        <v>415</v>
      </c>
      <c r="C969" s="25">
        <v>46112.645833333336</v>
      </c>
      <c r="D969" s="21" t="s">
        <v>424</v>
      </c>
      <c r="E969" s="24">
        <v>7.4</v>
      </c>
      <c r="F969" s="24">
        <v>4.9800000000000004</v>
      </c>
      <c r="G969" s="24">
        <f>E969-F969</f>
        <v>2.42</v>
      </c>
      <c r="H969" s="21" t="s">
        <v>289</v>
      </c>
      <c r="I969" s="21">
        <v>1</v>
      </c>
      <c r="J969" s="21">
        <v>6</v>
      </c>
      <c r="K969" s="21">
        <v>1</v>
      </c>
      <c r="L969" s="21">
        <v>6</v>
      </c>
      <c r="M969" s="21">
        <v>0</v>
      </c>
      <c r="P969" s="24">
        <f>J969+L969+N969</f>
        <v>12</v>
      </c>
      <c r="Q969" s="24">
        <f>K969+M969+O969</f>
        <v>1</v>
      </c>
      <c r="R969" s="24">
        <v>0.92307692307692313</v>
      </c>
      <c r="S969" s="21" t="s">
        <v>423</v>
      </c>
      <c r="U969" s="21" t="s">
        <v>287</v>
      </c>
      <c r="V969" s="21" t="s">
        <v>286</v>
      </c>
      <c r="W969" s="21">
        <v>12</v>
      </c>
      <c r="X969" s="21" t="s">
        <v>285</v>
      </c>
      <c r="Y969" s="21" t="s">
        <v>318</v>
      </c>
      <c r="Z969" s="21" t="s">
        <v>317</v>
      </c>
      <c r="AA969" s="21" t="s">
        <v>46</v>
      </c>
      <c r="AB969" s="21">
        <v>1</v>
      </c>
      <c r="AD969" s="24">
        <v>7.96</v>
      </c>
      <c r="AE969" s="24">
        <v>4.9800000000000004</v>
      </c>
      <c r="AF969" s="21" t="s">
        <v>322</v>
      </c>
      <c r="AG969" s="21" t="s">
        <v>301</v>
      </c>
    </row>
    <row r="970" spans="1:33">
      <c r="A970" s="21" t="s">
        <v>46</v>
      </c>
      <c r="B970" s="21" t="s">
        <v>415</v>
      </c>
      <c r="C970" s="25">
        <v>46119.645833333336</v>
      </c>
      <c r="D970" s="21" t="s">
        <v>422</v>
      </c>
      <c r="E970" s="24">
        <v>7.42</v>
      </c>
      <c r="F970" s="24">
        <v>9.02</v>
      </c>
      <c r="G970" s="24">
        <f>E970-F970</f>
        <v>-1.5999999999999996</v>
      </c>
      <c r="H970" s="21" t="s">
        <v>294</v>
      </c>
      <c r="I970" s="21">
        <v>0</v>
      </c>
      <c r="J970" s="21">
        <v>4</v>
      </c>
      <c r="K970" s="21">
        <v>6</v>
      </c>
      <c r="L970" s="21">
        <v>5</v>
      </c>
      <c r="M970" s="21">
        <v>7</v>
      </c>
      <c r="P970" s="24">
        <f>J970+L970+N970</f>
        <v>9</v>
      </c>
      <c r="Q970" s="24">
        <f>K970+M970+O970</f>
        <v>13</v>
      </c>
      <c r="R970" s="24">
        <v>0.40909090909090912</v>
      </c>
      <c r="S970" s="21" t="s">
        <v>421</v>
      </c>
      <c r="U970" s="21" t="s">
        <v>287</v>
      </c>
      <c r="V970" s="21" t="s">
        <v>286</v>
      </c>
      <c r="W970" s="21">
        <v>13</v>
      </c>
      <c r="X970" s="21" t="s">
        <v>285</v>
      </c>
      <c r="Y970" s="21" t="s">
        <v>318</v>
      </c>
      <c r="Z970" s="21" t="s">
        <v>317</v>
      </c>
      <c r="AA970" s="21" t="s">
        <v>46</v>
      </c>
      <c r="AB970" s="21">
        <v>1</v>
      </c>
      <c r="AD970" s="24">
        <v>7.96</v>
      </c>
      <c r="AE970" s="24">
        <v>9</v>
      </c>
      <c r="AF970" s="21" t="s">
        <v>322</v>
      </c>
      <c r="AG970" s="21" t="s">
        <v>301</v>
      </c>
    </row>
    <row r="971" spans="1:33">
      <c r="A971" s="21" t="s">
        <v>46</v>
      </c>
      <c r="B971" s="21" t="s">
        <v>415</v>
      </c>
      <c r="C971" s="25">
        <v>46123</v>
      </c>
      <c r="D971" s="21" t="s">
        <v>357</v>
      </c>
      <c r="E971" s="24">
        <v>7.42</v>
      </c>
      <c r="F971" s="24">
        <v>7.21</v>
      </c>
      <c r="G971" s="24">
        <f>E971-F971</f>
        <v>0.20999999999999996</v>
      </c>
      <c r="H971" s="21" t="s">
        <v>289</v>
      </c>
      <c r="I971" s="21">
        <v>1</v>
      </c>
      <c r="J971" s="21">
        <v>4</v>
      </c>
      <c r="K971" s="21">
        <v>2</v>
      </c>
      <c r="L971" s="21">
        <v>5</v>
      </c>
      <c r="M971" s="21">
        <v>3</v>
      </c>
      <c r="P971" s="24">
        <f>J971+L971+N971</f>
        <v>9</v>
      </c>
      <c r="Q971" s="24">
        <f>K971+M971+O971</f>
        <v>5</v>
      </c>
      <c r="R971" s="24">
        <v>0.6428571428571429</v>
      </c>
      <c r="S971" s="21" t="s">
        <v>353</v>
      </c>
      <c r="T971" s="21" t="s">
        <v>420</v>
      </c>
      <c r="U971" s="21" t="s">
        <v>292</v>
      </c>
      <c r="V971" s="21" t="s">
        <v>286</v>
      </c>
      <c r="W971" s="21">
        <v>14</v>
      </c>
      <c r="X971" s="21" t="s">
        <v>285</v>
      </c>
      <c r="Y971" s="21" t="s">
        <v>318</v>
      </c>
      <c r="Z971" s="21" t="s">
        <v>317</v>
      </c>
      <c r="AA971" s="21" t="s">
        <v>46</v>
      </c>
      <c r="AB971" s="21">
        <v>1</v>
      </c>
      <c r="AD971" s="24">
        <v>7.96</v>
      </c>
      <c r="AE971" s="24">
        <v>7.21</v>
      </c>
      <c r="AF971" s="21" t="s">
        <v>304</v>
      </c>
      <c r="AG971" s="21" t="s">
        <v>303</v>
      </c>
    </row>
    <row r="972" spans="1:33">
      <c r="A972" s="21" t="s">
        <v>46</v>
      </c>
      <c r="B972" s="21" t="s">
        <v>415</v>
      </c>
      <c r="C972" s="25">
        <v>46123</v>
      </c>
      <c r="D972" s="21" t="s">
        <v>354</v>
      </c>
      <c r="E972" s="24">
        <v>7.42</v>
      </c>
      <c r="F972" s="24">
        <v>8.5399999999999991</v>
      </c>
      <c r="G972" s="24">
        <f>E972-F972</f>
        <v>-1.1199999999999992</v>
      </c>
      <c r="H972" s="21" t="s">
        <v>294</v>
      </c>
      <c r="I972" s="21">
        <v>0</v>
      </c>
      <c r="J972" s="21">
        <v>0</v>
      </c>
      <c r="K972" s="21">
        <v>6</v>
      </c>
      <c r="L972" s="21">
        <v>3</v>
      </c>
      <c r="M972" s="21">
        <v>6</v>
      </c>
      <c r="P972" s="24">
        <f>J972+L972+N972</f>
        <v>3</v>
      </c>
      <c r="Q972" s="24">
        <f>K972+M972+O972</f>
        <v>12</v>
      </c>
      <c r="R972" s="24">
        <v>0.2</v>
      </c>
      <c r="S972" s="21" t="s">
        <v>353</v>
      </c>
      <c r="T972" s="21" t="s">
        <v>297</v>
      </c>
      <c r="U972" s="21" t="s">
        <v>292</v>
      </c>
      <c r="V972" s="21" t="s">
        <v>286</v>
      </c>
      <c r="W972" s="21">
        <v>14</v>
      </c>
      <c r="X972" s="21" t="s">
        <v>285</v>
      </c>
      <c r="Y972" s="21" t="s">
        <v>318</v>
      </c>
      <c r="Z972" s="21" t="s">
        <v>317</v>
      </c>
      <c r="AA972" s="21" t="s">
        <v>46</v>
      </c>
      <c r="AB972" s="21">
        <v>1</v>
      </c>
      <c r="AD972" s="24">
        <v>7.96</v>
      </c>
      <c r="AE972" s="24">
        <v>8.5399999999999991</v>
      </c>
      <c r="AF972" s="21" t="s">
        <v>302</v>
      </c>
      <c r="AG972" s="21" t="s">
        <v>301</v>
      </c>
    </row>
    <row r="973" spans="1:33">
      <c r="A973" s="21" t="s">
        <v>46</v>
      </c>
      <c r="B973" s="21" t="s">
        <v>415</v>
      </c>
      <c r="C973" s="25">
        <v>46123</v>
      </c>
      <c r="D973" s="21" t="s">
        <v>419</v>
      </c>
      <c r="E973" s="24">
        <v>7.42</v>
      </c>
      <c r="F973" s="24">
        <v>7.6</v>
      </c>
      <c r="G973" s="24">
        <f>E973-F973</f>
        <v>-0.17999999999999972</v>
      </c>
      <c r="H973" s="21" t="s">
        <v>289</v>
      </c>
      <c r="I973" s="21">
        <v>1</v>
      </c>
      <c r="J973" s="21">
        <v>4</v>
      </c>
      <c r="K973" s="21">
        <v>2</v>
      </c>
      <c r="L973" s="21">
        <v>2</v>
      </c>
      <c r="M973" s="21">
        <v>4</v>
      </c>
      <c r="N973" s="21">
        <v>1</v>
      </c>
      <c r="O973" s="21">
        <v>0</v>
      </c>
      <c r="P973" s="24">
        <f>J973+L973+N973</f>
        <v>7</v>
      </c>
      <c r="Q973" s="24">
        <f>K973+M973+O973</f>
        <v>6</v>
      </c>
      <c r="R973" s="24">
        <v>0.53846153846153844</v>
      </c>
      <c r="S973" s="21" t="s">
        <v>353</v>
      </c>
      <c r="T973" s="21" t="s">
        <v>418</v>
      </c>
      <c r="U973" s="21" t="s">
        <v>292</v>
      </c>
      <c r="V973" s="21" t="s">
        <v>286</v>
      </c>
      <c r="W973" s="21">
        <v>14</v>
      </c>
      <c r="X973" s="21" t="s">
        <v>285</v>
      </c>
      <c r="Y973" s="21" t="s">
        <v>318</v>
      </c>
      <c r="Z973" s="21" t="s">
        <v>317</v>
      </c>
      <c r="AA973" s="21" t="s">
        <v>46</v>
      </c>
      <c r="AB973" s="21">
        <v>1</v>
      </c>
      <c r="AD973" s="24">
        <v>7.96</v>
      </c>
      <c r="AE973" s="24">
        <v>7.6</v>
      </c>
      <c r="AF973" s="21" t="s">
        <v>304</v>
      </c>
      <c r="AG973" s="21" t="s">
        <v>303</v>
      </c>
    </row>
    <row r="974" spans="1:33">
      <c r="A974" s="21" t="s">
        <v>46</v>
      </c>
      <c r="B974" s="21" t="s">
        <v>415</v>
      </c>
      <c r="C974" s="25">
        <v>46125.645833333336</v>
      </c>
      <c r="D974" s="21" t="s">
        <v>17</v>
      </c>
      <c r="E974" s="24">
        <v>7.42</v>
      </c>
      <c r="F974" s="24">
        <v>8.44</v>
      </c>
      <c r="G974" s="24">
        <f>E974-F974</f>
        <v>-1.0199999999999996</v>
      </c>
      <c r="H974" s="21" t="s">
        <v>294</v>
      </c>
      <c r="I974" s="21">
        <v>0</v>
      </c>
      <c r="J974" s="21">
        <v>6</v>
      </c>
      <c r="K974" s="21">
        <v>7</v>
      </c>
      <c r="L974" s="21">
        <v>3</v>
      </c>
      <c r="M974" s="21">
        <v>6</v>
      </c>
      <c r="P974" s="24">
        <f>J974+L974+N974</f>
        <v>9</v>
      </c>
      <c r="Q974" s="24">
        <f>K974+M974+O974</f>
        <v>13</v>
      </c>
      <c r="R974" s="24">
        <v>0.44666666666666666</v>
      </c>
      <c r="S974" s="21" t="s">
        <v>417</v>
      </c>
      <c r="U974" s="21" t="s">
        <v>287</v>
      </c>
      <c r="V974" s="21" t="s">
        <v>286</v>
      </c>
      <c r="W974" s="21">
        <v>17</v>
      </c>
      <c r="X974" s="21" t="s">
        <v>285</v>
      </c>
      <c r="Y974" s="21" t="s">
        <v>318</v>
      </c>
      <c r="Z974" s="21" t="s">
        <v>317</v>
      </c>
      <c r="AA974" s="21" t="s">
        <v>46</v>
      </c>
      <c r="AB974" s="21">
        <v>1</v>
      </c>
      <c r="AD974" s="24">
        <v>7.96</v>
      </c>
      <c r="AE974" s="24">
        <v>8.51</v>
      </c>
      <c r="AF974" s="21" t="s">
        <v>304</v>
      </c>
      <c r="AG974" s="21" t="s">
        <v>303</v>
      </c>
    </row>
    <row r="975" spans="1:33">
      <c r="A975" s="21" t="s">
        <v>46</v>
      </c>
      <c r="B975" s="21" t="s">
        <v>415</v>
      </c>
      <c r="C975" s="25">
        <v>46127.645833333336</v>
      </c>
      <c r="D975" s="21" t="s">
        <v>396</v>
      </c>
      <c r="E975" s="24">
        <v>7.41</v>
      </c>
      <c r="F975" s="24">
        <v>2.68</v>
      </c>
      <c r="G975" s="24">
        <f>E975-F975</f>
        <v>4.7300000000000004</v>
      </c>
      <c r="H975" s="21" t="s">
        <v>289</v>
      </c>
      <c r="I975" s="21">
        <v>1</v>
      </c>
      <c r="J975" s="21">
        <v>6</v>
      </c>
      <c r="K975" s="21">
        <v>1</v>
      </c>
      <c r="L975" s="21">
        <v>6</v>
      </c>
      <c r="M975" s="21">
        <v>0</v>
      </c>
      <c r="P975" s="24">
        <f>J975+L975+N975</f>
        <v>12</v>
      </c>
      <c r="Q975" s="24">
        <f>K975+M975+O975</f>
        <v>1</v>
      </c>
      <c r="R975" s="24">
        <v>0.92307692307692313</v>
      </c>
      <c r="S975" s="21" t="s">
        <v>416</v>
      </c>
      <c r="U975" s="21" t="s">
        <v>287</v>
      </c>
      <c r="V975" s="21" t="s">
        <v>286</v>
      </c>
      <c r="W975" s="21">
        <v>18</v>
      </c>
      <c r="X975" s="21" t="s">
        <v>285</v>
      </c>
      <c r="Y975" s="21" t="s">
        <v>318</v>
      </c>
      <c r="Z975" s="21" t="s">
        <v>317</v>
      </c>
      <c r="AA975" s="21" t="s">
        <v>46</v>
      </c>
      <c r="AB975" s="21">
        <v>1</v>
      </c>
      <c r="AD975" s="24">
        <v>7.96</v>
      </c>
      <c r="AE975" s="24">
        <v>3.59</v>
      </c>
      <c r="AF975" s="21" t="s">
        <v>304</v>
      </c>
      <c r="AG975" s="21" t="s">
        <v>303</v>
      </c>
    </row>
    <row r="976" spans="1:33">
      <c r="A976" s="21" t="s">
        <v>46</v>
      </c>
      <c r="B976" s="21" t="s">
        <v>415</v>
      </c>
      <c r="C976" s="25">
        <v>46128.541666666664</v>
      </c>
      <c r="D976" s="21" t="s">
        <v>5</v>
      </c>
      <c r="E976" s="24">
        <v>7.41</v>
      </c>
      <c r="F976" s="24">
        <v>8.9700000000000006</v>
      </c>
      <c r="G976" s="24">
        <f>E976-F976</f>
        <v>-1.5600000000000005</v>
      </c>
      <c r="H976" s="21" t="s">
        <v>294</v>
      </c>
      <c r="I976" s="21">
        <v>0</v>
      </c>
      <c r="J976" s="21">
        <v>6</v>
      </c>
      <c r="K976" s="21">
        <v>8</v>
      </c>
      <c r="P976" s="24">
        <f>J976+L976+N976</f>
        <v>6</v>
      </c>
      <c r="Q976" s="24">
        <f>K976+M976+O976</f>
        <v>8</v>
      </c>
      <c r="R976" s="24">
        <v>0.42857142857142855</v>
      </c>
      <c r="S976" s="21" t="s">
        <v>51</v>
      </c>
      <c r="T976" s="21" t="s">
        <v>296</v>
      </c>
      <c r="U976" s="21" t="s">
        <v>287</v>
      </c>
      <c r="V976" s="21" t="s">
        <v>286</v>
      </c>
      <c r="W976" s="21">
        <v>19</v>
      </c>
      <c r="X976" s="21" t="s">
        <v>285</v>
      </c>
      <c r="Y976" s="21" t="s">
        <v>318</v>
      </c>
      <c r="Z976" s="21" t="s">
        <v>317</v>
      </c>
      <c r="AA976" s="21" t="s">
        <v>46</v>
      </c>
      <c r="AB976" s="21">
        <v>1</v>
      </c>
      <c r="AD976" s="24">
        <v>7.96</v>
      </c>
      <c r="AE976" s="24">
        <v>8.08</v>
      </c>
      <c r="AF976" s="21" t="s">
        <v>322</v>
      </c>
      <c r="AG976" s="21" t="s">
        <v>301</v>
      </c>
    </row>
    <row r="977" spans="1:33">
      <c r="A977" s="21" t="s">
        <v>46</v>
      </c>
      <c r="B977" s="21" t="s">
        <v>415</v>
      </c>
      <c r="C977" s="25">
        <v>46136.625</v>
      </c>
      <c r="D977" s="21" t="s">
        <v>13</v>
      </c>
      <c r="E977" s="24">
        <v>7.56</v>
      </c>
      <c r="F977" s="24">
        <v>7.23</v>
      </c>
      <c r="G977" s="24">
        <f>E977-F977</f>
        <v>0.32999999999999918</v>
      </c>
      <c r="H977" s="21" t="s">
        <v>294</v>
      </c>
      <c r="I977" s="21">
        <v>0</v>
      </c>
      <c r="J977" s="21">
        <v>3</v>
      </c>
      <c r="K977" s="21">
        <v>6</v>
      </c>
      <c r="L977" s="21">
        <v>4</v>
      </c>
      <c r="M977" s="21">
        <v>6</v>
      </c>
      <c r="P977" s="24">
        <f>J977+L977+N977</f>
        <v>7</v>
      </c>
      <c r="Q977" s="24">
        <f>K977+M977+O977</f>
        <v>12</v>
      </c>
      <c r="R977" s="24">
        <v>0.36842105263157893</v>
      </c>
      <c r="S977" s="21" t="s">
        <v>51</v>
      </c>
      <c r="U977" s="21" t="s">
        <v>287</v>
      </c>
      <c r="V977" s="21" t="s">
        <v>286</v>
      </c>
      <c r="W977" s="21">
        <v>20</v>
      </c>
      <c r="X977" s="21" t="s">
        <v>285</v>
      </c>
      <c r="Y977" s="21" t="s">
        <v>318</v>
      </c>
      <c r="Z977" s="21" t="s">
        <v>317</v>
      </c>
      <c r="AA977" s="21" t="s">
        <v>46</v>
      </c>
      <c r="AB977" s="21">
        <v>1</v>
      </c>
      <c r="AD977" s="24">
        <v>7.96</v>
      </c>
      <c r="AE977" s="24">
        <v>7.52</v>
      </c>
      <c r="AF977" s="21" t="s">
        <v>322</v>
      </c>
      <c r="AG977" s="21" t="s">
        <v>301</v>
      </c>
    </row>
    <row r="978" spans="1:33">
      <c r="A978" s="21" t="s">
        <v>46</v>
      </c>
      <c r="B978" s="21" t="s">
        <v>415</v>
      </c>
      <c r="C978" s="25">
        <v>46140.333333333336</v>
      </c>
      <c r="D978" s="21" t="s">
        <v>42</v>
      </c>
      <c r="E978" s="24">
        <v>7.65</v>
      </c>
      <c r="F978" s="24">
        <v>7.69</v>
      </c>
      <c r="G978" s="24">
        <f>E978-F978</f>
        <v>-4.0000000000000036E-2</v>
      </c>
      <c r="H978" s="21" t="s">
        <v>294</v>
      </c>
      <c r="I978" s="21">
        <v>0</v>
      </c>
      <c r="J978" s="21">
        <v>1</v>
      </c>
      <c r="K978" s="21">
        <v>6</v>
      </c>
      <c r="L978" s="21">
        <v>0</v>
      </c>
      <c r="M978" s="21">
        <v>6</v>
      </c>
      <c r="P978" s="24">
        <f>J978+L978+N978</f>
        <v>1</v>
      </c>
      <c r="Q978" s="24">
        <f>K978+M978+O978</f>
        <v>12</v>
      </c>
      <c r="R978" s="24">
        <v>7.6923076923076927E-2</v>
      </c>
      <c r="S978" s="21" t="s">
        <v>47</v>
      </c>
      <c r="U978" s="21" t="s">
        <v>287</v>
      </c>
      <c r="V978" s="21" t="s">
        <v>286</v>
      </c>
      <c r="W978" s="21">
        <v>21</v>
      </c>
      <c r="X978" s="21" t="s">
        <v>285</v>
      </c>
      <c r="Y978" s="21" t="s">
        <v>318</v>
      </c>
      <c r="Z978" s="21" t="s">
        <v>317</v>
      </c>
      <c r="AA978" s="21" t="s">
        <v>46</v>
      </c>
      <c r="AB978" s="21">
        <v>1</v>
      </c>
      <c r="AD978" s="24">
        <v>7.96</v>
      </c>
      <c r="AE978" s="24">
        <v>8.3699999999999992</v>
      </c>
      <c r="AF978" s="21" t="s">
        <v>322</v>
      </c>
      <c r="AG978" s="21" t="s">
        <v>301</v>
      </c>
    </row>
    <row r="979" spans="1:33">
      <c r="A979" s="21" t="s">
        <v>46</v>
      </c>
      <c r="B979" s="21" t="s">
        <v>415</v>
      </c>
      <c r="C979" s="25">
        <v>46140.829861111109</v>
      </c>
      <c r="D979" s="21" t="s">
        <v>110</v>
      </c>
      <c r="E979" s="24">
        <v>7.65</v>
      </c>
      <c r="F979" s="24">
        <v>6.95</v>
      </c>
      <c r="G979" s="24">
        <f>E979-F979</f>
        <v>0.70000000000000018</v>
      </c>
      <c r="H979" s="21" t="s">
        <v>289</v>
      </c>
      <c r="I979" s="21">
        <v>1</v>
      </c>
      <c r="J979" s="21">
        <v>6</v>
      </c>
      <c r="K979" s="21">
        <v>2</v>
      </c>
      <c r="L979" s="21">
        <v>1</v>
      </c>
      <c r="M979" s="21">
        <v>6</v>
      </c>
      <c r="N979" s="21">
        <v>1</v>
      </c>
      <c r="O979" s="21">
        <v>0</v>
      </c>
      <c r="P979" s="24">
        <f>J979+L979+N979</f>
        <v>8</v>
      </c>
      <c r="Q979" s="24">
        <f>K979+M979+O979</f>
        <v>8</v>
      </c>
      <c r="R979" s="24">
        <v>0.5</v>
      </c>
      <c r="S979" s="21" t="s">
        <v>413</v>
      </c>
      <c r="U979" s="21" t="s">
        <v>412</v>
      </c>
      <c r="V979" s="21" t="s">
        <v>286</v>
      </c>
      <c r="W979" s="21">
        <v>22</v>
      </c>
      <c r="X979" s="21" t="s">
        <v>285</v>
      </c>
      <c r="Y979" s="21" t="s">
        <v>318</v>
      </c>
      <c r="Z979" s="21" t="s">
        <v>317</v>
      </c>
      <c r="AA979" s="21" t="s">
        <v>46</v>
      </c>
      <c r="AB979" s="21">
        <v>1</v>
      </c>
      <c r="AD979" s="24">
        <v>7.96</v>
      </c>
      <c r="AE979" s="24">
        <v>6.98</v>
      </c>
      <c r="AF979" s="21" t="s">
        <v>322</v>
      </c>
      <c r="AG979" s="21" t="s">
        <v>301</v>
      </c>
    </row>
    <row r="980" spans="1:33">
      <c r="A980" s="21" t="s">
        <v>46</v>
      </c>
      <c r="B980" s="21" t="s">
        <v>415</v>
      </c>
      <c r="C980" s="25">
        <v>46140.829861111109</v>
      </c>
      <c r="D980" s="21" t="s">
        <v>414</v>
      </c>
      <c r="E980" s="24">
        <v>7.65</v>
      </c>
      <c r="F980" s="24">
        <v>7.97</v>
      </c>
      <c r="G980" s="24">
        <f>E980-F980</f>
        <v>-0.3199999999999994</v>
      </c>
      <c r="H980" s="21" t="s">
        <v>289</v>
      </c>
      <c r="I980" s="21">
        <v>1</v>
      </c>
      <c r="J980" s="21">
        <v>6</v>
      </c>
      <c r="K980" s="21">
        <v>2</v>
      </c>
      <c r="L980" s="21">
        <v>3</v>
      </c>
      <c r="M980" s="21">
        <v>6</v>
      </c>
      <c r="N980" s="21">
        <v>1</v>
      </c>
      <c r="O980" s="21">
        <v>0</v>
      </c>
      <c r="P980" s="24">
        <f>J980+L980+N980</f>
        <v>10</v>
      </c>
      <c r="Q980" s="24">
        <f>K980+M980+O980</f>
        <v>8</v>
      </c>
      <c r="R980" s="24">
        <v>0.55555555555555558</v>
      </c>
      <c r="S980" s="21" t="s">
        <v>413</v>
      </c>
      <c r="U980" s="21" t="s">
        <v>412</v>
      </c>
      <c r="V980" s="21" t="s">
        <v>286</v>
      </c>
      <c r="W980" s="21">
        <v>22</v>
      </c>
      <c r="X980" s="21" t="s">
        <v>285</v>
      </c>
      <c r="Y980" s="21" t="s">
        <v>318</v>
      </c>
      <c r="Z980" s="21" t="s">
        <v>317</v>
      </c>
      <c r="AA980" s="21" t="s">
        <v>46</v>
      </c>
      <c r="AB980" s="21">
        <v>1</v>
      </c>
      <c r="AD980" s="24">
        <v>7.96</v>
      </c>
      <c r="AE980" s="24">
        <v>7.97</v>
      </c>
      <c r="AF980" s="21" t="s">
        <v>304</v>
      </c>
      <c r="AG980" s="21" t="s">
        <v>303</v>
      </c>
    </row>
    <row r="981" spans="1:33">
      <c r="A981" s="21" t="s">
        <v>394</v>
      </c>
      <c r="B981" s="21" t="s">
        <v>407</v>
      </c>
      <c r="C981" s="25">
        <v>46022.054861111108</v>
      </c>
      <c r="D981" s="21" t="s">
        <v>411</v>
      </c>
      <c r="E981" s="24">
        <v>6.06</v>
      </c>
      <c r="F981" s="24">
        <v>4.3</v>
      </c>
      <c r="G981" s="24">
        <f>E981-F981</f>
        <v>1.7599999999999998</v>
      </c>
      <c r="H981" s="21" t="s">
        <v>289</v>
      </c>
      <c r="I981" s="21">
        <v>1</v>
      </c>
      <c r="J981" s="21">
        <v>8</v>
      </c>
      <c r="K981" s="21">
        <v>5</v>
      </c>
      <c r="P981" s="24">
        <f>J981+L981+N981</f>
        <v>8</v>
      </c>
      <c r="Q981" s="24">
        <f>K981+M981+O981</f>
        <v>5</v>
      </c>
      <c r="R981" s="24">
        <v>0.61538461538461542</v>
      </c>
      <c r="S981" s="21" t="s">
        <v>409</v>
      </c>
      <c r="U981" s="21" t="s">
        <v>287</v>
      </c>
      <c r="V981" s="21" t="s">
        <v>286</v>
      </c>
      <c r="W981" s="21">
        <v>0</v>
      </c>
      <c r="X981" s="21" t="s">
        <v>312</v>
      </c>
      <c r="Y981" s="21" t="s">
        <v>326</v>
      </c>
      <c r="Z981" s="21" t="s">
        <v>325</v>
      </c>
      <c r="AA981" s="21" t="s">
        <v>394</v>
      </c>
      <c r="AB981" s="21">
        <v>1</v>
      </c>
      <c r="AD981" s="24">
        <v>6.06</v>
      </c>
      <c r="AE981" s="24">
        <v>4.3</v>
      </c>
      <c r="AF981" s="21" t="s">
        <v>304</v>
      </c>
      <c r="AG981" s="21" t="s">
        <v>341</v>
      </c>
    </row>
    <row r="982" spans="1:33">
      <c r="A982" s="21" t="s">
        <v>394</v>
      </c>
      <c r="B982" s="21" t="s">
        <v>407</v>
      </c>
      <c r="C982" s="25">
        <v>46022.978472222225</v>
      </c>
      <c r="D982" s="21" t="s">
        <v>410</v>
      </c>
      <c r="E982" s="24">
        <v>6.06</v>
      </c>
      <c r="F982" s="24">
        <v>5.66</v>
      </c>
      <c r="G982" s="24">
        <f>E982-F982</f>
        <v>0.39999999999999947</v>
      </c>
      <c r="H982" s="21" t="s">
        <v>294</v>
      </c>
      <c r="I982" s="21">
        <v>0</v>
      </c>
      <c r="J982" s="21">
        <v>1</v>
      </c>
      <c r="K982" s="21">
        <v>10</v>
      </c>
      <c r="P982" s="24">
        <f>J982+L982+N982</f>
        <v>1</v>
      </c>
      <c r="Q982" s="24">
        <f>K982+M982+O982</f>
        <v>10</v>
      </c>
      <c r="R982" s="24">
        <v>9.0909090909090912E-2</v>
      </c>
      <c r="S982" s="21" t="s">
        <v>409</v>
      </c>
      <c r="U982" s="21" t="s">
        <v>287</v>
      </c>
      <c r="V982" s="21" t="s">
        <v>286</v>
      </c>
      <c r="W982" s="21">
        <v>1</v>
      </c>
      <c r="X982" s="21" t="s">
        <v>323</v>
      </c>
      <c r="Y982" s="21" t="s">
        <v>326</v>
      </c>
      <c r="Z982" s="21" t="s">
        <v>325</v>
      </c>
      <c r="AA982" s="21" t="s">
        <v>394</v>
      </c>
      <c r="AB982" s="21">
        <v>1</v>
      </c>
      <c r="AD982" s="24">
        <v>6.06</v>
      </c>
      <c r="AE982" s="24">
        <v>5.66</v>
      </c>
      <c r="AF982" s="21" t="s">
        <v>304</v>
      </c>
      <c r="AG982" s="21" t="s">
        <v>303</v>
      </c>
    </row>
    <row r="983" spans="1:33">
      <c r="A983" s="21" t="s">
        <v>394</v>
      </c>
      <c r="B983" s="21" t="s">
        <v>407</v>
      </c>
      <c r="C983" s="25">
        <v>46095.645833333336</v>
      </c>
      <c r="D983" s="21" t="s">
        <v>21</v>
      </c>
      <c r="E983" s="24">
        <v>4.43</v>
      </c>
      <c r="F983" s="24">
        <v>8.73</v>
      </c>
      <c r="G983" s="24">
        <f>E983-F983</f>
        <v>-4.3000000000000007</v>
      </c>
      <c r="H983" s="21" t="s">
        <v>294</v>
      </c>
      <c r="I983" s="21">
        <v>0</v>
      </c>
      <c r="J983" s="21">
        <v>0</v>
      </c>
      <c r="K983" s="21">
        <v>6</v>
      </c>
      <c r="L983" s="21">
        <v>1</v>
      </c>
      <c r="M983" s="21">
        <v>6</v>
      </c>
      <c r="P983" s="24">
        <f>J983+L983+N983</f>
        <v>1</v>
      </c>
      <c r="Q983" s="24">
        <f>K983+M983+O983</f>
        <v>12</v>
      </c>
      <c r="R983" s="24">
        <v>7.6923076923076927E-2</v>
      </c>
      <c r="S983" s="21" t="s">
        <v>409</v>
      </c>
      <c r="U983" s="21" t="s">
        <v>287</v>
      </c>
      <c r="V983" s="21" t="s">
        <v>286</v>
      </c>
      <c r="W983" s="21">
        <v>2</v>
      </c>
      <c r="X983" s="21" t="s">
        <v>310</v>
      </c>
      <c r="Y983" s="21" t="s">
        <v>326</v>
      </c>
      <c r="Z983" s="21" t="s">
        <v>325</v>
      </c>
      <c r="AA983" s="21" t="s">
        <v>394</v>
      </c>
      <c r="AB983" s="21">
        <v>1</v>
      </c>
      <c r="AD983" s="24">
        <v>6.06</v>
      </c>
      <c r="AE983" s="24">
        <v>8.4600000000000009</v>
      </c>
      <c r="AF983" s="21" t="s">
        <v>302</v>
      </c>
      <c r="AG983" s="21" t="s">
        <v>301</v>
      </c>
    </row>
    <row r="984" spans="1:33">
      <c r="A984" s="21" t="s">
        <v>394</v>
      </c>
      <c r="B984" s="21" t="s">
        <v>407</v>
      </c>
      <c r="C984" s="25">
        <v>46098.645833333336</v>
      </c>
      <c r="D984" s="21" t="s">
        <v>398</v>
      </c>
      <c r="E984" s="24">
        <v>4.4400000000000004</v>
      </c>
      <c r="F984" s="24">
        <v>4.42</v>
      </c>
      <c r="G984" s="24">
        <f>E984-F984</f>
        <v>2.0000000000000462E-2</v>
      </c>
      <c r="H984" s="21" t="s">
        <v>289</v>
      </c>
      <c r="I984" s="21">
        <v>1</v>
      </c>
      <c r="J984" s="21">
        <v>7</v>
      </c>
      <c r="K984" s="21">
        <v>5</v>
      </c>
      <c r="L984" s="21">
        <v>6</v>
      </c>
      <c r="M984" s="21">
        <v>1</v>
      </c>
      <c r="P984" s="24">
        <f>J984+L984+N984</f>
        <v>13</v>
      </c>
      <c r="Q984" s="24">
        <f>K984+M984+O984</f>
        <v>6</v>
      </c>
      <c r="R984" s="24">
        <v>0.68421052631578949</v>
      </c>
      <c r="S984" s="21" t="s">
        <v>408</v>
      </c>
      <c r="U984" s="21" t="s">
        <v>287</v>
      </c>
      <c r="V984" s="21" t="s">
        <v>286</v>
      </c>
      <c r="W984" s="21">
        <v>3</v>
      </c>
      <c r="X984" s="21" t="s">
        <v>285</v>
      </c>
      <c r="Y984" s="21" t="s">
        <v>326</v>
      </c>
      <c r="Z984" s="21" t="s">
        <v>325</v>
      </c>
      <c r="AA984" s="21" t="s">
        <v>394</v>
      </c>
      <c r="AB984" s="21">
        <v>1</v>
      </c>
      <c r="AD984" s="24">
        <v>6.06</v>
      </c>
      <c r="AE984" s="24">
        <v>4.42</v>
      </c>
      <c r="AF984" s="21" t="s">
        <v>304</v>
      </c>
      <c r="AG984" s="21" t="s">
        <v>303</v>
      </c>
    </row>
    <row r="985" spans="1:33">
      <c r="A985" s="21" t="s">
        <v>394</v>
      </c>
      <c r="B985" s="21" t="s">
        <v>407</v>
      </c>
      <c r="C985" s="25">
        <v>46119.333333333336</v>
      </c>
      <c r="D985" s="21" t="s">
        <v>203</v>
      </c>
      <c r="E985" s="24">
        <v>4.45</v>
      </c>
      <c r="F985" s="24">
        <v>4.88</v>
      </c>
      <c r="G985" s="24">
        <f>E985-F985</f>
        <v>-0.42999999999999972</v>
      </c>
      <c r="H985" s="21" t="s">
        <v>289</v>
      </c>
      <c r="I985" s="21">
        <v>1</v>
      </c>
      <c r="J985" s="21">
        <v>7</v>
      </c>
      <c r="K985" s="21">
        <v>5</v>
      </c>
      <c r="L985" s="21">
        <v>2</v>
      </c>
      <c r="M985" s="21">
        <v>6</v>
      </c>
      <c r="N985" s="21">
        <v>6</v>
      </c>
      <c r="O985" s="21">
        <v>0</v>
      </c>
      <c r="P985" s="24">
        <f>J985+L985+N985</f>
        <v>15</v>
      </c>
      <c r="Q985" s="24">
        <f>K985+M985+O985</f>
        <v>11</v>
      </c>
      <c r="R985" s="24">
        <v>0.57692307692307687</v>
      </c>
      <c r="S985" s="21" t="s">
        <v>160</v>
      </c>
      <c r="U985" s="21" t="s">
        <v>287</v>
      </c>
      <c r="V985" s="21" t="s">
        <v>286</v>
      </c>
      <c r="W985" s="21">
        <v>4</v>
      </c>
      <c r="X985" s="21" t="s">
        <v>285</v>
      </c>
      <c r="Y985" s="21" t="s">
        <v>326</v>
      </c>
      <c r="Z985" s="21" t="s">
        <v>325</v>
      </c>
      <c r="AA985" s="21" t="s">
        <v>394</v>
      </c>
      <c r="AB985" s="21">
        <v>1</v>
      </c>
      <c r="AD985" s="24">
        <v>6.06</v>
      </c>
      <c r="AE985" s="24">
        <v>5.96</v>
      </c>
      <c r="AF985" s="21" t="s">
        <v>304</v>
      </c>
      <c r="AG985" s="21" t="s">
        <v>303</v>
      </c>
    </row>
    <row r="986" spans="1:33">
      <c r="A986" s="21" t="s">
        <v>394</v>
      </c>
      <c r="B986" s="21" t="s">
        <v>407</v>
      </c>
      <c r="C986" s="25">
        <v>46121.645833333336</v>
      </c>
      <c r="D986" s="21" t="s">
        <v>57</v>
      </c>
      <c r="E986" s="24">
        <v>4.45</v>
      </c>
      <c r="F986" s="24">
        <v>4.76</v>
      </c>
      <c r="G986" s="24">
        <f>E986-F986</f>
        <v>-0.30999999999999961</v>
      </c>
      <c r="H986" s="21" t="s">
        <v>294</v>
      </c>
      <c r="I986" s="21">
        <v>0</v>
      </c>
      <c r="J986" s="21">
        <v>6</v>
      </c>
      <c r="K986" s="21">
        <v>2</v>
      </c>
      <c r="L986" s="21">
        <v>2</v>
      </c>
      <c r="M986" s="21">
        <v>6</v>
      </c>
      <c r="N986" s="21">
        <v>4</v>
      </c>
      <c r="O986" s="21">
        <v>6</v>
      </c>
      <c r="P986" s="24">
        <f>J986+L986+N986</f>
        <v>12</v>
      </c>
      <c r="Q986" s="24">
        <f>K986+M986+O986</f>
        <v>14</v>
      </c>
      <c r="R986" s="24">
        <v>0.46153846153846156</v>
      </c>
      <c r="S986" s="21" t="s">
        <v>146</v>
      </c>
      <c r="U986" s="21" t="s">
        <v>287</v>
      </c>
      <c r="V986" s="21" t="s">
        <v>286</v>
      </c>
      <c r="W986" s="21">
        <v>5</v>
      </c>
      <c r="X986" s="21" t="s">
        <v>285</v>
      </c>
      <c r="Y986" s="21" t="s">
        <v>326</v>
      </c>
      <c r="Z986" s="21" t="s">
        <v>325</v>
      </c>
      <c r="AA986" s="21" t="s">
        <v>394</v>
      </c>
      <c r="AB986" s="21">
        <v>1</v>
      </c>
      <c r="AD986" s="24">
        <v>6.06</v>
      </c>
      <c r="AE986" s="24">
        <v>5.96</v>
      </c>
      <c r="AF986" s="21" t="s">
        <v>304</v>
      </c>
      <c r="AG986" s="21" t="s">
        <v>341</v>
      </c>
    </row>
    <row r="987" spans="1:33">
      <c r="A987" s="21" t="s">
        <v>394</v>
      </c>
      <c r="B987" s="21" t="s">
        <v>407</v>
      </c>
      <c r="C987" s="25">
        <v>46127.333333333336</v>
      </c>
      <c r="D987" s="21" t="s">
        <v>134</v>
      </c>
      <c r="E987" s="24">
        <v>4.62</v>
      </c>
      <c r="F987" s="24">
        <v>5.56</v>
      </c>
      <c r="G987" s="24">
        <f>E987-F987</f>
        <v>-0.9399999999999995</v>
      </c>
      <c r="H987" s="21" t="s">
        <v>289</v>
      </c>
      <c r="I987" s="21">
        <v>1</v>
      </c>
      <c r="J987" s="21">
        <v>4</v>
      </c>
      <c r="K987" s="21">
        <v>6</v>
      </c>
      <c r="L987" s="21">
        <v>6</v>
      </c>
      <c r="M987" s="21">
        <v>3</v>
      </c>
      <c r="N987" s="21">
        <v>6</v>
      </c>
      <c r="O987" s="21">
        <v>1</v>
      </c>
      <c r="P987" s="24">
        <f>J987+L987+N987</f>
        <v>16</v>
      </c>
      <c r="Q987" s="24">
        <f>K987+M987+O987</f>
        <v>10</v>
      </c>
      <c r="R987" s="24">
        <v>0.61538461538461542</v>
      </c>
      <c r="S987" s="21" t="s">
        <v>406</v>
      </c>
      <c r="U987" s="21" t="s">
        <v>287</v>
      </c>
      <c r="V987" s="21" t="s">
        <v>286</v>
      </c>
      <c r="W987" s="21">
        <v>6</v>
      </c>
      <c r="X987" s="21" t="s">
        <v>285</v>
      </c>
      <c r="Y987" s="21" t="s">
        <v>326</v>
      </c>
      <c r="Z987" s="21" t="s">
        <v>325</v>
      </c>
      <c r="AA987" s="21" t="s">
        <v>394</v>
      </c>
      <c r="AB987" s="21">
        <v>1</v>
      </c>
      <c r="AD987" s="24">
        <v>6.06</v>
      </c>
      <c r="AE987" s="24">
        <v>6.03</v>
      </c>
      <c r="AF987" s="21" t="s">
        <v>304</v>
      </c>
      <c r="AG987" s="21" t="s">
        <v>303</v>
      </c>
    </row>
    <row r="988" spans="1:33">
      <c r="A988" s="21" t="s">
        <v>203</v>
      </c>
      <c r="B988" s="21" t="s">
        <v>386</v>
      </c>
      <c r="C988" s="25">
        <v>46046</v>
      </c>
      <c r="D988" s="21" t="s">
        <v>405</v>
      </c>
      <c r="E988" s="24">
        <v>6.03</v>
      </c>
      <c r="F988" s="24">
        <v>5.95</v>
      </c>
      <c r="G988" s="24">
        <f>E988-F988</f>
        <v>8.0000000000000071E-2</v>
      </c>
      <c r="H988" s="21" t="s">
        <v>289</v>
      </c>
      <c r="I988" s="21">
        <v>1</v>
      </c>
      <c r="J988" s="21">
        <v>8</v>
      </c>
      <c r="K988" s="21">
        <v>4</v>
      </c>
      <c r="P988" s="24">
        <f>J988+L988+N988</f>
        <v>8</v>
      </c>
      <c r="Q988" s="24">
        <f>K988+M988+O988</f>
        <v>4</v>
      </c>
      <c r="R988" s="24">
        <v>0.66666666666666663</v>
      </c>
      <c r="S988" s="21" t="s">
        <v>400</v>
      </c>
      <c r="U988" s="21" t="s">
        <v>287</v>
      </c>
      <c r="V988" s="21" t="s">
        <v>286</v>
      </c>
      <c r="W988" s="21">
        <v>0</v>
      </c>
      <c r="X988" s="21" t="s">
        <v>312</v>
      </c>
      <c r="Y988" s="21" t="s">
        <v>284</v>
      </c>
      <c r="Z988" s="21" t="s">
        <v>283</v>
      </c>
      <c r="AA988" s="21" t="s">
        <v>203</v>
      </c>
      <c r="AB988" s="21">
        <v>1</v>
      </c>
      <c r="AD988" s="24">
        <v>6.03</v>
      </c>
      <c r="AE988" s="24">
        <v>5.95</v>
      </c>
      <c r="AF988" s="21" t="s">
        <v>304</v>
      </c>
      <c r="AG988" s="21" t="s">
        <v>341</v>
      </c>
    </row>
    <row r="989" spans="1:33">
      <c r="A989" s="21" t="s">
        <v>203</v>
      </c>
      <c r="B989" s="21" t="s">
        <v>386</v>
      </c>
      <c r="C989" s="25">
        <v>46046</v>
      </c>
      <c r="D989" s="21" t="s">
        <v>404</v>
      </c>
      <c r="E989" s="24">
        <v>6.03</v>
      </c>
      <c r="F989" s="24">
        <v>7.91</v>
      </c>
      <c r="G989" s="24">
        <f>E989-F989</f>
        <v>-1.88</v>
      </c>
      <c r="H989" s="21" t="s">
        <v>294</v>
      </c>
      <c r="I989" s="21">
        <v>0</v>
      </c>
      <c r="J989" s="21">
        <v>0</v>
      </c>
      <c r="K989" s="21">
        <v>8</v>
      </c>
      <c r="P989" s="24">
        <f>J989+L989+N989</f>
        <v>0</v>
      </c>
      <c r="Q989" s="24">
        <f>K989+M989+O989</f>
        <v>8</v>
      </c>
      <c r="R989" s="24">
        <v>0</v>
      </c>
      <c r="S989" s="21" t="s">
        <v>400</v>
      </c>
      <c r="U989" s="21" t="s">
        <v>287</v>
      </c>
      <c r="V989" s="21" t="s">
        <v>286</v>
      </c>
      <c r="W989" s="21">
        <v>0</v>
      </c>
      <c r="X989" s="21" t="s">
        <v>312</v>
      </c>
      <c r="Y989" s="21" t="s">
        <v>284</v>
      </c>
      <c r="Z989" s="21" t="s">
        <v>283</v>
      </c>
      <c r="AA989" s="21" t="s">
        <v>203</v>
      </c>
      <c r="AB989" s="21">
        <v>1</v>
      </c>
      <c r="AD989" s="24">
        <v>6.03</v>
      </c>
      <c r="AE989" s="24">
        <v>7.91</v>
      </c>
      <c r="AF989" s="21" t="s">
        <v>302</v>
      </c>
      <c r="AG989" s="21" t="s">
        <v>301</v>
      </c>
    </row>
    <row r="990" spans="1:33">
      <c r="A990" s="21" t="s">
        <v>203</v>
      </c>
      <c r="B990" s="21" t="s">
        <v>386</v>
      </c>
      <c r="C990" s="25">
        <v>46081.75</v>
      </c>
      <c r="D990" s="21" t="s">
        <v>403</v>
      </c>
      <c r="E990" s="24">
        <v>6.03</v>
      </c>
      <c r="F990" s="24">
        <v>4.92</v>
      </c>
      <c r="G990" s="24">
        <f>E990-F990</f>
        <v>1.1100000000000003</v>
      </c>
      <c r="H990" s="21" t="s">
        <v>294</v>
      </c>
      <c r="I990" s="21">
        <v>0</v>
      </c>
      <c r="J990" s="21">
        <v>2</v>
      </c>
      <c r="K990" s="21">
        <v>4</v>
      </c>
      <c r="L990" s="21">
        <v>1</v>
      </c>
      <c r="M990" s="21">
        <v>4</v>
      </c>
      <c r="P990" s="24">
        <f>J990+L990+N990</f>
        <v>3</v>
      </c>
      <c r="Q990" s="24">
        <f>K990+M990+O990</f>
        <v>8</v>
      </c>
      <c r="R990" s="24">
        <v>0.27272727272727271</v>
      </c>
      <c r="S990" s="21" t="s">
        <v>400</v>
      </c>
      <c r="T990" s="21" t="s">
        <v>402</v>
      </c>
      <c r="U990" s="21" t="s">
        <v>287</v>
      </c>
      <c r="V990" s="21" t="s">
        <v>286</v>
      </c>
      <c r="W990" s="21">
        <v>2</v>
      </c>
      <c r="X990" s="21" t="s">
        <v>310</v>
      </c>
      <c r="Y990" s="21" t="s">
        <v>284</v>
      </c>
      <c r="Z990" s="21" t="s">
        <v>283</v>
      </c>
      <c r="AA990" s="21" t="s">
        <v>203</v>
      </c>
      <c r="AB990" s="21">
        <v>1</v>
      </c>
      <c r="AD990" s="24">
        <v>6.03</v>
      </c>
      <c r="AE990" s="24">
        <v>4.92</v>
      </c>
      <c r="AF990" s="21" t="s">
        <v>302</v>
      </c>
      <c r="AG990" s="21" t="s">
        <v>301</v>
      </c>
    </row>
    <row r="991" spans="1:33">
      <c r="A991" s="21" t="s">
        <v>203</v>
      </c>
      <c r="B991" s="21" t="s">
        <v>386</v>
      </c>
      <c r="C991" s="25">
        <v>46081.791666666664</v>
      </c>
      <c r="D991" s="21" t="s">
        <v>401</v>
      </c>
      <c r="E991" s="24">
        <v>6.03</v>
      </c>
      <c r="F991" s="24">
        <v>4.7300000000000004</v>
      </c>
      <c r="G991" s="24">
        <f>E991-F991</f>
        <v>1.2999999999999998</v>
      </c>
      <c r="H991" s="21" t="s">
        <v>289</v>
      </c>
      <c r="I991" s="21">
        <v>1</v>
      </c>
      <c r="J991" s="21">
        <v>4</v>
      </c>
      <c r="K991" s="21">
        <v>0</v>
      </c>
      <c r="L991" s="21">
        <v>4</v>
      </c>
      <c r="M991" s="21">
        <v>0</v>
      </c>
      <c r="P991" s="24">
        <f>J991+L991+N991</f>
        <v>8</v>
      </c>
      <c r="Q991" s="24">
        <f>K991+M991+O991</f>
        <v>0</v>
      </c>
      <c r="R991" s="24">
        <v>1</v>
      </c>
      <c r="S991" s="21" t="s">
        <v>400</v>
      </c>
      <c r="T991" s="21" t="s">
        <v>352</v>
      </c>
      <c r="U991" s="21" t="s">
        <v>287</v>
      </c>
      <c r="V991" s="21" t="s">
        <v>286</v>
      </c>
      <c r="W991" s="21">
        <v>3</v>
      </c>
      <c r="X991" s="21" t="s">
        <v>285</v>
      </c>
      <c r="Y991" s="21" t="s">
        <v>284</v>
      </c>
      <c r="Z991" s="21" t="s">
        <v>283</v>
      </c>
      <c r="AA991" s="21" t="s">
        <v>203</v>
      </c>
      <c r="AB991" s="21">
        <v>1</v>
      </c>
      <c r="AD991" s="24">
        <v>6.03</v>
      </c>
      <c r="AE991" s="24">
        <v>4.7300000000000004</v>
      </c>
      <c r="AF991" s="21" t="s">
        <v>304</v>
      </c>
      <c r="AG991" s="21" t="s">
        <v>303</v>
      </c>
    </row>
    <row r="992" spans="1:33">
      <c r="A992" s="21" t="s">
        <v>203</v>
      </c>
      <c r="B992" s="21" t="s">
        <v>386</v>
      </c>
      <c r="C992" s="25">
        <v>46094.666666666664</v>
      </c>
      <c r="D992" s="21" t="s">
        <v>1</v>
      </c>
      <c r="E992" s="24">
        <v>4.88</v>
      </c>
      <c r="F992" s="24">
        <v>7.89</v>
      </c>
      <c r="G992" s="24">
        <f>E992-F992</f>
        <v>-3.01</v>
      </c>
      <c r="H992" s="21" t="s">
        <v>294</v>
      </c>
      <c r="I992" s="21">
        <v>0</v>
      </c>
      <c r="J992" s="21">
        <v>3</v>
      </c>
      <c r="K992" s="21">
        <v>6</v>
      </c>
      <c r="L992" s="21">
        <v>0</v>
      </c>
      <c r="M992" s="21">
        <v>6</v>
      </c>
      <c r="P992" s="24">
        <f>J992+L992+N992</f>
        <v>3</v>
      </c>
      <c r="Q992" s="24">
        <f>K992+M992+O992</f>
        <v>12</v>
      </c>
      <c r="R992" s="24">
        <v>0.2</v>
      </c>
      <c r="S992" s="21" t="s">
        <v>400</v>
      </c>
      <c r="U992" s="21" t="s">
        <v>287</v>
      </c>
      <c r="V992" s="21" t="s">
        <v>286</v>
      </c>
      <c r="W992" s="21">
        <v>4</v>
      </c>
      <c r="X992" s="21" t="s">
        <v>285</v>
      </c>
      <c r="Y992" s="21" t="s">
        <v>284</v>
      </c>
      <c r="Z992" s="21" t="s">
        <v>283</v>
      </c>
      <c r="AA992" s="21" t="s">
        <v>203</v>
      </c>
      <c r="AB992" s="21">
        <v>1</v>
      </c>
      <c r="AD992" s="24">
        <v>6.03</v>
      </c>
      <c r="AE992" s="24">
        <v>7.87</v>
      </c>
      <c r="AF992" s="21" t="s">
        <v>304</v>
      </c>
      <c r="AG992" s="21" t="s">
        <v>303</v>
      </c>
    </row>
    <row r="993" spans="1:33">
      <c r="A993" s="21" t="s">
        <v>203</v>
      </c>
      <c r="B993" s="21" t="s">
        <v>386</v>
      </c>
      <c r="C993" s="25">
        <v>46101.333333333336</v>
      </c>
      <c r="D993" s="21" t="s">
        <v>26</v>
      </c>
      <c r="E993" s="24">
        <v>4.88</v>
      </c>
      <c r="F993" s="24">
        <v>6.79</v>
      </c>
      <c r="G993" s="24">
        <f>E993-F993</f>
        <v>-1.9100000000000001</v>
      </c>
      <c r="H993" s="21" t="s">
        <v>294</v>
      </c>
      <c r="I993" s="21">
        <v>0</v>
      </c>
      <c r="J993" s="21">
        <v>1</v>
      </c>
      <c r="K993" s="21">
        <v>6</v>
      </c>
      <c r="L993" s="21">
        <v>1</v>
      </c>
      <c r="M993" s="21">
        <v>6</v>
      </c>
      <c r="P993" s="24">
        <f>J993+L993+N993</f>
        <v>2</v>
      </c>
      <c r="Q993" s="24">
        <f>K993+M993+O993</f>
        <v>12</v>
      </c>
      <c r="R993" s="24">
        <v>0.14285714285714285</v>
      </c>
      <c r="S993" s="21" t="s">
        <v>399</v>
      </c>
      <c r="U993" s="21" t="s">
        <v>287</v>
      </c>
      <c r="V993" s="21" t="s">
        <v>286</v>
      </c>
      <c r="W993" s="21">
        <v>5</v>
      </c>
      <c r="X993" s="21" t="s">
        <v>285</v>
      </c>
      <c r="Y993" s="21" t="s">
        <v>284</v>
      </c>
      <c r="Z993" s="21" t="s">
        <v>283</v>
      </c>
      <c r="AA993" s="21" t="s">
        <v>203</v>
      </c>
      <c r="AB993" s="21">
        <v>1</v>
      </c>
      <c r="AD993" s="24">
        <v>6.03</v>
      </c>
      <c r="AE993" s="24">
        <v>7.98</v>
      </c>
      <c r="AF993" s="21" t="s">
        <v>304</v>
      </c>
      <c r="AG993" s="21" t="s">
        <v>341</v>
      </c>
    </row>
    <row r="994" spans="1:33">
      <c r="A994" s="21" t="s">
        <v>203</v>
      </c>
      <c r="B994" s="21" t="s">
        <v>386</v>
      </c>
      <c r="C994" s="25">
        <v>46106</v>
      </c>
      <c r="D994" s="21" t="s">
        <v>134</v>
      </c>
      <c r="E994" s="24">
        <v>4.9800000000000004</v>
      </c>
      <c r="F994" s="24">
        <v>5.41</v>
      </c>
      <c r="G994" s="24">
        <f>E994-F994</f>
        <v>-0.42999999999999972</v>
      </c>
      <c r="H994" s="21" t="s">
        <v>294</v>
      </c>
      <c r="I994" s="21">
        <v>0</v>
      </c>
      <c r="J994" s="21">
        <v>4</v>
      </c>
      <c r="K994" s="21">
        <v>6</v>
      </c>
      <c r="L994" s="21">
        <v>1</v>
      </c>
      <c r="M994" s="21">
        <v>6</v>
      </c>
      <c r="P994" s="24">
        <f>J994+L994+N994</f>
        <v>5</v>
      </c>
      <c r="Q994" s="24">
        <f>K994+M994+O994</f>
        <v>12</v>
      </c>
      <c r="R994" s="24">
        <v>0.29411764705882354</v>
      </c>
      <c r="S994" s="21" t="s">
        <v>204</v>
      </c>
      <c r="U994" s="21" t="s">
        <v>287</v>
      </c>
      <c r="V994" s="21" t="s">
        <v>286</v>
      </c>
      <c r="W994" s="21">
        <v>6</v>
      </c>
      <c r="X994" s="21" t="s">
        <v>285</v>
      </c>
      <c r="Y994" s="21" t="s">
        <v>284</v>
      </c>
      <c r="Z994" s="21" t="s">
        <v>283</v>
      </c>
      <c r="AA994" s="21" t="s">
        <v>203</v>
      </c>
      <c r="AB994" s="21">
        <v>1</v>
      </c>
      <c r="AD994" s="24">
        <v>6.03</v>
      </c>
      <c r="AE994" s="24">
        <v>5.98</v>
      </c>
      <c r="AF994" s="21" t="s">
        <v>304</v>
      </c>
      <c r="AG994" s="21" t="s">
        <v>341</v>
      </c>
    </row>
    <row r="995" spans="1:33">
      <c r="A995" s="21" t="s">
        <v>203</v>
      </c>
      <c r="B995" s="21" t="s">
        <v>386</v>
      </c>
      <c r="C995" s="25">
        <v>46107.645833333336</v>
      </c>
      <c r="D995" s="21" t="s">
        <v>398</v>
      </c>
      <c r="E995" s="24">
        <v>4.9800000000000004</v>
      </c>
      <c r="F995" s="24">
        <v>4.3600000000000003</v>
      </c>
      <c r="G995" s="24">
        <f>E995-F995</f>
        <v>0.62000000000000011</v>
      </c>
      <c r="H995" s="21" t="s">
        <v>289</v>
      </c>
      <c r="I995" s="21">
        <v>1</v>
      </c>
      <c r="J995" s="21">
        <v>6</v>
      </c>
      <c r="K995" s="21">
        <v>0</v>
      </c>
      <c r="L995" s="21">
        <v>6</v>
      </c>
      <c r="M995" s="21">
        <v>1</v>
      </c>
      <c r="P995" s="24">
        <f>J995+L995+N995</f>
        <v>12</v>
      </c>
      <c r="Q995" s="24">
        <f>K995+M995+O995</f>
        <v>1</v>
      </c>
      <c r="R995" s="24">
        <v>0.92307692307692313</v>
      </c>
      <c r="S995" s="21" t="s">
        <v>397</v>
      </c>
      <c r="U995" s="21" t="s">
        <v>287</v>
      </c>
      <c r="V995" s="21" t="s">
        <v>286</v>
      </c>
      <c r="W995" s="21">
        <v>7</v>
      </c>
      <c r="X995" s="21" t="s">
        <v>285</v>
      </c>
      <c r="Y995" s="21" t="s">
        <v>284</v>
      </c>
      <c r="Z995" s="21" t="s">
        <v>283</v>
      </c>
      <c r="AA995" s="21" t="s">
        <v>203</v>
      </c>
      <c r="AB995" s="21">
        <v>1</v>
      </c>
      <c r="AD995" s="24">
        <v>6.03</v>
      </c>
      <c r="AE995" s="24">
        <v>4.3600000000000003</v>
      </c>
      <c r="AF995" s="21" t="s">
        <v>304</v>
      </c>
      <c r="AG995" s="21" t="s">
        <v>341</v>
      </c>
    </row>
    <row r="996" spans="1:33">
      <c r="A996" s="21" t="s">
        <v>203</v>
      </c>
      <c r="B996" s="21" t="s">
        <v>386</v>
      </c>
      <c r="C996" s="25">
        <v>46108.333333333336</v>
      </c>
      <c r="D996" s="21" t="s">
        <v>396</v>
      </c>
      <c r="E996" s="24">
        <v>4.9800000000000004</v>
      </c>
      <c r="F996" s="24">
        <v>2.52</v>
      </c>
      <c r="G996" s="24">
        <f>E996-F996</f>
        <v>2.4600000000000004</v>
      </c>
      <c r="H996" s="21" t="s">
        <v>289</v>
      </c>
      <c r="I996" s="21">
        <v>1</v>
      </c>
      <c r="J996" s="21">
        <v>6</v>
      </c>
      <c r="K996" s="21">
        <v>0</v>
      </c>
      <c r="L996" s="21">
        <v>6</v>
      </c>
      <c r="M996" s="21">
        <v>0</v>
      </c>
      <c r="P996" s="24">
        <f>J996+L996+N996</f>
        <v>12</v>
      </c>
      <c r="Q996" s="24">
        <f>K996+M996+O996</f>
        <v>0</v>
      </c>
      <c r="R996" s="24">
        <v>1</v>
      </c>
      <c r="S996" s="21" t="s">
        <v>395</v>
      </c>
      <c r="U996" s="21" t="s">
        <v>287</v>
      </c>
      <c r="V996" s="21" t="s">
        <v>286</v>
      </c>
      <c r="W996" s="21">
        <v>8</v>
      </c>
      <c r="X996" s="21" t="s">
        <v>285</v>
      </c>
      <c r="Y996" s="21" t="s">
        <v>284</v>
      </c>
      <c r="Z996" s="21" t="s">
        <v>283</v>
      </c>
      <c r="AA996" s="21" t="s">
        <v>203</v>
      </c>
      <c r="AB996" s="21">
        <v>1</v>
      </c>
      <c r="AD996" s="24">
        <v>6.03</v>
      </c>
      <c r="AE996" s="24">
        <v>3.47</v>
      </c>
      <c r="AF996" s="21" t="s">
        <v>304</v>
      </c>
      <c r="AG996" s="21" t="s">
        <v>303</v>
      </c>
    </row>
    <row r="997" spans="1:33">
      <c r="A997" s="21" t="s">
        <v>203</v>
      </c>
      <c r="B997" s="21" t="s">
        <v>386</v>
      </c>
      <c r="C997" s="25">
        <v>46119.333333333336</v>
      </c>
      <c r="D997" s="21" t="s">
        <v>394</v>
      </c>
      <c r="E997" s="24">
        <v>4.88</v>
      </c>
      <c r="F997" s="24">
        <v>4.45</v>
      </c>
      <c r="G997" s="24">
        <f>E997-F997</f>
        <v>0.42999999999999972</v>
      </c>
      <c r="H997" s="21" t="s">
        <v>294</v>
      </c>
      <c r="I997" s="21">
        <v>0</v>
      </c>
      <c r="J997" s="21">
        <v>5</v>
      </c>
      <c r="K997" s="21">
        <v>7</v>
      </c>
      <c r="L997" s="21">
        <v>6</v>
      </c>
      <c r="M997" s="21">
        <v>2</v>
      </c>
      <c r="N997" s="21">
        <v>0</v>
      </c>
      <c r="O997" s="21">
        <v>6</v>
      </c>
      <c r="P997" s="24">
        <f>J997+L997+N997</f>
        <v>11</v>
      </c>
      <c r="Q997" s="24">
        <f>K997+M997+O997</f>
        <v>15</v>
      </c>
      <c r="R997" s="24">
        <v>0.42307692307692307</v>
      </c>
      <c r="S997" s="21" t="s">
        <v>160</v>
      </c>
      <c r="U997" s="21" t="s">
        <v>287</v>
      </c>
      <c r="V997" s="21" t="s">
        <v>286</v>
      </c>
      <c r="W997" s="21">
        <v>9</v>
      </c>
      <c r="X997" s="21" t="s">
        <v>285</v>
      </c>
      <c r="Y997" s="21" t="s">
        <v>284</v>
      </c>
      <c r="Z997" s="21" t="s">
        <v>283</v>
      </c>
      <c r="AA997" s="21" t="s">
        <v>203</v>
      </c>
      <c r="AB997" s="21">
        <v>1</v>
      </c>
      <c r="AD997" s="24">
        <v>6.03</v>
      </c>
      <c r="AE997" s="24">
        <v>5.95</v>
      </c>
      <c r="AF997" s="21" t="s">
        <v>304</v>
      </c>
      <c r="AG997" s="21" t="s">
        <v>303</v>
      </c>
    </row>
    <row r="998" spans="1:33">
      <c r="A998" s="21" t="s">
        <v>203</v>
      </c>
      <c r="B998" s="21" t="s">
        <v>386</v>
      </c>
      <c r="C998" s="25">
        <v>46120.333333333336</v>
      </c>
      <c r="D998" s="21" t="s">
        <v>147</v>
      </c>
      <c r="E998" s="24">
        <v>4.88</v>
      </c>
      <c r="F998" s="24">
        <v>4.87</v>
      </c>
      <c r="G998" s="24">
        <f>E998-F998</f>
        <v>9.9999999999997868E-3</v>
      </c>
      <c r="H998" s="21" t="s">
        <v>294</v>
      </c>
      <c r="I998" s="21">
        <v>0</v>
      </c>
      <c r="J998" s="21">
        <v>4</v>
      </c>
      <c r="K998" s="21">
        <v>6</v>
      </c>
      <c r="L998" s="21">
        <v>0</v>
      </c>
      <c r="M998" s="21">
        <v>6</v>
      </c>
      <c r="P998" s="24">
        <f>J998+L998+N998</f>
        <v>4</v>
      </c>
      <c r="Q998" s="24">
        <f>K998+M998+O998</f>
        <v>12</v>
      </c>
      <c r="R998" s="24">
        <v>0.25</v>
      </c>
      <c r="S998" s="21" t="s">
        <v>393</v>
      </c>
      <c r="U998" s="21" t="s">
        <v>287</v>
      </c>
      <c r="V998" s="21" t="s">
        <v>286</v>
      </c>
      <c r="W998" s="21">
        <v>10</v>
      </c>
      <c r="X998" s="21" t="s">
        <v>285</v>
      </c>
      <c r="Y998" s="21" t="s">
        <v>284</v>
      </c>
      <c r="Z998" s="21" t="s">
        <v>283</v>
      </c>
      <c r="AA998" s="21" t="s">
        <v>203</v>
      </c>
      <c r="AB998" s="21">
        <v>1</v>
      </c>
      <c r="AD998" s="24">
        <v>6.03</v>
      </c>
      <c r="AE998" s="24">
        <v>5.76</v>
      </c>
      <c r="AF998" s="21" t="s">
        <v>304</v>
      </c>
      <c r="AG998" s="21" t="s">
        <v>341</v>
      </c>
    </row>
    <row r="999" spans="1:33">
      <c r="A999" s="21" t="s">
        <v>203</v>
      </c>
      <c r="B999" s="21" t="s">
        <v>386</v>
      </c>
      <c r="C999" s="25">
        <v>46121.333333333336</v>
      </c>
      <c r="D999" s="21" t="s">
        <v>117</v>
      </c>
      <c r="E999" s="24">
        <v>4.88</v>
      </c>
      <c r="F999" s="24">
        <v>8.02</v>
      </c>
      <c r="G999" s="24">
        <f>E999-F999</f>
        <v>-3.1399999999999997</v>
      </c>
      <c r="H999" s="21" t="s">
        <v>294</v>
      </c>
      <c r="I999" s="21">
        <v>0</v>
      </c>
      <c r="J999" s="21">
        <v>0</v>
      </c>
      <c r="K999" s="21">
        <v>6</v>
      </c>
      <c r="L999" s="21">
        <v>0</v>
      </c>
      <c r="M999" s="21">
        <v>6</v>
      </c>
      <c r="P999" s="24">
        <f>J999+L999+N999</f>
        <v>0</v>
      </c>
      <c r="Q999" s="24">
        <f>K999+M999+O999</f>
        <v>12</v>
      </c>
      <c r="R999" s="24">
        <v>0</v>
      </c>
      <c r="S999" s="21" t="s">
        <v>336</v>
      </c>
      <c r="U999" s="21" t="s">
        <v>287</v>
      </c>
      <c r="V999" s="21" t="s">
        <v>286</v>
      </c>
      <c r="W999" s="21">
        <v>11</v>
      </c>
      <c r="X999" s="21" t="s">
        <v>285</v>
      </c>
      <c r="Y999" s="21" t="s">
        <v>284</v>
      </c>
      <c r="Z999" s="21" t="s">
        <v>283</v>
      </c>
      <c r="AA999" s="21" t="s">
        <v>203</v>
      </c>
      <c r="AB999" s="21">
        <v>1</v>
      </c>
      <c r="AD999" s="24">
        <v>6.03</v>
      </c>
      <c r="AE999" s="24">
        <v>8.26</v>
      </c>
      <c r="AF999" s="21" t="s">
        <v>302</v>
      </c>
      <c r="AG999" s="21" t="s">
        <v>301</v>
      </c>
    </row>
    <row r="1000" spans="1:33">
      <c r="A1000" s="21" t="s">
        <v>203</v>
      </c>
      <c r="B1000" s="21" t="s">
        <v>386</v>
      </c>
      <c r="C1000" s="25">
        <v>46122.333333333336</v>
      </c>
      <c r="D1000" s="21" t="s">
        <v>97</v>
      </c>
      <c r="E1000" s="24">
        <v>4.88</v>
      </c>
      <c r="F1000" s="24">
        <v>3.83</v>
      </c>
      <c r="G1000" s="24">
        <f>E1000-F1000</f>
        <v>1.0499999999999998</v>
      </c>
      <c r="H1000" s="21" t="s">
        <v>294</v>
      </c>
      <c r="I1000" s="21">
        <v>0</v>
      </c>
      <c r="J1000" s="21">
        <v>0</v>
      </c>
      <c r="K1000" s="21">
        <v>6</v>
      </c>
      <c r="L1000" s="21">
        <v>2</v>
      </c>
      <c r="M1000" s="21">
        <v>6</v>
      </c>
      <c r="P1000" s="24">
        <f>J1000+L1000+N1000</f>
        <v>2</v>
      </c>
      <c r="Q1000" s="24">
        <f>K1000+M1000+O1000</f>
        <v>12</v>
      </c>
      <c r="R1000" s="24">
        <v>0.14285714285714285</v>
      </c>
      <c r="S1000" s="21" t="s">
        <v>392</v>
      </c>
      <c r="U1000" s="21" t="s">
        <v>287</v>
      </c>
      <c r="V1000" s="21" t="s">
        <v>286</v>
      </c>
      <c r="W1000" s="21">
        <v>12</v>
      </c>
      <c r="X1000" s="21" t="s">
        <v>285</v>
      </c>
      <c r="Y1000" s="21" t="s">
        <v>284</v>
      </c>
      <c r="Z1000" s="21" t="s">
        <v>283</v>
      </c>
      <c r="AA1000" s="21" t="s">
        <v>203</v>
      </c>
      <c r="AB1000" s="21">
        <v>1</v>
      </c>
      <c r="AD1000" s="24">
        <v>6.03</v>
      </c>
      <c r="AE1000" s="24">
        <v>7.43</v>
      </c>
      <c r="AF1000" s="21" t="s">
        <v>304</v>
      </c>
      <c r="AG1000" s="21" t="s">
        <v>303</v>
      </c>
    </row>
    <row r="1001" spans="1:33">
      <c r="A1001" s="21" t="s">
        <v>203</v>
      </c>
      <c r="B1001" s="21" t="s">
        <v>386</v>
      </c>
      <c r="C1001" s="25">
        <v>46125.333333333336</v>
      </c>
      <c r="D1001" s="21" t="s">
        <v>391</v>
      </c>
      <c r="E1001" s="24">
        <v>4.88</v>
      </c>
      <c r="F1001" s="24">
        <v>4.37</v>
      </c>
      <c r="G1001" s="24">
        <f>E1001-F1001</f>
        <v>0.50999999999999979</v>
      </c>
      <c r="H1001" s="21" t="s">
        <v>289</v>
      </c>
      <c r="I1001" s="21">
        <v>1</v>
      </c>
      <c r="J1001" s="21">
        <v>6</v>
      </c>
      <c r="K1001" s="21">
        <v>0</v>
      </c>
      <c r="L1001" s="21">
        <v>6</v>
      </c>
      <c r="M1001" s="21">
        <v>0</v>
      </c>
      <c r="P1001" s="24">
        <f>J1001+L1001+N1001</f>
        <v>12</v>
      </c>
      <c r="Q1001" s="24">
        <f>K1001+M1001+O1001</f>
        <v>0</v>
      </c>
      <c r="R1001" s="24">
        <v>1</v>
      </c>
      <c r="S1001" s="21" t="s">
        <v>390</v>
      </c>
      <c r="U1001" s="21" t="s">
        <v>287</v>
      </c>
      <c r="V1001" s="21" t="s">
        <v>286</v>
      </c>
      <c r="W1001" s="21">
        <v>13</v>
      </c>
      <c r="X1001" s="21" t="s">
        <v>285</v>
      </c>
      <c r="Y1001" s="21" t="s">
        <v>284</v>
      </c>
      <c r="Z1001" s="21" t="s">
        <v>283</v>
      </c>
      <c r="AA1001" s="21" t="s">
        <v>203</v>
      </c>
      <c r="AB1001" s="21">
        <v>1</v>
      </c>
      <c r="AD1001" s="24">
        <v>6.03</v>
      </c>
      <c r="AE1001" s="24">
        <v>4.37</v>
      </c>
      <c r="AF1001" s="21" t="s">
        <v>304</v>
      </c>
      <c r="AG1001" s="21" t="s">
        <v>303</v>
      </c>
    </row>
    <row r="1002" spans="1:33">
      <c r="A1002" s="21" t="s">
        <v>203</v>
      </c>
      <c r="B1002" s="21" t="s">
        <v>386</v>
      </c>
      <c r="C1002" s="25">
        <v>46129.645833333336</v>
      </c>
      <c r="D1002" s="21" t="s">
        <v>389</v>
      </c>
      <c r="E1002" s="24">
        <v>4.8600000000000003</v>
      </c>
      <c r="F1002" s="24">
        <v>4.29</v>
      </c>
      <c r="G1002" s="24">
        <f>E1002-F1002</f>
        <v>0.57000000000000028</v>
      </c>
      <c r="H1002" s="21" t="s">
        <v>289</v>
      </c>
      <c r="I1002" s="21">
        <v>1</v>
      </c>
      <c r="J1002" s="21">
        <v>6</v>
      </c>
      <c r="K1002" s="21">
        <v>0</v>
      </c>
      <c r="L1002" s="21">
        <v>6</v>
      </c>
      <c r="M1002" s="21">
        <v>0</v>
      </c>
      <c r="P1002" s="24">
        <f>J1002+L1002+N1002</f>
        <v>12</v>
      </c>
      <c r="Q1002" s="24">
        <f>K1002+M1002+O1002</f>
        <v>0</v>
      </c>
      <c r="R1002" s="24">
        <v>1</v>
      </c>
      <c r="S1002" s="21" t="s">
        <v>388</v>
      </c>
      <c r="U1002" s="21" t="s">
        <v>287</v>
      </c>
      <c r="V1002" s="21" t="s">
        <v>286</v>
      </c>
      <c r="W1002" s="21">
        <v>14</v>
      </c>
      <c r="X1002" s="21" t="s">
        <v>285</v>
      </c>
      <c r="Y1002" s="21" t="s">
        <v>284</v>
      </c>
      <c r="Z1002" s="21" t="s">
        <v>283</v>
      </c>
      <c r="AA1002" s="21" t="s">
        <v>203</v>
      </c>
      <c r="AB1002" s="21">
        <v>1</v>
      </c>
      <c r="AD1002" s="24">
        <v>6.03</v>
      </c>
      <c r="AE1002" s="24">
        <v>4.29</v>
      </c>
      <c r="AF1002" s="21" t="s">
        <v>304</v>
      </c>
      <c r="AG1002" s="21" t="s">
        <v>303</v>
      </c>
    </row>
    <row r="1003" spans="1:33">
      <c r="A1003" s="21" t="s">
        <v>203</v>
      </c>
      <c r="B1003" s="21" t="s">
        <v>386</v>
      </c>
      <c r="C1003" s="25">
        <v>46139.645833333336</v>
      </c>
      <c r="D1003" s="21" t="s">
        <v>128</v>
      </c>
      <c r="E1003" s="24">
        <v>4.8</v>
      </c>
      <c r="F1003" s="24">
        <v>6.91</v>
      </c>
      <c r="G1003" s="24">
        <f>E1003-F1003</f>
        <v>-2.1100000000000003</v>
      </c>
      <c r="H1003" s="21" t="s">
        <v>294</v>
      </c>
      <c r="I1003" s="21">
        <v>0</v>
      </c>
      <c r="J1003" s="21">
        <v>4</v>
      </c>
      <c r="K1003" s="21">
        <v>6</v>
      </c>
      <c r="L1003" s="21">
        <v>4</v>
      </c>
      <c r="M1003" s="21">
        <v>6</v>
      </c>
      <c r="P1003" s="24">
        <f>J1003+L1003+N1003</f>
        <v>8</v>
      </c>
      <c r="Q1003" s="24">
        <f>K1003+M1003+O1003</f>
        <v>12</v>
      </c>
      <c r="R1003" s="24">
        <v>0.4</v>
      </c>
      <c r="S1003" s="21" t="s">
        <v>387</v>
      </c>
      <c r="U1003" s="21" t="s">
        <v>287</v>
      </c>
      <c r="V1003" s="21" t="s">
        <v>286</v>
      </c>
      <c r="W1003" s="21">
        <v>15</v>
      </c>
      <c r="X1003" s="21" t="s">
        <v>285</v>
      </c>
      <c r="Y1003" s="21" t="s">
        <v>284</v>
      </c>
      <c r="Z1003" s="21" t="s">
        <v>283</v>
      </c>
      <c r="AA1003" s="21" t="s">
        <v>203</v>
      </c>
      <c r="AB1003" s="21">
        <v>1</v>
      </c>
      <c r="AD1003" s="24">
        <v>6.03</v>
      </c>
      <c r="AE1003" s="24">
        <v>6.88</v>
      </c>
      <c r="AF1003" s="21" t="s">
        <v>304</v>
      </c>
      <c r="AG1003" s="21" t="s">
        <v>303</v>
      </c>
    </row>
    <row r="1004" spans="1:33">
      <c r="A1004" s="21" t="s">
        <v>203</v>
      </c>
      <c r="B1004" s="21" t="s">
        <v>386</v>
      </c>
      <c r="C1004" s="25">
        <v>46140.333333333336</v>
      </c>
      <c r="D1004" s="21" t="s">
        <v>181</v>
      </c>
      <c r="E1004" s="24">
        <v>4.8</v>
      </c>
      <c r="F1004" s="24">
        <v>6.1</v>
      </c>
      <c r="G1004" s="24">
        <f>E1004-F1004</f>
        <v>-1.2999999999999998</v>
      </c>
      <c r="H1004" s="21" t="s">
        <v>294</v>
      </c>
      <c r="I1004" s="21">
        <v>0</v>
      </c>
      <c r="J1004" s="21">
        <v>5</v>
      </c>
      <c r="K1004" s="21">
        <v>7</v>
      </c>
      <c r="L1004" s="21">
        <v>6</v>
      </c>
      <c r="M1004" s="21">
        <v>7</v>
      </c>
      <c r="P1004" s="24">
        <f>J1004+L1004+N1004</f>
        <v>11</v>
      </c>
      <c r="Q1004" s="24">
        <f>K1004+M1004+O1004</f>
        <v>14</v>
      </c>
      <c r="R1004" s="24">
        <v>0.45454545454545453</v>
      </c>
      <c r="S1004" s="21" t="s">
        <v>47</v>
      </c>
      <c r="U1004" s="21" t="s">
        <v>287</v>
      </c>
      <c r="V1004" s="21" t="s">
        <v>286</v>
      </c>
      <c r="W1004" s="21">
        <v>16</v>
      </c>
      <c r="X1004" s="21" t="s">
        <v>285</v>
      </c>
      <c r="Y1004" s="21" t="s">
        <v>284</v>
      </c>
      <c r="Z1004" s="21" t="s">
        <v>283</v>
      </c>
      <c r="AA1004" s="21" t="s">
        <v>203</v>
      </c>
      <c r="AB1004" s="21">
        <v>1</v>
      </c>
      <c r="AD1004" s="24">
        <v>6.03</v>
      </c>
      <c r="AE1004" s="24">
        <v>6.07</v>
      </c>
      <c r="AF1004" s="21" t="s">
        <v>304</v>
      </c>
      <c r="AG1004" s="21" t="s">
        <v>341</v>
      </c>
    </row>
    <row r="1005" spans="1:33">
      <c r="A1005" s="21" t="s">
        <v>23</v>
      </c>
      <c r="B1005" s="21" t="s">
        <v>380</v>
      </c>
      <c r="C1005" s="25">
        <v>46094.645833333336</v>
      </c>
      <c r="D1005" s="21" t="s">
        <v>10</v>
      </c>
      <c r="E1005" s="24">
        <v>6.82</v>
      </c>
      <c r="F1005" s="24">
        <v>7.15</v>
      </c>
      <c r="G1005" s="24">
        <f>E1005-F1005</f>
        <v>-0.33000000000000007</v>
      </c>
      <c r="H1005" s="21" t="s">
        <v>289</v>
      </c>
      <c r="I1005" s="21">
        <v>1</v>
      </c>
      <c r="J1005" s="21">
        <v>6</v>
      </c>
      <c r="K1005" s="21">
        <v>7</v>
      </c>
      <c r="L1005" s="21">
        <v>7</v>
      </c>
      <c r="M1005" s="21">
        <v>6</v>
      </c>
      <c r="N1005" s="21">
        <v>6</v>
      </c>
      <c r="O1005" s="21">
        <v>2</v>
      </c>
      <c r="P1005" s="24">
        <f>J1005+L1005+N1005</f>
        <v>19</v>
      </c>
      <c r="Q1005" s="24">
        <f>K1005+M1005+O1005</f>
        <v>15</v>
      </c>
      <c r="R1005" s="24">
        <v>0.50352112676056338</v>
      </c>
      <c r="S1005" s="21" t="s">
        <v>383</v>
      </c>
      <c r="U1005" s="21" t="s">
        <v>287</v>
      </c>
      <c r="V1005" s="21" t="s">
        <v>286</v>
      </c>
      <c r="W1005" s="21">
        <v>0</v>
      </c>
      <c r="X1005" s="21" t="s">
        <v>312</v>
      </c>
      <c r="Y1005" s="21" t="s">
        <v>318</v>
      </c>
      <c r="Z1005" s="21" t="s">
        <v>317</v>
      </c>
      <c r="AA1005" s="21" t="s">
        <v>23</v>
      </c>
      <c r="AB1005" s="21">
        <v>1</v>
      </c>
      <c r="AD1005" s="24">
        <v>7.15</v>
      </c>
      <c r="AE1005" s="24">
        <v>6.92</v>
      </c>
      <c r="AF1005" s="21" t="s">
        <v>304</v>
      </c>
      <c r="AG1005" s="21" t="s">
        <v>341</v>
      </c>
    </row>
    <row r="1006" spans="1:33">
      <c r="A1006" s="21" t="s">
        <v>23</v>
      </c>
      <c r="B1006" s="21" t="s">
        <v>380</v>
      </c>
      <c r="C1006" s="25">
        <v>46099.645833333336</v>
      </c>
      <c r="D1006" s="21" t="s">
        <v>385</v>
      </c>
      <c r="E1006" s="24">
        <v>6.81</v>
      </c>
      <c r="F1006" s="24">
        <v>2.4900000000000002</v>
      </c>
      <c r="G1006" s="24">
        <f>E1006-F1006</f>
        <v>4.3199999999999994</v>
      </c>
      <c r="H1006" s="21" t="s">
        <v>289</v>
      </c>
      <c r="I1006" s="21">
        <v>1</v>
      </c>
      <c r="J1006" s="21">
        <v>6</v>
      </c>
      <c r="K1006" s="21">
        <v>0</v>
      </c>
      <c r="L1006" s="21">
        <v>6</v>
      </c>
      <c r="M1006" s="21">
        <v>0</v>
      </c>
      <c r="P1006" s="24">
        <f>J1006+L1006+N1006</f>
        <v>12</v>
      </c>
      <c r="Q1006" s="24">
        <f>K1006+M1006+O1006</f>
        <v>0</v>
      </c>
      <c r="R1006" s="24">
        <v>1</v>
      </c>
      <c r="S1006" s="21" t="s">
        <v>347</v>
      </c>
      <c r="U1006" s="21" t="s">
        <v>287</v>
      </c>
      <c r="V1006" s="21" t="s">
        <v>286</v>
      </c>
      <c r="W1006" s="21">
        <v>1</v>
      </c>
      <c r="X1006" s="21" t="s">
        <v>323</v>
      </c>
      <c r="Y1006" s="21" t="s">
        <v>318</v>
      </c>
      <c r="Z1006" s="21" t="s">
        <v>317</v>
      </c>
      <c r="AA1006" s="21" t="s">
        <v>23</v>
      </c>
      <c r="AB1006" s="21">
        <v>1</v>
      </c>
      <c r="AD1006" s="24">
        <v>7.15</v>
      </c>
      <c r="AE1006" s="24">
        <v>3.7</v>
      </c>
      <c r="AF1006" s="21" t="s">
        <v>304</v>
      </c>
      <c r="AG1006" s="21" t="s">
        <v>303</v>
      </c>
    </row>
    <row r="1007" spans="1:33">
      <c r="A1007" s="21" t="s">
        <v>23</v>
      </c>
      <c r="B1007" s="21" t="s">
        <v>380</v>
      </c>
      <c r="C1007" s="25">
        <v>46107.333333333336</v>
      </c>
      <c r="D1007" s="21" t="s">
        <v>111</v>
      </c>
      <c r="E1007" s="24">
        <v>6.54</v>
      </c>
      <c r="F1007" s="24">
        <v>6.5</v>
      </c>
      <c r="G1007" s="24">
        <f>E1007-F1007</f>
        <v>4.0000000000000036E-2</v>
      </c>
      <c r="H1007" s="21" t="s">
        <v>289</v>
      </c>
      <c r="I1007" s="21">
        <v>1</v>
      </c>
      <c r="J1007" s="21">
        <v>6</v>
      </c>
      <c r="K1007" s="21">
        <v>7</v>
      </c>
      <c r="L1007" s="21">
        <v>6</v>
      </c>
      <c r="M1007" s="21">
        <v>4</v>
      </c>
      <c r="N1007" s="21">
        <v>6</v>
      </c>
      <c r="O1007" s="21">
        <v>2</v>
      </c>
      <c r="P1007" s="24">
        <f>J1007+L1007+N1007</f>
        <v>18</v>
      </c>
      <c r="Q1007" s="24">
        <f>K1007+M1007+O1007</f>
        <v>13</v>
      </c>
      <c r="R1007" s="24">
        <v>0.4779874213836478</v>
      </c>
      <c r="S1007" s="21" t="s">
        <v>358</v>
      </c>
      <c r="U1007" s="21" t="s">
        <v>287</v>
      </c>
      <c r="V1007" s="21" t="s">
        <v>286</v>
      </c>
      <c r="W1007" s="21">
        <v>2</v>
      </c>
      <c r="X1007" s="21" t="s">
        <v>310</v>
      </c>
      <c r="Y1007" s="21" t="s">
        <v>318</v>
      </c>
      <c r="Z1007" s="21" t="s">
        <v>317</v>
      </c>
      <c r="AA1007" s="21" t="s">
        <v>23</v>
      </c>
      <c r="AB1007" s="21">
        <v>2</v>
      </c>
      <c r="AD1007" s="24">
        <v>7.15</v>
      </c>
      <c r="AE1007" s="24">
        <v>6.51</v>
      </c>
      <c r="AF1007" s="21" t="s">
        <v>302</v>
      </c>
      <c r="AG1007" s="21" t="s">
        <v>301</v>
      </c>
    </row>
    <row r="1008" spans="1:33">
      <c r="A1008" s="21" t="s">
        <v>23</v>
      </c>
      <c r="B1008" s="21" t="s">
        <v>380</v>
      </c>
      <c r="C1008" s="25">
        <v>46111.645833333336</v>
      </c>
      <c r="D1008" s="21" t="s">
        <v>234</v>
      </c>
      <c r="E1008" s="24">
        <v>6.54</v>
      </c>
      <c r="F1008" s="24">
        <v>4.25</v>
      </c>
      <c r="G1008" s="24">
        <f>E1008-F1008</f>
        <v>2.29</v>
      </c>
      <c r="H1008" s="21" t="s">
        <v>289</v>
      </c>
      <c r="I1008" s="21">
        <v>1</v>
      </c>
      <c r="J1008" s="21">
        <v>6</v>
      </c>
      <c r="K1008" s="21">
        <v>0</v>
      </c>
      <c r="L1008" s="21">
        <v>6</v>
      </c>
      <c r="M1008" s="21">
        <v>1</v>
      </c>
      <c r="P1008" s="24">
        <f>J1008+L1008+N1008</f>
        <v>12</v>
      </c>
      <c r="Q1008" s="24">
        <f>K1008+M1008+O1008</f>
        <v>1</v>
      </c>
      <c r="R1008" s="24">
        <v>0.92307692307692313</v>
      </c>
      <c r="S1008" s="21" t="s">
        <v>331</v>
      </c>
      <c r="U1008" s="21" t="s">
        <v>287</v>
      </c>
      <c r="V1008" s="21" t="s">
        <v>286</v>
      </c>
      <c r="W1008" s="21">
        <v>3</v>
      </c>
      <c r="X1008" s="21" t="s">
        <v>285</v>
      </c>
      <c r="Y1008" s="21" t="s">
        <v>318</v>
      </c>
      <c r="Z1008" s="21" t="s">
        <v>317</v>
      </c>
      <c r="AA1008" s="21" t="s">
        <v>23</v>
      </c>
      <c r="AB1008" s="21">
        <v>1</v>
      </c>
      <c r="AD1008" s="24">
        <v>7.15</v>
      </c>
      <c r="AE1008" s="24">
        <v>4.54</v>
      </c>
      <c r="AF1008" s="21" t="s">
        <v>304</v>
      </c>
      <c r="AG1008" s="21" t="s">
        <v>303</v>
      </c>
    </row>
    <row r="1009" spans="1:33">
      <c r="A1009" s="21" t="s">
        <v>23</v>
      </c>
      <c r="B1009" s="21" t="s">
        <v>380</v>
      </c>
      <c r="C1009" s="25">
        <v>46112.333333333336</v>
      </c>
      <c r="D1009" s="21" t="s">
        <v>170</v>
      </c>
      <c r="E1009" s="24">
        <v>6.54</v>
      </c>
      <c r="F1009" s="24">
        <v>5.34</v>
      </c>
      <c r="G1009" s="24">
        <f>E1009-F1009</f>
        <v>1.2000000000000002</v>
      </c>
      <c r="H1009" s="21" t="s">
        <v>289</v>
      </c>
      <c r="I1009" s="21">
        <v>1</v>
      </c>
      <c r="J1009" s="21">
        <v>5</v>
      </c>
      <c r="K1009" s="21">
        <v>0</v>
      </c>
      <c r="L1009" s="21">
        <v>7</v>
      </c>
      <c r="M1009" s="21">
        <v>5</v>
      </c>
      <c r="P1009" s="24">
        <f>J1009+L1009+N1009</f>
        <v>12</v>
      </c>
      <c r="Q1009" s="24">
        <f>K1009+M1009+O1009</f>
        <v>5</v>
      </c>
      <c r="R1009" s="24">
        <v>0.70588235294117652</v>
      </c>
      <c r="S1009" s="21" t="s">
        <v>179</v>
      </c>
      <c r="U1009" s="21" t="s">
        <v>287</v>
      </c>
      <c r="V1009" s="21" t="s">
        <v>286</v>
      </c>
      <c r="W1009" s="21">
        <v>4</v>
      </c>
      <c r="X1009" s="21" t="s">
        <v>285</v>
      </c>
      <c r="Y1009" s="21" t="s">
        <v>318</v>
      </c>
      <c r="Z1009" s="21" t="s">
        <v>317</v>
      </c>
      <c r="AA1009" s="21" t="s">
        <v>23</v>
      </c>
      <c r="AB1009" s="21">
        <v>1</v>
      </c>
      <c r="AD1009" s="24">
        <v>7.15</v>
      </c>
      <c r="AE1009" s="24">
        <v>6.27</v>
      </c>
      <c r="AF1009" s="21" t="s">
        <v>304</v>
      </c>
      <c r="AG1009" s="21" t="s">
        <v>303</v>
      </c>
    </row>
    <row r="1010" spans="1:33">
      <c r="A1010" s="21" t="s">
        <v>23</v>
      </c>
      <c r="B1010" s="21" t="s">
        <v>380</v>
      </c>
      <c r="C1010" s="25">
        <v>46119.645833333336</v>
      </c>
      <c r="D1010" s="21" t="s">
        <v>58</v>
      </c>
      <c r="E1010" s="24">
        <v>6.79</v>
      </c>
      <c r="F1010" s="24">
        <v>4.51</v>
      </c>
      <c r="G1010" s="24">
        <f>E1010-F1010</f>
        <v>2.2800000000000002</v>
      </c>
      <c r="H1010" s="21" t="s">
        <v>289</v>
      </c>
      <c r="I1010" s="21">
        <v>1</v>
      </c>
      <c r="J1010" s="21">
        <v>6</v>
      </c>
      <c r="K1010" s="21">
        <v>0</v>
      </c>
      <c r="L1010" s="21">
        <v>6</v>
      </c>
      <c r="M1010" s="21">
        <v>2</v>
      </c>
      <c r="P1010" s="24">
        <f>J1010+L1010+N1010</f>
        <v>12</v>
      </c>
      <c r="Q1010" s="24">
        <f>K1010+M1010+O1010</f>
        <v>2</v>
      </c>
      <c r="R1010" s="24">
        <v>0.8571428571428571</v>
      </c>
      <c r="S1010" s="21" t="s">
        <v>158</v>
      </c>
      <c r="U1010" s="21" t="s">
        <v>287</v>
      </c>
      <c r="V1010" s="21" t="s">
        <v>286</v>
      </c>
      <c r="W1010" s="21">
        <v>5</v>
      </c>
      <c r="X1010" s="21" t="s">
        <v>285</v>
      </c>
      <c r="Y1010" s="21" t="s">
        <v>318</v>
      </c>
      <c r="Z1010" s="21" t="s">
        <v>317</v>
      </c>
      <c r="AA1010" s="21" t="s">
        <v>23</v>
      </c>
      <c r="AB1010" s="21">
        <v>1</v>
      </c>
      <c r="AD1010" s="24">
        <v>7.15</v>
      </c>
      <c r="AE1010" s="24">
        <v>4.9000000000000004</v>
      </c>
      <c r="AF1010" s="21" t="s">
        <v>304</v>
      </c>
      <c r="AG1010" s="21" t="s">
        <v>303</v>
      </c>
    </row>
    <row r="1011" spans="1:33">
      <c r="A1011" s="21" t="s">
        <v>23</v>
      </c>
      <c r="B1011" s="21" t="s">
        <v>380</v>
      </c>
      <c r="C1011" s="25">
        <v>46121.625</v>
      </c>
      <c r="D1011" s="21" t="s">
        <v>333</v>
      </c>
      <c r="E1011" s="24">
        <v>6.79</v>
      </c>
      <c r="F1011" s="24">
        <v>3.93</v>
      </c>
      <c r="G1011" s="24">
        <f>E1011-F1011</f>
        <v>2.86</v>
      </c>
      <c r="H1011" s="21" t="s">
        <v>289</v>
      </c>
      <c r="I1011" s="21">
        <v>1</v>
      </c>
      <c r="J1011" s="21">
        <v>6</v>
      </c>
      <c r="K1011" s="21">
        <v>0</v>
      </c>
      <c r="L1011" s="21">
        <v>6</v>
      </c>
      <c r="M1011" s="21">
        <v>0</v>
      </c>
      <c r="P1011" s="24">
        <f>J1011+L1011+N1011</f>
        <v>12</v>
      </c>
      <c r="Q1011" s="24">
        <f>K1011+M1011+O1011</f>
        <v>0</v>
      </c>
      <c r="R1011" s="24">
        <v>1</v>
      </c>
      <c r="S1011" s="21" t="s">
        <v>382</v>
      </c>
      <c r="U1011" s="21" t="s">
        <v>287</v>
      </c>
      <c r="V1011" s="21" t="s">
        <v>286</v>
      </c>
      <c r="W1011" s="21">
        <v>6</v>
      </c>
      <c r="X1011" s="21" t="s">
        <v>285</v>
      </c>
      <c r="Y1011" s="21" t="s">
        <v>318</v>
      </c>
      <c r="Z1011" s="21" t="s">
        <v>317</v>
      </c>
      <c r="AA1011" s="21" t="s">
        <v>23</v>
      </c>
      <c r="AB1011" s="21">
        <v>1</v>
      </c>
      <c r="AD1011" s="24">
        <v>7.15</v>
      </c>
      <c r="AE1011" s="24">
        <v>3.93</v>
      </c>
      <c r="AF1011" s="21" t="s">
        <v>304</v>
      </c>
      <c r="AG1011" s="21" t="s">
        <v>303</v>
      </c>
    </row>
    <row r="1012" spans="1:33">
      <c r="A1012" s="21" t="s">
        <v>23</v>
      </c>
      <c r="B1012" s="21" t="s">
        <v>380</v>
      </c>
      <c r="C1012" s="25">
        <v>46122.645833333336</v>
      </c>
      <c r="D1012" s="21" t="s">
        <v>131</v>
      </c>
      <c r="E1012" s="24">
        <v>6.79</v>
      </c>
      <c r="F1012" s="24">
        <v>5.9</v>
      </c>
      <c r="G1012" s="24">
        <f>E1012-F1012</f>
        <v>0.88999999999999968</v>
      </c>
      <c r="H1012" s="21" t="s">
        <v>289</v>
      </c>
      <c r="I1012" s="21">
        <v>1</v>
      </c>
      <c r="J1012" s="21">
        <v>7</v>
      </c>
      <c r="K1012" s="21">
        <v>6</v>
      </c>
      <c r="L1012" s="21">
        <v>6</v>
      </c>
      <c r="M1012" s="21">
        <v>0</v>
      </c>
      <c r="P1012" s="24">
        <f>J1012+L1012+N1012</f>
        <v>13</v>
      </c>
      <c r="Q1012" s="24">
        <f>K1012+M1012+O1012</f>
        <v>6</v>
      </c>
      <c r="R1012" s="24">
        <v>0.56462585034013602</v>
      </c>
      <c r="S1012" s="21" t="s">
        <v>132</v>
      </c>
      <c r="U1012" s="21" t="s">
        <v>287</v>
      </c>
      <c r="V1012" s="21" t="s">
        <v>286</v>
      </c>
      <c r="W1012" s="21">
        <v>7</v>
      </c>
      <c r="X1012" s="21" t="s">
        <v>285</v>
      </c>
      <c r="Y1012" s="21" t="s">
        <v>318</v>
      </c>
      <c r="Z1012" s="21" t="s">
        <v>317</v>
      </c>
      <c r="AA1012" s="21" t="s">
        <v>23</v>
      </c>
      <c r="AB1012" s="21">
        <v>1</v>
      </c>
      <c r="AD1012" s="24">
        <v>7.15</v>
      </c>
      <c r="AE1012" s="24">
        <v>5.95</v>
      </c>
      <c r="AF1012" s="21" t="s">
        <v>304</v>
      </c>
      <c r="AG1012" s="21" t="s">
        <v>303</v>
      </c>
    </row>
    <row r="1013" spans="1:33">
      <c r="A1013" s="21" t="s">
        <v>23</v>
      </c>
      <c r="B1013" s="21" t="s">
        <v>380</v>
      </c>
      <c r="C1013" s="25">
        <v>46126.645833333336</v>
      </c>
      <c r="D1013" s="21" t="s">
        <v>1</v>
      </c>
      <c r="E1013" s="24">
        <v>7.07</v>
      </c>
      <c r="F1013" s="24">
        <v>7.95</v>
      </c>
      <c r="G1013" s="24">
        <f>E1013-F1013</f>
        <v>-0.87999999999999989</v>
      </c>
      <c r="H1013" s="21" t="s">
        <v>294</v>
      </c>
      <c r="I1013" s="21">
        <v>0</v>
      </c>
      <c r="J1013" s="21">
        <v>6</v>
      </c>
      <c r="K1013" s="21">
        <v>2</v>
      </c>
      <c r="L1013" s="21">
        <v>4</v>
      </c>
      <c r="M1013" s="21">
        <v>6</v>
      </c>
      <c r="N1013" s="21">
        <v>0</v>
      </c>
      <c r="O1013" s="21">
        <v>1</v>
      </c>
      <c r="P1013" s="24">
        <f>J1013+L1013+N1013</f>
        <v>10</v>
      </c>
      <c r="Q1013" s="24">
        <f>K1013+M1013+O1013</f>
        <v>9</v>
      </c>
      <c r="R1013" s="24">
        <v>0.11940298507462686</v>
      </c>
      <c r="S1013" s="21" t="s">
        <v>105</v>
      </c>
      <c r="U1013" s="21" t="s">
        <v>287</v>
      </c>
      <c r="V1013" s="21" t="s">
        <v>286</v>
      </c>
      <c r="W1013" s="21">
        <v>8</v>
      </c>
      <c r="X1013" s="21" t="s">
        <v>285</v>
      </c>
      <c r="Y1013" s="21" t="s">
        <v>318</v>
      </c>
      <c r="Z1013" s="21" t="s">
        <v>317</v>
      </c>
      <c r="AA1013" s="21" t="s">
        <v>23</v>
      </c>
      <c r="AB1013" s="21">
        <v>1</v>
      </c>
      <c r="AD1013" s="24">
        <v>7.15</v>
      </c>
      <c r="AE1013" s="24">
        <v>7.98</v>
      </c>
      <c r="AF1013" s="21" t="s">
        <v>304</v>
      </c>
      <c r="AG1013" s="21" t="s">
        <v>303</v>
      </c>
    </row>
    <row r="1014" spans="1:33">
      <c r="A1014" s="21" t="s">
        <v>23</v>
      </c>
      <c r="B1014" s="21" t="s">
        <v>380</v>
      </c>
      <c r="C1014" s="25">
        <v>46133.645833333336</v>
      </c>
      <c r="D1014" s="21" t="s">
        <v>34</v>
      </c>
      <c r="E1014" s="24">
        <v>7.23</v>
      </c>
      <c r="F1014" s="24">
        <v>5.14</v>
      </c>
      <c r="G1014" s="24">
        <f>E1014-F1014</f>
        <v>2.0900000000000007</v>
      </c>
      <c r="H1014" s="21" t="s">
        <v>289</v>
      </c>
      <c r="I1014" s="21">
        <v>1</v>
      </c>
      <c r="J1014" s="21">
        <v>6</v>
      </c>
      <c r="K1014" s="21">
        <v>1</v>
      </c>
      <c r="L1014" s="21">
        <v>6</v>
      </c>
      <c r="M1014" s="21">
        <v>1</v>
      </c>
      <c r="P1014" s="24">
        <f>J1014+L1014+N1014</f>
        <v>12</v>
      </c>
      <c r="Q1014" s="24">
        <f>K1014+M1014+O1014</f>
        <v>2</v>
      </c>
      <c r="R1014" s="24">
        <v>0.8571428571428571</v>
      </c>
      <c r="S1014" s="21" t="s">
        <v>299</v>
      </c>
      <c r="U1014" s="21" t="s">
        <v>287</v>
      </c>
      <c r="V1014" s="21" t="s">
        <v>286</v>
      </c>
      <c r="W1014" s="21">
        <v>9</v>
      </c>
      <c r="X1014" s="21" t="s">
        <v>285</v>
      </c>
      <c r="Y1014" s="21" t="s">
        <v>318</v>
      </c>
      <c r="Z1014" s="21" t="s">
        <v>317</v>
      </c>
      <c r="AA1014" s="21" t="s">
        <v>23</v>
      </c>
      <c r="AB1014" s="21">
        <v>1</v>
      </c>
      <c r="AD1014" s="24">
        <v>7.15</v>
      </c>
      <c r="AE1014" s="24">
        <v>5.28</v>
      </c>
      <c r="AF1014" s="21" t="s">
        <v>304</v>
      </c>
      <c r="AG1014" s="21" t="s">
        <v>303</v>
      </c>
    </row>
    <row r="1015" spans="1:33">
      <c r="A1015" s="21" t="s">
        <v>23</v>
      </c>
      <c r="B1015" s="21" t="s">
        <v>380</v>
      </c>
      <c r="C1015" s="25">
        <v>46142.666666666664</v>
      </c>
      <c r="D1015" s="21" t="s">
        <v>9</v>
      </c>
      <c r="E1015" s="24">
        <v>7.56</v>
      </c>
      <c r="F1015" s="24">
        <v>7.75</v>
      </c>
      <c r="G1015" s="24">
        <f>E1015-F1015</f>
        <v>-0.19000000000000039</v>
      </c>
      <c r="H1015" s="21" t="s">
        <v>294</v>
      </c>
      <c r="I1015" s="21">
        <v>0</v>
      </c>
      <c r="J1015" s="21">
        <v>1</v>
      </c>
      <c r="K1015" s="21">
        <v>6</v>
      </c>
      <c r="L1015" s="21">
        <v>1</v>
      </c>
      <c r="M1015" s="21">
        <v>6</v>
      </c>
      <c r="P1015" s="24">
        <f>J1015+L1015+N1015</f>
        <v>2</v>
      </c>
      <c r="Q1015" s="24">
        <f>K1015+M1015+O1015</f>
        <v>12</v>
      </c>
      <c r="R1015" s="24">
        <v>0.14285714285714285</v>
      </c>
      <c r="S1015" s="21" t="s">
        <v>24</v>
      </c>
      <c r="U1015" s="21" t="s">
        <v>287</v>
      </c>
      <c r="V1015" s="21" t="s">
        <v>286</v>
      </c>
      <c r="W1015" s="21">
        <v>10</v>
      </c>
      <c r="X1015" s="21" t="s">
        <v>285</v>
      </c>
      <c r="Y1015" s="21" t="s">
        <v>318</v>
      </c>
      <c r="Z1015" s="21" t="s">
        <v>317</v>
      </c>
      <c r="AA1015" s="21" t="s">
        <v>23</v>
      </c>
      <c r="AB1015" s="21">
        <v>1</v>
      </c>
      <c r="AD1015" s="24">
        <v>7.15</v>
      </c>
      <c r="AE1015" s="24">
        <v>7.82</v>
      </c>
      <c r="AF1015" s="21" t="s">
        <v>302</v>
      </c>
      <c r="AG1015" s="21" t="s">
        <v>301</v>
      </c>
    </row>
    <row r="1016" spans="1:33">
      <c r="A1016" s="21" t="s">
        <v>176</v>
      </c>
      <c r="B1016" s="21" t="s">
        <v>319</v>
      </c>
      <c r="C1016" s="25">
        <v>46111.645833333336</v>
      </c>
      <c r="D1016" s="21" t="s">
        <v>37</v>
      </c>
      <c r="E1016" s="24">
        <v>6.32</v>
      </c>
      <c r="F1016" s="24">
        <v>10.029999999999999</v>
      </c>
      <c r="G1016" s="24">
        <f>E1016-F1016</f>
        <v>-3.7099999999999991</v>
      </c>
      <c r="H1016" s="21" t="s">
        <v>294</v>
      </c>
      <c r="I1016" s="21">
        <v>0</v>
      </c>
      <c r="J1016" s="21">
        <v>0</v>
      </c>
      <c r="K1016" s="21">
        <v>6</v>
      </c>
      <c r="L1016" s="21">
        <v>0</v>
      </c>
      <c r="M1016" s="21">
        <v>6</v>
      </c>
      <c r="P1016" s="24">
        <f>J1016+L1016+N1016</f>
        <v>0</v>
      </c>
      <c r="Q1016" s="24">
        <f>K1016+M1016+O1016</f>
        <v>12</v>
      </c>
      <c r="R1016" s="24">
        <v>0</v>
      </c>
      <c r="S1016" s="21" t="s">
        <v>384</v>
      </c>
      <c r="U1016" s="21" t="s">
        <v>287</v>
      </c>
      <c r="V1016" s="21" t="s">
        <v>286</v>
      </c>
      <c r="W1016" s="21">
        <v>0</v>
      </c>
      <c r="X1016" s="21" t="s">
        <v>312</v>
      </c>
      <c r="Y1016" s="21" t="s">
        <v>284</v>
      </c>
      <c r="Z1016" s="21" t="s">
        <v>283</v>
      </c>
      <c r="AA1016" s="21" t="s">
        <v>176</v>
      </c>
      <c r="AB1016" s="21">
        <v>1</v>
      </c>
      <c r="AD1016" s="24">
        <v>6.32</v>
      </c>
      <c r="AE1016" s="24">
        <v>10.19</v>
      </c>
      <c r="AF1016" s="21" t="s">
        <v>304</v>
      </c>
      <c r="AG1016" s="21" t="s">
        <v>303</v>
      </c>
    </row>
    <row r="1017" spans="1:33">
      <c r="A1017" s="21" t="s">
        <v>176</v>
      </c>
      <c r="B1017" s="21" t="s">
        <v>319</v>
      </c>
      <c r="C1017" s="25">
        <v>46112.645833333336</v>
      </c>
      <c r="D1017" s="21" t="s">
        <v>141</v>
      </c>
      <c r="E1017" s="24">
        <v>6.32</v>
      </c>
      <c r="F1017" s="24">
        <v>5.65</v>
      </c>
      <c r="G1017" s="24">
        <f>E1017-F1017</f>
        <v>0.66999999999999993</v>
      </c>
      <c r="H1017" s="21" t="s">
        <v>294</v>
      </c>
      <c r="I1017" s="21">
        <v>0</v>
      </c>
      <c r="J1017" s="21">
        <v>0</v>
      </c>
      <c r="K1017" s="21">
        <v>6</v>
      </c>
      <c r="L1017" s="21">
        <v>0</v>
      </c>
      <c r="M1017" s="21">
        <v>6</v>
      </c>
      <c r="P1017" s="24">
        <f>J1017+L1017+N1017</f>
        <v>0</v>
      </c>
      <c r="Q1017" s="24">
        <f>K1017+M1017+O1017</f>
        <v>12</v>
      </c>
      <c r="R1017" s="24">
        <v>0</v>
      </c>
      <c r="S1017" s="21" t="s">
        <v>177</v>
      </c>
      <c r="U1017" s="21" t="s">
        <v>287</v>
      </c>
      <c r="V1017" s="21" t="s">
        <v>286</v>
      </c>
      <c r="W1017" s="21">
        <v>1</v>
      </c>
      <c r="X1017" s="21" t="s">
        <v>323</v>
      </c>
      <c r="Y1017" s="21" t="s">
        <v>284</v>
      </c>
      <c r="Z1017" s="21" t="s">
        <v>283</v>
      </c>
      <c r="AA1017" s="21" t="s">
        <v>176</v>
      </c>
      <c r="AB1017" s="21">
        <v>1</v>
      </c>
      <c r="AD1017" s="24">
        <v>6.32</v>
      </c>
      <c r="AE1017" s="24">
        <v>5.95</v>
      </c>
      <c r="AF1017" s="21" t="s">
        <v>304</v>
      </c>
      <c r="AG1017" s="21" t="s">
        <v>303</v>
      </c>
    </row>
    <row r="1018" spans="1:33">
      <c r="A1018" s="21" t="s">
        <v>143</v>
      </c>
      <c r="B1018" s="21" t="s">
        <v>380</v>
      </c>
      <c r="C1018" s="25">
        <v>46094.645833333336</v>
      </c>
      <c r="D1018" s="21" t="s">
        <v>14</v>
      </c>
      <c r="E1018" s="24">
        <v>7.15</v>
      </c>
      <c r="F1018" s="24">
        <v>6.63</v>
      </c>
      <c r="G1018" s="24">
        <f>E1018-F1018</f>
        <v>0.52000000000000046</v>
      </c>
      <c r="H1018" s="21" t="s">
        <v>294</v>
      </c>
      <c r="I1018" s="21">
        <v>0</v>
      </c>
      <c r="J1018" s="21">
        <v>4</v>
      </c>
      <c r="K1018" s="21">
        <v>6</v>
      </c>
      <c r="L1018" s="21">
        <v>2</v>
      </c>
      <c r="M1018" s="21">
        <v>6</v>
      </c>
      <c r="P1018" s="24">
        <f>J1018+L1018+N1018</f>
        <v>6</v>
      </c>
      <c r="Q1018" s="24">
        <f>K1018+M1018+O1018</f>
        <v>12</v>
      </c>
      <c r="R1018" s="24">
        <v>0.33333333333333331</v>
      </c>
      <c r="S1018" s="21" t="s">
        <v>383</v>
      </c>
      <c r="U1018" s="21" t="s">
        <v>287</v>
      </c>
      <c r="V1018" s="21" t="s">
        <v>286</v>
      </c>
      <c r="W1018" s="21">
        <v>0</v>
      </c>
      <c r="X1018" s="21" t="s">
        <v>312</v>
      </c>
      <c r="Y1018" s="21" t="s">
        <v>318</v>
      </c>
      <c r="Z1018" s="21" t="s">
        <v>317</v>
      </c>
      <c r="AA1018" s="21" t="s">
        <v>143</v>
      </c>
      <c r="AB1018" s="21">
        <v>1</v>
      </c>
      <c r="AD1018" s="24">
        <v>7.19</v>
      </c>
      <c r="AE1018" s="24">
        <v>8.06</v>
      </c>
      <c r="AF1018" s="21" t="s">
        <v>304</v>
      </c>
      <c r="AG1018" s="21" t="s">
        <v>303</v>
      </c>
    </row>
    <row r="1019" spans="1:33">
      <c r="A1019" s="21" t="s">
        <v>143</v>
      </c>
      <c r="B1019" s="21" t="s">
        <v>380</v>
      </c>
      <c r="C1019" s="25">
        <v>46099.645833333336</v>
      </c>
      <c r="D1019" s="21" t="s">
        <v>155</v>
      </c>
      <c r="E1019" s="24">
        <v>7.06</v>
      </c>
      <c r="F1019" s="24">
        <v>4.8499999999999996</v>
      </c>
      <c r="G1019" s="24">
        <f>E1019-F1019</f>
        <v>2.21</v>
      </c>
      <c r="H1019" s="21" t="s">
        <v>289</v>
      </c>
      <c r="I1019" s="21">
        <v>1</v>
      </c>
      <c r="J1019" s="21">
        <v>6</v>
      </c>
      <c r="K1019" s="21">
        <v>0</v>
      </c>
      <c r="L1019" s="21">
        <v>6</v>
      </c>
      <c r="M1019" s="21">
        <v>1</v>
      </c>
      <c r="P1019" s="24">
        <f>J1019+L1019+N1019</f>
        <v>12</v>
      </c>
      <c r="Q1019" s="24">
        <f>K1019+M1019+O1019</f>
        <v>1</v>
      </c>
      <c r="R1019" s="24">
        <v>0.92307692307692313</v>
      </c>
      <c r="S1019" s="21" t="s">
        <v>347</v>
      </c>
      <c r="U1019" s="21" t="s">
        <v>287</v>
      </c>
      <c r="V1019" s="21" t="s">
        <v>286</v>
      </c>
      <c r="W1019" s="21">
        <v>1</v>
      </c>
      <c r="X1019" s="21" t="s">
        <v>323</v>
      </c>
      <c r="Y1019" s="21" t="s">
        <v>318</v>
      </c>
      <c r="Z1019" s="21" t="s">
        <v>317</v>
      </c>
      <c r="AA1019" s="21" t="s">
        <v>143</v>
      </c>
      <c r="AB1019" s="21">
        <v>1</v>
      </c>
      <c r="AD1019" s="24">
        <v>7.19</v>
      </c>
      <c r="AE1019" s="24">
        <v>4.8499999999999996</v>
      </c>
      <c r="AF1019" s="21" t="s">
        <v>304</v>
      </c>
      <c r="AG1019" s="21" t="s">
        <v>303</v>
      </c>
    </row>
    <row r="1020" spans="1:33">
      <c r="A1020" s="21" t="s">
        <v>143</v>
      </c>
      <c r="B1020" s="21" t="s">
        <v>380</v>
      </c>
      <c r="C1020" s="25">
        <v>46107.333333333336</v>
      </c>
      <c r="D1020" s="21" t="s">
        <v>78</v>
      </c>
      <c r="E1020" s="24">
        <v>6.42</v>
      </c>
      <c r="F1020" s="24">
        <v>10.35</v>
      </c>
      <c r="G1020" s="24">
        <f>E1020-F1020</f>
        <v>-3.9299999999999997</v>
      </c>
      <c r="H1020" s="21" t="s">
        <v>294</v>
      </c>
      <c r="I1020" s="21">
        <v>0</v>
      </c>
      <c r="J1020" s="21">
        <v>1</v>
      </c>
      <c r="K1020" s="21">
        <v>6</v>
      </c>
      <c r="L1020" s="21">
        <v>5</v>
      </c>
      <c r="M1020" s="21">
        <v>7</v>
      </c>
      <c r="P1020" s="24">
        <f>J1020+L1020+N1020</f>
        <v>6</v>
      </c>
      <c r="Q1020" s="24">
        <f>K1020+M1020+O1020</f>
        <v>13</v>
      </c>
      <c r="R1020" s="24">
        <v>0.31578947368421051</v>
      </c>
      <c r="S1020" s="21" t="s">
        <v>358</v>
      </c>
      <c r="U1020" s="21" t="s">
        <v>287</v>
      </c>
      <c r="V1020" s="21" t="s">
        <v>286</v>
      </c>
      <c r="W1020" s="21">
        <v>2</v>
      </c>
      <c r="X1020" s="21" t="s">
        <v>310</v>
      </c>
      <c r="Y1020" s="21" t="s">
        <v>318</v>
      </c>
      <c r="Z1020" s="21" t="s">
        <v>317</v>
      </c>
      <c r="AA1020" s="21" t="s">
        <v>143</v>
      </c>
      <c r="AB1020" s="21">
        <v>1</v>
      </c>
      <c r="AD1020" s="24">
        <v>7.19</v>
      </c>
      <c r="AE1020" s="24">
        <v>9.77</v>
      </c>
      <c r="AF1020" s="21" t="s">
        <v>304</v>
      </c>
      <c r="AG1020" s="21" t="s">
        <v>303</v>
      </c>
    </row>
    <row r="1021" spans="1:33">
      <c r="A1021" s="21" t="s">
        <v>143</v>
      </c>
      <c r="B1021" s="21" t="s">
        <v>380</v>
      </c>
      <c r="C1021" s="25">
        <v>46111.645833333336</v>
      </c>
      <c r="D1021" s="21" t="s">
        <v>228</v>
      </c>
      <c r="E1021" s="24">
        <v>6.42</v>
      </c>
      <c r="F1021" s="24">
        <v>9.11</v>
      </c>
      <c r="G1021" s="24">
        <f>E1021-F1021</f>
        <v>-2.6899999999999995</v>
      </c>
      <c r="H1021" s="21" t="s">
        <v>294</v>
      </c>
      <c r="I1021" s="21">
        <v>0</v>
      </c>
      <c r="J1021" s="21">
        <v>7</v>
      </c>
      <c r="K1021" s="21">
        <v>5</v>
      </c>
      <c r="L1021" s="21">
        <v>4</v>
      </c>
      <c r="M1021" s="21">
        <v>6</v>
      </c>
      <c r="N1021" s="21">
        <v>6</v>
      </c>
      <c r="O1021" s="21">
        <v>7</v>
      </c>
      <c r="P1021" s="24">
        <f>J1021+L1021+N1021</f>
        <v>17</v>
      </c>
      <c r="Q1021" s="24">
        <f>K1021+M1021+O1021</f>
        <v>18</v>
      </c>
      <c r="R1021" s="24">
        <v>0.44654088050314467</v>
      </c>
      <c r="S1021" s="21" t="s">
        <v>331</v>
      </c>
      <c r="U1021" s="21" t="s">
        <v>287</v>
      </c>
      <c r="V1021" s="21" t="s">
        <v>286</v>
      </c>
      <c r="W1021" s="21">
        <v>3</v>
      </c>
      <c r="X1021" s="21" t="s">
        <v>285</v>
      </c>
      <c r="Y1021" s="21" t="s">
        <v>318</v>
      </c>
      <c r="Z1021" s="21" t="s">
        <v>317</v>
      </c>
      <c r="AA1021" s="21" t="s">
        <v>143</v>
      </c>
      <c r="AB1021" s="21">
        <v>1</v>
      </c>
      <c r="AD1021" s="24">
        <v>7.19</v>
      </c>
      <c r="AE1021" s="24">
        <v>8.76</v>
      </c>
      <c r="AF1021" s="21" t="s">
        <v>304</v>
      </c>
      <c r="AG1021" s="21" t="s">
        <v>341</v>
      </c>
    </row>
    <row r="1022" spans="1:33">
      <c r="A1022" s="21" t="s">
        <v>143</v>
      </c>
      <c r="B1022" s="21" t="s">
        <v>380</v>
      </c>
      <c r="C1022" s="25">
        <v>46112.333333333336</v>
      </c>
      <c r="D1022" s="21" t="s">
        <v>61</v>
      </c>
      <c r="E1022" s="24">
        <v>6.4</v>
      </c>
      <c r="F1022" s="24">
        <v>6.41</v>
      </c>
      <c r="G1022" s="24">
        <f>E1022-F1022</f>
        <v>-9.9999999999997868E-3</v>
      </c>
      <c r="H1022" s="21" t="s">
        <v>289</v>
      </c>
      <c r="I1022" s="21">
        <v>1</v>
      </c>
      <c r="J1022" s="21">
        <v>6</v>
      </c>
      <c r="K1022" s="21">
        <v>3</v>
      </c>
      <c r="L1022" s="21">
        <v>7</v>
      </c>
      <c r="M1022" s="21">
        <v>6</v>
      </c>
      <c r="P1022" s="24">
        <f>J1022+L1022+N1022</f>
        <v>13</v>
      </c>
      <c r="Q1022" s="24">
        <f>K1022+M1022+O1022</f>
        <v>9</v>
      </c>
      <c r="R1022" s="24">
        <v>0.56462585034013602</v>
      </c>
      <c r="S1022" s="21" t="s">
        <v>179</v>
      </c>
      <c r="U1022" s="21" t="s">
        <v>287</v>
      </c>
      <c r="V1022" s="21" t="s">
        <v>286</v>
      </c>
      <c r="W1022" s="21">
        <v>4</v>
      </c>
      <c r="X1022" s="21" t="s">
        <v>285</v>
      </c>
      <c r="Y1022" s="21" t="s">
        <v>318</v>
      </c>
      <c r="Z1022" s="21" t="s">
        <v>317</v>
      </c>
      <c r="AA1022" s="21" t="s">
        <v>143</v>
      </c>
      <c r="AB1022" s="21">
        <v>1</v>
      </c>
      <c r="AD1022" s="24">
        <v>7.19</v>
      </c>
      <c r="AE1022" s="24">
        <v>6.95</v>
      </c>
      <c r="AF1022" s="21" t="s">
        <v>304</v>
      </c>
      <c r="AG1022" s="21" t="s">
        <v>303</v>
      </c>
    </row>
    <row r="1023" spans="1:33">
      <c r="A1023" s="21" t="s">
        <v>143</v>
      </c>
      <c r="B1023" s="21" t="s">
        <v>380</v>
      </c>
      <c r="C1023" s="25">
        <v>46119.645833333336</v>
      </c>
      <c r="D1023" s="21" t="s">
        <v>107</v>
      </c>
      <c r="E1023" s="24">
        <v>6.48</v>
      </c>
      <c r="F1023" s="24">
        <v>5.68</v>
      </c>
      <c r="G1023" s="24">
        <f>E1023-F1023</f>
        <v>0.80000000000000071</v>
      </c>
      <c r="H1023" s="21" t="s">
        <v>289</v>
      </c>
      <c r="I1023" s="21">
        <v>1</v>
      </c>
      <c r="J1023" s="21">
        <v>6</v>
      </c>
      <c r="K1023" s="21">
        <v>3</v>
      </c>
      <c r="L1023" s="21">
        <v>6</v>
      </c>
      <c r="M1023" s="21">
        <v>0</v>
      </c>
      <c r="P1023" s="24">
        <f>J1023+L1023+N1023</f>
        <v>12</v>
      </c>
      <c r="Q1023" s="24">
        <f>K1023+M1023+O1023</f>
        <v>3</v>
      </c>
      <c r="R1023" s="24">
        <v>0.8</v>
      </c>
      <c r="S1023" s="21" t="s">
        <v>158</v>
      </c>
      <c r="U1023" s="21" t="s">
        <v>287</v>
      </c>
      <c r="V1023" s="21" t="s">
        <v>286</v>
      </c>
      <c r="W1023" s="21">
        <v>5</v>
      </c>
      <c r="X1023" s="21" t="s">
        <v>285</v>
      </c>
      <c r="Y1023" s="21" t="s">
        <v>318</v>
      </c>
      <c r="Z1023" s="21" t="s">
        <v>317</v>
      </c>
      <c r="AA1023" s="21" t="s">
        <v>143</v>
      </c>
      <c r="AB1023" s="21">
        <v>1</v>
      </c>
      <c r="AD1023" s="24">
        <v>7.19</v>
      </c>
      <c r="AE1023" s="24">
        <v>6</v>
      </c>
      <c r="AF1023" s="21" t="s">
        <v>302</v>
      </c>
      <c r="AG1023" s="21" t="s">
        <v>301</v>
      </c>
    </row>
    <row r="1024" spans="1:33">
      <c r="A1024" s="21" t="s">
        <v>143</v>
      </c>
      <c r="B1024" s="21" t="s">
        <v>380</v>
      </c>
      <c r="C1024" s="25">
        <v>46121.625</v>
      </c>
      <c r="D1024" s="21" t="s">
        <v>309</v>
      </c>
      <c r="E1024" s="24">
        <v>6.48</v>
      </c>
      <c r="F1024" s="24">
        <v>3.63</v>
      </c>
      <c r="G1024" s="24">
        <f>E1024-F1024</f>
        <v>2.8500000000000005</v>
      </c>
      <c r="H1024" s="21" t="s">
        <v>289</v>
      </c>
      <c r="I1024" s="21">
        <v>1</v>
      </c>
      <c r="J1024" s="21">
        <v>6</v>
      </c>
      <c r="K1024" s="21">
        <v>0</v>
      </c>
      <c r="L1024" s="21">
        <v>6</v>
      </c>
      <c r="M1024" s="21">
        <v>0</v>
      </c>
      <c r="P1024" s="24">
        <f>J1024+L1024+N1024</f>
        <v>12</v>
      </c>
      <c r="Q1024" s="24">
        <f>K1024+M1024+O1024</f>
        <v>0</v>
      </c>
      <c r="R1024" s="24">
        <v>1</v>
      </c>
      <c r="S1024" s="21" t="s">
        <v>382</v>
      </c>
      <c r="U1024" s="21" t="s">
        <v>287</v>
      </c>
      <c r="V1024" s="21" t="s">
        <v>286</v>
      </c>
      <c r="W1024" s="21">
        <v>6</v>
      </c>
      <c r="X1024" s="21" t="s">
        <v>285</v>
      </c>
      <c r="Y1024" s="21" t="s">
        <v>318</v>
      </c>
      <c r="Z1024" s="21" t="s">
        <v>317</v>
      </c>
      <c r="AA1024" s="21" t="s">
        <v>143</v>
      </c>
      <c r="AB1024" s="21">
        <v>1</v>
      </c>
      <c r="AD1024" s="24">
        <v>7.19</v>
      </c>
      <c r="AE1024" s="24">
        <v>4.22</v>
      </c>
      <c r="AF1024" s="21" t="s">
        <v>302</v>
      </c>
      <c r="AG1024" s="21" t="s">
        <v>301</v>
      </c>
    </row>
    <row r="1025" spans="1:33">
      <c r="A1025" s="21" t="s">
        <v>143</v>
      </c>
      <c r="B1025" s="21" t="s">
        <v>380</v>
      </c>
      <c r="C1025" s="25">
        <v>46122.645833333336</v>
      </c>
      <c r="D1025" s="21" t="s">
        <v>65</v>
      </c>
      <c r="E1025" s="24">
        <v>6.48</v>
      </c>
      <c r="F1025" s="24">
        <v>7.14</v>
      </c>
      <c r="G1025" s="24">
        <f>E1025-F1025</f>
        <v>-0.65999999999999925</v>
      </c>
      <c r="H1025" s="21" t="s">
        <v>294</v>
      </c>
      <c r="I1025" s="21">
        <v>0</v>
      </c>
      <c r="J1025" s="21">
        <v>1</v>
      </c>
      <c r="K1025" s="21">
        <v>6</v>
      </c>
      <c r="L1025" s="21">
        <v>4</v>
      </c>
      <c r="M1025" s="21">
        <v>6</v>
      </c>
      <c r="P1025" s="24">
        <f>J1025+L1025+N1025</f>
        <v>5</v>
      </c>
      <c r="Q1025" s="24">
        <f>K1025+M1025+O1025</f>
        <v>12</v>
      </c>
      <c r="R1025" s="24">
        <v>0.29411764705882354</v>
      </c>
      <c r="S1025" s="21" t="s">
        <v>132</v>
      </c>
      <c r="U1025" s="21" t="s">
        <v>287</v>
      </c>
      <c r="V1025" s="21" t="s">
        <v>286</v>
      </c>
      <c r="W1025" s="21">
        <v>7</v>
      </c>
      <c r="X1025" s="21" t="s">
        <v>285</v>
      </c>
      <c r="Y1025" s="21" t="s">
        <v>318</v>
      </c>
      <c r="Z1025" s="21" t="s">
        <v>317</v>
      </c>
      <c r="AA1025" s="21" t="s">
        <v>143</v>
      </c>
      <c r="AB1025" s="21">
        <v>1</v>
      </c>
      <c r="AD1025" s="24">
        <v>7.19</v>
      </c>
      <c r="AE1025" s="24">
        <v>8.31</v>
      </c>
      <c r="AF1025" s="21" t="s">
        <v>304</v>
      </c>
      <c r="AG1025" s="21" t="s">
        <v>341</v>
      </c>
    </row>
    <row r="1026" spans="1:33">
      <c r="A1026" s="21" t="s">
        <v>143</v>
      </c>
      <c r="B1026" s="21" t="s">
        <v>380</v>
      </c>
      <c r="C1026" s="25">
        <v>46133.645833333336</v>
      </c>
      <c r="D1026" s="21" t="s">
        <v>28</v>
      </c>
      <c r="E1026" s="24">
        <v>6.55</v>
      </c>
      <c r="F1026" s="24">
        <v>8.32</v>
      </c>
      <c r="G1026" s="24">
        <f>E1026-F1026</f>
        <v>-1.7700000000000005</v>
      </c>
      <c r="H1026" s="21" t="s">
        <v>294</v>
      </c>
      <c r="I1026" s="21">
        <v>0</v>
      </c>
      <c r="J1026" s="21">
        <v>3</v>
      </c>
      <c r="K1026" s="21">
        <v>6</v>
      </c>
      <c r="L1026" s="21">
        <v>6</v>
      </c>
      <c r="M1026" s="21">
        <v>2</v>
      </c>
      <c r="N1026" s="21">
        <v>2</v>
      </c>
      <c r="O1026" s="21">
        <v>6</v>
      </c>
      <c r="P1026" s="24">
        <f>J1026+L1026+N1026</f>
        <v>11</v>
      </c>
      <c r="Q1026" s="24">
        <f>K1026+M1026+O1026</f>
        <v>14</v>
      </c>
      <c r="R1026" s="24">
        <v>0.44</v>
      </c>
      <c r="S1026" s="21" t="s">
        <v>299</v>
      </c>
      <c r="U1026" s="21" t="s">
        <v>287</v>
      </c>
      <c r="V1026" s="21" t="s">
        <v>286</v>
      </c>
      <c r="W1026" s="21">
        <v>8</v>
      </c>
      <c r="X1026" s="21" t="s">
        <v>285</v>
      </c>
      <c r="Y1026" s="21" t="s">
        <v>318</v>
      </c>
      <c r="Z1026" s="21" t="s">
        <v>317</v>
      </c>
      <c r="AA1026" s="21" t="s">
        <v>143</v>
      </c>
      <c r="AB1026" s="21">
        <v>1</v>
      </c>
      <c r="AD1026" s="24">
        <v>7.19</v>
      </c>
      <c r="AE1026" s="24">
        <v>8.57</v>
      </c>
      <c r="AF1026" s="21" t="s">
        <v>304</v>
      </c>
      <c r="AG1026" s="21" t="s">
        <v>303</v>
      </c>
    </row>
    <row r="1027" spans="1:33">
      <c r="A1027" s="21" t="s">
        <v>143</v>
      </c>
      <c r="B1027" s="21" t="s">
        <v>380</v>
      </c>
      <c r="C1027" s="25">
        <v>46141.577777777777</v>
      </c>
      <c r="D1027" s="21" t="s">
        <v>381</v>
      </c>
      <c r="E1027" s="24">
        <v>6.58</v>
      </c>
      <c r="F1027" s="24">
        <v>5.41</v>
      </c>
      <c r="G1027" s="24">
        <f>E1027-F1027</f>
        <v>1.17</v>
      </c>
      <c r="H1027" s="21" t="s">
        <v>289</v>
      </c>
      <c r="I1027" s="21">
        <v>1</v>
      </c>
      <c r="J1027" s="21">
        <v>6</v>
      </c>
      <c r="K1027" s="21">
        <v>2</v>
      </c>
      <c r="L1027" s="21">
        <v>6</v>
      </c>
      <c r="M1027" s="21">
        <v>2</v>
      </c>
      <c r="P1027" s="24">
        <f>J1027+L1027+N1027</f>
        <v>12</v>
      </c>
      <c r="Q1027" s="24">
        <f>K1027+M1027+O1027</f>
        <v>4</v>
      </c>
      <c r="R1027" s="24">
        <v>0.75</v>
      </c>
      <c r="S1027" s="21" t="s">
        <v>29</v>
      </c>
      <c r="T1027" s="21" t="s">
        <v>298</v>
      </c>
      <c r="U1027" s="21" t="s">
        <v>292</v>
      </c>
      <c r="V1027" s="21" t="s">
        <v>286</v>
      </c>
      <c r="W1027" s="21">
        <v>9</v>
      </c>
      <c r="X1027" s="21" t="s">
        <v>285</v>
      </c>
      <c r="Y1027" s="21" t="s">
        <v>318</v>
      </c>
      <c r="Z1027" s="21" t="s">
        <v>317</v>
      </c>
      <c r="AA1027" s="21" t="s">
        <v>143</v>
      </c>
      <c r="AB1027" s="21">
        <v>1</v>
      </c>
      <c r="AD1027" s="24">
        <v>7.19</v>
      </c>
      <c r="AE1027" s="24">
        <v>5.41</v>
      </c>
      <c r="AF1027" s="21" t="s">
        <v>302</v>
      </c>
      <c r="AG1027" s="21" t="s">
        <v>301</v>
      </c>
    </row>
    <row r="1028" spans="1:33">
      <c r="A1028" s="21" t="s">
        <v>143</v>
      </c>
      <c r="B1028" s="21" t="s">
        <v>380</v>
      </c>
      <c r="C1028" s="25">
        <v>46141.586805555555</v>
      </c>
      <c r="D1028" s="21" t="s">
        <v>5</v>
      </c>
      <c r="E1028" s="24">
        <v>6.58</v>
      </c>
      <c r="F1028" s="24">
        <v>8.9600000000000009</v>
      </c>
      <c r="G1028" s="24">
        <f>E1028-F1028</f>
        <v>-2.3800000000000008</v>
      </c>
      <c r="H1028" s="21" t="s">
        <v>294</v>
      </c>
      <c r="I1028" s="21">
        <v>0</v>
      </c>
      <c r="J1028" s="21">
        <v>3</v>
      </c>
      <c r="K1028" s="21">
        <v>6</v>
      </c>
      <c r="L1028" s="21">
        <v>4</v>
      </c>
      <c r="M1028" s="21">
        <v>6</v>
      </c>
      <c r="P1028" s="24">
        <f>J1028+L1028+N1028</f>
        <v>7</v>
      </c>
      <c r="Q1028" s="24">
        <f>K1028+M1028+O1028</f>
        <v>12</v>
      </c>
      <c r="R1028" s="24">
        <v>0.36842105263157893</v>
      </c>
      <c r="S1028" s="21" t="s">
        <v>29</v>
      </c>
      <c r="T1028" s="21" t="s">
        <v>297</v>
      </c>
      <c r="U1028" s="21" t="s">
        <v>292</v>
      </c>
      <c r="V1028" s="21" t="s">
        <v>286</v>
      </c>
      <c r="W1028" s="21">
        <v>10</v>
      </c>
      <c r="X1028" s="21" t="s">
        <v>285</v>
      </c>
      <c r="Y1028" s="21" t="s">
        <v>318</v>
      </c>
      <c r="Z1028" s="21" t="s">
        <v>317</v>
      </c>
      <c r="AA1028" s="21" t="s">
        <v>143</v>
      </c>
      <c r="AB1028" s="21">
        <v>1</v>
      </c>
      <c r="AD1028" s="24">
        <v>7.19</v>
      </c>
      <c r="AE1028" s="24">
        <v>8.08</v>
      </c>
      <c r="AF1028" s="21" t="s">
        <v>304</v>
      </c>
      <c r="AG1028" s="21" t="s">
        <v>303</v>
      </c>
    </row>
    <row r="1029" spans="1:33">
      <c r="A1029" s="21" t="s">
        <v>143</v>
      </c>
      <c r="B1029" s="21" t="s">
        <v>380</v>
      </c>
      <c r="C1029" s="25">
        <v>46142.666666666664</v>
      </c>
      <c r="D1029" s="21" t="s">
        <v>37</v>
      </c>
      <c r="E1029" s="24">
        <v>6.58</v>
      </c>
      <c r="F1029" s="24">
        <v>10.16</v>
      </c>
      <c r="G1029" s="24">
        <f>E1029-F1029</f>
        <v>-3.58</v>
      </c>
      <c r="H1029" s="21" t="s">
        <v>294</v>
      </c>
      <c r="I1029" s="21">
        <v>0</v>
      </c>
      <c r="J1029" s="21">
        <v>0</v>
      </c>
      <c r="K1029" s="21">
        <v>6</v>
      </c>
      <c r="L1029" s="21">
        <v>0</v>
      </c>
      <c r="M1029" s="21">
        <v>6</v>
      </c>
      <c r="P1029" s="24">
        <f>J1029+L1029+N1029</f>
        <v>0</v>
      </c>
      <c r="Q1029" s="24">
        <f>K1029+M1029+O1029</f>
        <v>12</v>
      </c>
      <c r="R1029" s="24">
        <v>0</v>
      </c>
      <c r="S1029" s="21" t="s">
        <v>24</v>
      </c>
      <c r="U1029" s="21" t="s">
        <v>287</v>
      </c>
      <c r="V1029" s="21" t="s">
        <v>286</v>
      </c>
      <c r="W1029" s="21">
        <v>11</v>
      </c>
      <c r="X1029" s="21" t="s">
        <v>285</v>
      </c>
      <c r="Y1029" s="21" t="s">
        <v>318</v>
      </c>
      <c r="Z1029" s="21" t="s">
        <v>317</v>
      </c>
      <c r="AA1029" s="21" t="s">
        <v>143</v>
      </c>
      <c r="AB1029" s="21">
        <v>1</v>
      </c>
      <c r="AD1029" s="24">
        <v>7.19</v>
      </c>
      <c r="AE1029" s="24">
        <v>10.06</v>
      </c>
      <c r="AF1029" s="21" t="s">
        <v>304</v>
      </c>
      <c r="AG1029" s="21" t="s">
        <v>303</v>
      </c>
    </row>
    <row r="1030" spans="1:33">
      <c r="A1030" s="21" t="s">
        <v>131</v>
      </c>
      <c r="B1030" s="21" t="s">
        <v>376</v>
      </c>
      <c r="C1030" s="25">
        <v>46090.645833333336</v>
      </c>
      <c r="D1030" s="21" t="s">
        <v>247</v>
      </c>
      <c r="E1030" s="24">
        <v>5.73</v>
      </c>
      <c r="F1030" s="24">
        <v>5.72</v>
      </c>
      <c r="G1030" s="24">
        <f>E1030-F1030</f>
        <v>1.0000000000000675E-2</v>
      </c>
      <c r="H1030" s="21" t="s">
        <v>289</v>
      </c>
      <c r="I1030" s="21">
        <v>1</v>
      </c>
      <c r="J1030" s="21">
        <v>6</v>
      </c>
      <c r="K1030" s="21">
        <v>3</v>
      </c>
      <c r="L1030" s="21">
        <v>6</v>
      </c>
      <c r="M1030" s="21">
        <v>4</v>
      </c>
      <c r="P1030" s="24">
        <f>J1030+L1030+N1030</f>
        <v>12</v>
      </c>
      <c r="Q1030" s="24">
        <f>K1030+M1030+O1030</f>
        <v>7</v>
      </c>
      <c r="R1030" s="24">
        <v>0.63157894736842102</v>
      </c>
      <c r="S1030" s="21" t="s">
        <v>379</v>
      </c>
      <c r="U1030" s="21" t="s">
        <v>287</v>
      </c>
      <c r="V1030" s="21" t="s">
        <v>286</v>
      </c>
      <c r="W1030" s="21">
        <v>0</v>
      </c>
      <c r="X1030" s="21" t="s">
        <v>312</v>
      </c>
      <c r="Y1030" s="21" t="s">
        <v>284</v>
      </c>
      <c r="Z1030" s="21" t="s">
        <v>283</v>
      </c>
      <c r="AA1030" s="21" t="s">
        <v>131</v>
      </c>
      <c r="AB1030" s="21">
        <v>1</v>
      </c>
      <c r="AD1030" s="24">
        <v>5.89</v>
      </c>
      <c r="AE1030" s="24">
        <v>5.39</v>
      </c>
      <c r="AF1030" s="21" t="s">
        <v>302</v>
      </c>
      <c r="AG1030" s="21" t="s">
        <v>301</v>
      </c>
    </row>
    <row r="1031" spans="1:33">
      <c r="A1031" s="21" t="s">
        <v>131</v>
      </c>
      <c r="B1031" s="21" t="s">
        <v>376</v>
      </c>
      <c r="C1031" s="25">
        <v>46094.645833333336</v>
      </c>
      <c r="D1031" s="21" t="s">
        <v>115</v>
      </c>
      <c r="E1031" s="24">
        <v>5.75</v>
      </c>
      <c r="F1031" s="24">
        <v>4.9800000000000004</v>
      </c>
      <c r="G1031" s="24">
        <f>E1031-F1031</f>
        <v>0.76999999999999957</v>
      </c>
      <c r="H1031" s="21" t="s">
        <v>289</v>
      </c>
      <c r="I1031" s="21">
        <v>1</v>
      </c>
      <c r="J1031" s="21">
        <v>4</v>
      </c>
      <c r="K1031" s="21">
        <v>6</v>
      </c>
      <c r="L1031" s="21">
        <v>6</v>
      </c>
      <c r="M1031" s="21">
        <v>4</v>
      </c>
      <c r="N1031" s="21">
        <v>6</v>
      </c>
      <c r="O1031" s="21">
        <v>3</v>
      </c>
      <c r="P1031" s="24">
        <f>J1031+L1031+N1031</f>
        <v>16</v>
      </c>
      <c r="Q1031" s="24">
        <f>K1031+M1031+O1031</f>
        <v>13</v>
      </c>
      <c r="R1031" s="24">
        <v>0.55172413793103448</v>
      </c>
      <c r="S1031" s="21" t="s">
        <v>245</v>
      </c>
      <c r="U1031" s="21" t="s">
        <v>287</v>
      </c>
      <c r="V1031" s="21" t="s">
        <v>286</v>
      </c>
      <c r="W1031" s="21">
        <v>2</v>
      </c>
      <c r="X1031" s="21" t="s">
        <v>310</v>
      </c>
      <c r="Y1031" s="21" t="s">
        <v>284</v>
      </c>
      <c r="Z1031" s="21" t="s">
        <v>283</v>
      </c>
      <c r="AA1031" s="21" t="s">
        <v>131</v>
      </c>
      <c r="AB1031" s="21">
        <v>1</v>
      </c>
      <c r="AD1031" s="24">
        <v>5.89</v>
      </c>
      <c r="AE1031" s="24">
        <v>5.45</v>
      </c>
      <c r="AF1031" s="21" t="s">
        <v>302</v>
      </c>
      <c r="AG1031" s="21" t="s">
        <v>301</v>
      </c>
    </row>
    <row r="1032" spans="1:33">
      <c r="A1032" s="21" t="s">
        <v>131</v>
      </c>
      <c r="B1032" s="21" t="s">
        <v>376</v>
      </c>
      <c r="C1032" s="25">
        <v>46099.458333333336</v>
      </c>
      <c r="D1032" s="21" t="s">
        <v>184</v>
      </c>
      <c r="E1032" s="24">
        <v>5.8</v>
      </c>
      <c r="F1032" s="24">
        <v>4.38</v>
      </c>
      <c r="G1032" s="24">
        <f>E1032-F1032</f>
        <v>1.42</v>
      </c>
      <c r="H1032" s="21" t="s">
        <v>289</v>
      </c>
      <c r="I1032" s="21">
        <v>1</v>
      </c>
      <c r="J1032" s="21">
        <v>7</v>
      </c>
      <c r="K1032" s="21">
        <v>5</v>
      </c>
      <c r="L1032" s="21">
        <v>6</v>
      </c>
      <c r="M1032" s="21">
        <v>0</v>
      </c>
      <c r="P1032" s="24">
        <f>J1032+L1032+N1032</f>
        <v>13</v>
      </c>
      <c r="Q1032" s="24">
        <f>K1032+M1032+O1032</f>
        <v>5</v>
      </c>
      <c r="R1032" s="24">
        <v>0.72222222222222221</v>
      </c>
      <c r="S1032" s="21" t="s">
        <v>231</v>
      </c>
      <c r="U1032" s="21" t="s">
        <v>287</v>
      </c>
      <c r="V1032" s="21" t="s">
        <v>286</v>
      </c>
      <c r="W1032" s="21">
        <v>3</v>
      </c>
      <c r="X1032" s="21" t="s">
        <v>285</v>
      </c>
      <c r="Y1032" s="21" t="s">
        <v>284</v>
      </c>
      <c r="Z1032" s="21" t="s">
        <v>283</v>
      </c>
      <c r="AA1032" s="21" t="s">
        <v>131</v>
      </c>
      <c r="AB1032" s="21">
        <v>1</v>
      </c>
      <c r="AD1032" s="24">
        <v>5.89</v>
      </c>
      <c r="AE1032" s="24">
        <v>4.84</v>
      </c>
      <c r="AF1032" s="21" t="s">
        <v>322</v>
      </c>
      <c r="AG1032" s="21" t="s">
        <v>301</v>
      </c>
    </row>
    <row r="1033" spans="1:33">
      <c r="A1033" s="21" t="s">
        <v>131</v>
      </c>
      <c r="B1033" s="21" t="s">
        <v>376</v>
      </c>
      <c r="C1033" s="25">
        <v>46100.645833333336</v>
      </c>
      <c r="D1033" s="21" t="s">
        <v>206</v>
      </c>
      <c r="E1033" s="24">
        <v>5.8</v>
      </c>
      <c r="F1033" s="24">
        <v>5.95</v>
      </c>
      <c r="G1033" s="24">
        <f>E1033-F1033</f>
        <v>-0.15000000000000036</v>
      </c>
      <c r="H1033" s="21" t="s">
        <v>289</v>
      </c>
      <c r="I1033" s="21">
        <v>1</v>
      </c>
      <c r="J1033" s="21">
        <v>6</v>
      </c>
      <c r="K1033" s="21">
        <v>3</v>
      </c>
      <c r="L1033" s="21">
        <v>6</v>
      </c>
      <c r="M1033" s="21">
        <v>0</v>
      </c>
      <c r="P1033" s="24">
        <f>J1033+L1033+N1033</f>
        <v>12</v>
      </c>
      <c r="Q1033" s="24">
        <f>K1033+M1033+O1033</f>
        <v>3</v>
      </c>
      <c r="R1033" s="24">
        <v>0.8</v>
      </c>
      <c r="S1033" s="21" t="s">
        <v>225</v>
      </c>
      <c r="U1033" s="21" t="s">
        <v>287</v>
      </c>
      <c r="V1033" s="21" t="s">
        <v>286</v>
      </c>
      <c r="W1033" s="21">
        <v>4</v>
      </c>
      <c r="X1033" s="21" t="s">
        <v>285</v>
      </c>
      <c r="Y1033" s="21" t="s">
        <v>284</v>
      </c>
      <c r="Z1033" s="21" t="s">
        <v>283</v>
      </c>
      <c r="AA1033" s="21" t="s">
        <v>131</v>
      </c>
      <c r="AB1033" s="21">
        <v>1</v>
      </c>
      <c r="AD1033" s="24">
        <v>5.89</v>
      </c>
      <c r="AE1033" s="24">
        <v>5.62</v>
      </c>
      <c r="AF1033" s="21" t="s">
        <v>322</v>
      </c>
      <c r="AG1033" s="21" t="s">
        <v>301</v>
      </c>
    </row>
    <row r="1034" spans="1:33">
      <c r="A1034" s="21" t="s">
        <v>131</v>
      </c>
      <c r="B1034" s="21" t="s">
        <v>376</v>
      </c>
      <c r="C1034" s="25">
        <v>46105.645833333336</v>
      </c>
      <c r="D1034" s="21" t="s">
        <v>345</v>
      </c>
      <c r="E1034" s="24">
        <v>5.8</v>
      </c>
      <c r="F1034" s="24">
        <v>4.58</v>
      </c>
      <c r="G1034" s="24">
        <f>E1034-F1034</f>
        <v>1.2199999999999998</v>
      </c>
      <c r="H1034" s="21" t="s">
        <v>289</v>
      </c>
      <c r="I1034" s="21">
        <v>1</v>
      </c>
      <c r="J1034" s="21">
        <v>6</v>
      </c>
      <c r="K1034" s="21">
        <v>1</v>
      </c>
      <c r="L1034" s="21">
        <v>6</v>
      </c>
      <c r="M1034" s="21">
        <v>0</v>
      </c>
      <c r="P1034" s="24">
        <f>J1034+L1034+N1034</f>
        <v>12</v>
      </c>
      <c r="Q1034" s="24">
        <f>K1034+M1034+O1034</f>
        <v>1</v>
      </c>
      <c r="R1034" s="24">
        <v>0.92307692307692313</v>
      </c>
      <c r="S1034" s="21" t="s">
        <v>217</v>
      </c>
      <c r="U1034" s="21" t="s">
        <v>287</v>
      </c>
      <c r="V1034" s="21" t="s">
        <v>286</v>
      </c>
      <c r="W1034" s="21">
        <v>5</v>
      </c>
      <c r="X1034" s="21" t="s">
        <v>285</v>
      </c>
      <c r="Y1034" s="21" t="s">
        <v>284</v>
      </c>
      <c r="Z1034" s="21" t="s">
        <v>283</v>
      </c>
      <c r="AA1034" s="21" t="s">
        <v>131</v>
      </c>
      <c r="AB1034" s="21">
        <v>1</v>
      </c>
      <c r="AD1034" s="24">
        <v>5.89</v>
      </c>
      <c r="AE1034" s="24">
        <v>4.58</v>
      </c>
      <c r="AF1034" s="21" t="s">
        <v>322</v>
      </c>
      <c r="AG1034" s="21" t="s">
        <v>301</v>
      </c>
    </row>
    <row r="1035" spans="1:33">
      <c r="A1035" s="21" t="s">
        <v>131</v>
      </c>
      <c r="B1035" s="21" t="s">
        <v>376</v>
      </c>
      <c r="C1035" s="25">
        <v>46106.645833333336</v>
      </c>
      <c r="D1035" s="21" t="s">
        <v>10</v>
      </c>
      <c r="E1035" s="24">
        <v>5.8</v>
      </c>
      <c r="F1035" s="24">
        <v>7.15</v>
      </c>
      <c r="G1035" s="24">
        <f>E1035-F1035</f>
        <v>-1.3500000000000005</v>
      </c>
      <c r="H1035" s="21" t="s">
        <v>294</v>
      </c>
      <c r="I1035" s="21">
        <v>0</v>
      </c>
      <c r="J1035" s="21">
        <v>1</v>
      </c>
      <c r="K1035" s="21">
        <v>6</v>
      </c>
      <c r="L1035" s="21">
        <v>2</v>
      </c>
      <c r="M1035" s="21">
        <v>6</v>
      </c>
      <c r="P1035" s="24">
        <f>J1035+L1035+N1035</f>
        <v>3</v>
      </c>
      <c r="Q1035" s="24">
        <f>K1035+M1035+O1035</f>
        <v>12</v>
      </c>
      <c r="R1035" s="24">
        <v>0.2</v>
      </c>
      <c r="S1035" s="21" t="s">
        <v>209</v>
      </c>
      <c r="U1035" s="21" t="s">
        <v>287</v>
      </c>
      <c r="V1035" s="21" t="s">
        <v>286</v>
      </c>
      <c r="W1035" s="21">
        <v>7</v>
      </c>
      <c r="X1035" s="21" t="s">
        <v>285</v>
      </c>
      <c r="Y1035" s="21" t="s">
        <v>284</v>
      </c>
      <c r="Z1035" s="21" t="s">
        <v>283</v>
      </c>
      <c r="AA1035" s="21" t="s">
        <v>131</v>
      </c>
      <c r="AB1035" s="21">
        <v>1</v>
      </c>
      <c r="AD1035" s="24">
        <v>5.89</v>
      </c>
      <c r="AE1035" s="24">
        <v>6.85</v>
      </c>
      <c r="AF1035" s="21" t="s">
        <v>322</v>
      </c>
      <c r="AG1035" s="21" t="s">
        <v>301</v>
      </c>
    </row>
    <row r="1036" spans="1:33">
      <c r="A1036" s="21" t="s">
        <v>131</v>
      </c>
      <c r="B1036" s="21" t="s">
        <v>376</v>
      </c>
      <c r="C1036" s="25">
        <v>46108.645833333336</v>
      </c>
      <c r="D1036" s="21" t="s">
        <v>34</v>
      </c>
      <c r="E1036" s="24">
        <v>5.8</v>
      </c>
      <c r="F1036" s="24">
        <v>4.97</v>
      </c>
      <c r="G1036" s="24">
        <f>E1036-F1036</f>
        <v>0.83000000000000007</v>
      </c>
      <c r="H1036" s="21" t="s">
        <v>289</v>
      </c>
      <c r="I1036" s="21">
        <v>1</v>
      </c>
      <c r="J1036" s="21">
        <v>6</v>
      </c>
      <c r="K1036" s="21">
        <v>2</v>
      </c>
      <c r="L1036" s="21">
        <v>6</v>
      </c>
      <c r="M1036" s="21">
        <v>3</v>
      </c>
      <c r="P1036" s="24">
        <f>J1036+L1036+N1036</f>
        <v>12</v>
      </c>
      <c r="Q1036" s="24">
        <f>K1036+M1036+O1036</f>
        <v>5</v>
      </c>
      <c r="R1036" s="24">
        <v>0.70588235294117652</v>
      </c>
      <c r="S1036" s="21" t="s">
        <v>192</v>
      </c>
      <c r="U1036" s="21" t="s">
        <v>287</v>
      </c>
      <c r="V1036" s="21" t="s">
        <v>286</v>
      </c>
      <c r="W1036" s="21">
        <v>8</v>
      </c>
      <c r="X1036" s="21" t="s">
        <v>285</v>
      </c>
      <c r="Y1036" s="21" t="s">
        <v>284</v>
      </c>
      <c r="Z1036" s="21" t="s">
        <v>283</v>
      </c>
      <c r="AA1036" s="21" t="s">
        <v>131</v>
      </c>
      <c r="AB1036" s="21">
        <v>1</v>
      </c>
      <c r="AD1036" s="24">
        <v>5.89</v>
      </c>
      <c r="AE1036" s="24">
        <v>5.24</v>
      </c>
      <c r="AF1036" s="21" t="s">
        <v>322</v>
      </c>
      <c r="AG1036" s="21" t="s">
        <v>301</v>
      </c>
    </row>
    <row r="1037" spans="1:33">
      <c r="A1037" s="21" t="s">
        <v>131</v>
      </c>
      <c r="B1037" s="21" t="s">
        <v>376</v>
      </c>
      <c r="C1037" s="25">
        <v>46119.645833333336</v>
      </c>
      <c r="D1037" s="21" t="s">
        <v>349</v>
      </c>
      <c r="E1037" s="24">
        <v>5.9</v>
      </c>
      <c r="F1037" s="24">
        <v>4.4000000000000004</v>
      </c>
      <c r="G1037" s="24">
        <f>E1037-F1037</f>
        <v>1.5</v>
      </c>
      <c r="H1037" s="21" t="s">
        <v>289</v>
      </c>
      <c r="I1037" s="21">
        <v>1</v>
      </c>
      <c r="J1037" s="21">
        <v>6</v>
      </c>
      <c r="K1037" s="21">
        <v>0</v>
      </c>
      <c r="L1037" s="21">
        <v>6</v>
      </c>
      <c r="M1037" s="21">
        <v>2</v>
      </c>
      <c r="P1037" s="24">
        <f>J1037+L1037+N1037</f>
        <v>12</v>
      </c>
      <c r="Q1037" s="24">
        <f>K1037+M1037+O1037</f>
        <v>2</v>
      </c>
      <c r="R1037" s="24">
        <v>0.8571428571428571</v>
      </c>
      <c r="S1037" s="21" t="s">
        <v>378</v>
      </c>
      <c r="U1037" s="21" t="s">
        <v>287</v>
      </c>
      <c r="V1037" s="21" t="s">
        <v>286</v>
      </c>
      <c r="W1037" s="21">
        <v>9</v>
      </c>
      <c r="X1037" s="21" t="s">
        <v>285</v>
      </c>
      <c r="Y1037" s="21" t="s">
        <v>284</v>
      </c>
      <c r="Z1037" s="21" t="s">
        <v>283</v>
      </c>
      <c r="AA1037" s="21" t="s">
        <v>131</v>
      </c>
      <c r="AB1037" s="21">
        <v>1</v>
      </c>
      <c r="AD1037" s="24">
        <v>5.89</v>
      </c>
      <c r="AE1037" s="24">
        <v>4.4000000000000004</v>
      </c>
      <c r="AF1037" s="21" t="s">
        <v>322</v>
      </c>
      <c r="AG1037" s="21" t="s">
        <v>301</v>
      </c>
    </row>
    <row r="1038" spans="1:33">
      <c r="A1038" s="21" t="s">
        <v>131</v>
      </c>
      <c r="B1038" s="21" t="s">
        <v>376</v>
      </c>
      <c r="C1038" s="25">
        <v>46122.645833333336</v>
      </c>
      <c r="D1038" s="21" t="s">
        <v>23</v>
      </c>
      <c r="E1038" s="24">
        <v>5.9</v>
      </c>
      <c r="F1038" s="24">
        <v>6.79</v>
      </c>
      <c r="G1038" s="24">
        <f>E1038-F1038</f>
        <v>-0.88999999999999968</v>
      </c>
      <c r="H1038" s="21" t="s">
        <v>294</v>
      </c>
      <c r="I1038" s="21">
        <v>0</v>
      </c>
      <c r="J1038" s="21">
        <v>6</v>
      </c>
      <c r="K1038" s="21">
        <v>7</v>
      </c>
      <c r="L1038" s="21">
        <v>0</v>
      </c>
      <c r="M1038" s="21">
        <v>6</v>
      </c>
      <c r="P1038" s="24">
        <f>J1038+L1038+N1038</f>
        <v>6</v>
      </c>
      <c r="Q1038" s="24">
        <f>K1038+M1038+O1038</f>
        <v>13</v>
      </c>
      <c r="R1038" s="24">
        <v>0.43537414965986393</v>
      </c>
      <c r="S1038" s="21" t="s">
        <v>132</v>
      </c>
      <c r="U1038" s="21" t="s">
        <v>287</v>
      </c>
      <c r="V1038" s="21" t="s">
        <v>286</v>
      </c>
      <c r="W1038" s="21">
        <v>10</v>
      </c>
      <c r="X1038" s="21" t="s">
        <v>285</v>
      </c>
      <c r="Y1038" s="21" t="s">
        <v>284</v>
      </c>
      <c r="Z1038" s="21" t="s">
        <v>283</v>
      </c>
      <c r="AA1038" s="21" t="s">
        <v>131</v>
      </c>
      <c r="AB1038" s="21">
        <v>1</v>
      </c>
      <c r="AD1038" s="24">
        <v>5.89</v>
      </c>
      <c r="AE1038" s="24">
        <v>7.11</v>
      </c>
      <c r="AF1038" s="21" t="s">
        <v>322</v>
      </c>
      <c r="AG1038" s="21" t="s">
        <v>301</v>
      </c>
    </row>
    <row r="1039" spans="1:33">
      <c r="A1039" s="21" t="s">
        <v>131</v>
      </c>
      <c r="B1039" s="21" t="s">
        <v>376</v>
      </c>
      <c r="C1039" s="25">
        <v>46131.777083333334</v>
      </c>
      <c r="D1039" s="21" t="s">
        <v>10</v>
      </c>
      <c r="E1039" s="24">
        <v>5.9</v>
      </c>
      <c r="F1039" s="24">
        <v>6.92</v>
      </c>
      <c r="G1039" s="24">
        <f>E1039-F1039</f>
        <v>-1.0199999999999996</v>
      </c>
      <c r="H1039" s="21" t="s">
        <v>294</v>
      </c>
      <c r="I1039" s="21">
        <v>0</v>
      </c>
      <c r="J1039" s="21">
        <v>1</v>
      </c>
      <c r="K1039" s="21">
        <v>6</v>
      </c>
      <c r="L1039" s="21">
        <v>2</v>
      </c>
      <c r="M1039" s="21">
        <v>6</v>
      </c>
      <c r="P1039" s="24">
        <f>J1039+L1039+N1039</f>
        <v>3</v>
      </c>
      <c r="Q1039" s="24">
        <f>K1039+M1039+O1039</f>
        <v>12</v>
      </c>
      <c r="R1039" s="24">
        <v>0.2</v>
      </c>
      <c r="S1039" s="21" t="s">
        <v>374</v>
      </c>
      <c r="U1039" s="21" t="s">
        <v>292</v>
      </c>
      <c r="V1039" s="21" t="s">
        <v>286</v>
      </c>
      <c r="W1039" s="21">
        <v>11</v>
      </c>
      <c r="X1039" s="21" t="s">
        <v>285</v>
      </c>
      <c r="Y1039" s="21" t="s">
        <v>284</v>
      </c>
      <c r="Z1039" s="21" t="s">
        <v>283</v>
      </c>
      <c r="AA1039" s="21" t="s">
        <v>131</v>
      </c>
      <c r="AB1039" s="21">
        <v>1</v>
      </c>
      <c r="AD1039" s="24">
        <v>5.89</v>
      </c>
      <c r="AE1039" s="24">
        <v>6.85</v>
      </c>
      <c r="AF1039" s="21" t="s">
        <v>302</v>
      </c>
      <c r="AG1039" s="21" t="s">
        <v>301</v>
      </c>
    </row>
    <row r="1040" spans="1:33">
      <c r="A1040" s="21" t="s">
        <v>131</v>
      </c>
      <c r="B1040" s="21" t="s">
        <v>376</v>
      </c>
      <c r="C1040" s="25">
        <v>46186</v>
      </c>
      <c r="D1040" s="21" t="s">
        <v>377</v>
      </c>
      <c r="E1040" s="24">
        <v>6.02</v>
      </c>
      <c r="F1040" s="24">
        <v>6.87</v>
      </c>
      <c r="G1040" s="24">
        <f>E1040-F1040</f>
        <v>-0.85000000000000053</v>
      </c>
      <c r="H1040" s="21" t="s">
        <v>294</v>
      </c>
      <c r="I1040" s="21">
        <v>0</v>
      </c>
      <c r="J1040" s="21">
        <v>2</v>
      </c>
      <c r="K1040" s="21">
        <v>6</v>
      </c>
      <c r="L1040" s="21">
        <v>2</v>
      </c>
      <c r="M1040" s="21">
        <v>6</v>
      </c>
      <c r="P1040" s="24">
        <f>J1040+L1040+N1040</f>
        <v>4</v>
      </c>
      <c r="Q1040" s="24">
        <f>K1040+M1040+O1040</f>
        <v>12</v>
      </c>
      <c r="R1040" s="24">
        <v>0.25</v>
      </c>
      <c r="S1040" s="21" t="s">
        <v>374</v>
      </c>
      <c r="T1040" s="21" t="s">
        <v>365</v>
      </c>
      <c r="U1040" s="21" t="s">
        <v>292</v>
      </c>
      <c r="V1040" s="21" t="s">
        <v>286</v>
      </c>
      <c r="W1040" s="21">
        <v>12</v>
      </c>
      <c r="X1040" s="21" t="s">
        <v>285</v>
      </c>
      <c r="Y1040" s="21" t="s">
        <v>284</v>
      </c>
      <c r="Z1040" s="21" t="s">
        <v>283</v>
      </c>
      <c r="AA1040" s="21" t="s">
        <v>131</v>
      </c>
      <c r="AB1040" s="21">
        <v>1</v>
      </c>
      <c r="AD1040" s="24">
        <v>5.89</v>
      </c>
      <c r="AE1040" s="24">
        <v>6.87</v>
      </c>
      <c r="AF1040" s="21" t="s">
        <v>302</v>
      </c>
      <c r="AG1040" s="21" t="s">
        <v>301</v>
      </c>
    </row>
    <row r="1041" spans="1:33">
      <c r="A1041" s="21" t="s">
        <v>131</v>
      </c>
      <c r="B1041" s="21" t="s">
        <v>376</v>
      </c>
      <c r="C1041" s="25">
        <v>46186</v>
      </c>
      <c r="D1041" s="21" t="s">
        <v>375</v>
      </c>
      <c r="E1041" s="24">
        <v>6.02</v>
      </c>
      <c r="F1041" s="24">
        <v>5.84</v>
      </c>
      <c r="G1041" s="24">
        <f>E1041-F1041</f>
        <v>0.17999999999999972</v>
      </c>
      <c r="H1041" s="21" t="s">
        <v>294</v>
      </c>
      <c r="I1041" s="21">
        <v>0</v>
      </c>
      <c r="J1041" s="21">
        <v>2</v>
      </c>
      <c r="K1041" s="21">
        <v>6</v>
      </c>
      <c r="L1041" s="21">
        <v>4</v>
      </c>
      <c r="M1041" s="21">
        <v>6</v>
      </c>
      <c r="P1041" s="24">
        <f>J1041+L1041+N1041</f>
        <v>6</v>
      </c>
      <c r="Q1041" s="24">
        <f>K1041+M1041+O1041</f>
        <v>12</v>
      </c>
      <c r="R1041" s="24">
        <v>0.33333333333333331</v>
      </c>
      <c r="S1041" s="21" t="s">
        <v>374</v>
      </c>
      <c r="U1041" s="21" t="s">
        <v>292</v>
      </c>
      <c r="V1041" s="21" t="s">
        <v>286</v>
      </c>
      <c r="W1041" s="21">
        <v>12</v>
      </c>
      <c r="X1041" s="21" t="s">
        <v>285</v>
      </c>
      <c r="Y1041" s="21" t="s">
        <v>284</v>
      </c>
      <c r="Z1041" s="21" t="s">
        <v>283</v>
      </c>
      <c r="AA1041" s="21" t="s">
        <v>131</v>
      </c>
      <c r="AB1041" s="21">
        <v>1</v>
      </c>
      <c r="AD1041" s="24">
        <v>5.89</v>
      </c>
      <c r="AE1041" s="24">
        <v>5.84</v>
      </c>
      <c r="AF1041" s="21" t="s">
        <v>302</v>
      </c>
      <c r="AG1041" s="21" t="s">
        <v>301</v>
      </c>
    </row>
    <row r="1042" spans="1:33">
      <c r="A1042" s="21" t="s">
        <v>6</v>
      </c>
      <c r="B1042" s="21" t="s">
        <v>350</v>
      </c>
      <c r="C1042" s="25">
        <v>46031</v>
      </c>
      <c r="D1042" s="21" t="s">
        <v>373</v>
      </c>
      <c r="E1042" s="24">
        <v>8.9700000000000006</v>
      </c>
      <c r="F1042" s="24">
        <v>10.29</v>
      </c>
      <c r="G1042" s="24">
        <f>E1042-F1042</f>
        <v>-1.3199999999999985</v>
      </c>
      <c r="H1042" s="21" t="s">
        <v>294</v>
      </c>
      <c r="I1042" s="21">
        <v>0</v>
      </c>
      <c r="J1042" s="21">
        <v>1</v>
      </c>
      <c r="K1042" s="21">
        <v>6</v>
      </c>
      <c r="L1042" s="21">
        <v>1</v>
      </c>
      <c r="M1042" s="21">
        <v>6</v>
      </c>
      <c r="P1042" s="24">
        <f>J1042+L1042+N1042</f>
        <v>2</v>
      </c>
      <c r="Q1042" s="24">
        <f>K1042+M1042+O1042</f>
        <v>12</v>
      </c>
      <c r="R1042" s="24">
        <v>0.14285714285714285</v>
      </c>
      <c r="S1042" s="21" t="s">
        <v>370</v>
      </c>
      <c r="T1042" s="21" t="s">
        <v>372</v>
      </c>
      <c r="U1042" s="21" t="s">
        <v>292</v>
      </c>
      <c r="V1042" s="21" t="s">
        <v>286</v>
      </c>
      <c r="W1042" s="21">
        <v>0</v>
      </c>
      <c r="X1042" s="21" t="s">
        <v>312</v>
      </c>
      <c r="Y1042" s="21" t="s">
        <v>318</v>
      </c>
      <c r="Z1042" s="21" t="s">
        <v>317</v>
      </c>
      <c r="AA1042" s="21" t="s">
        <v>6</v>
      </c>
      <c r="AB1042" s="21">
        <v>1</v>
      </c>
      <c r="AD1042" s="24">
        <v>8.9700000000000006</v>
      </c>
      <c r="AE1042" s="24">
        <v>10.29</v>
      </c>
      <c r="AF1042" s="21" t="s">
        <v>302</v>
      </c>
      <c r="AG1042" s="21" t="s">
        <v>301</v>
      </c>
    </row>
    <row r="1043" spans="1:33">
      <c r="A1043" s="21" t="s">
        <v>6</v>
      </c>
      <c r="B1043" s="21" t="s">
        <v>350</v>
      </c>
      <c r="C1043" s="25">
        <v>46031</v>
      </c>
      <c r="D1043" s="21" t="s">
        <v>371</v>
      </c>
      <c r="E1043" s="24">
        <v>8.9700000000000006</v>
      </c>
      <c r="F1043" s="24">
        <v>8.9700000000000006</v>
      </c>
      <c r="G1043" s="24">
        <f>E1043-F1043</f>
        <v>0</v>
      </c>
      <c r="H1043" s="21" t="s">
        <v>294</v>
      </c>
      <c r="I1043" s="21">
        <v>0</v>
      </c>
      <c r="J1043" s="21">
        <v>6</v>
      </c>
      <c r="K1043" s="21">
        <v>1</v>
      </c>
      <c r="L1043" s="21">
        <v>1</v>
      </c>
      <c r="M1043" s="21">
        <v>6</v>
      </c>
      <c r="N1043" s="21">
        <v>0</v>
      </c>
      <c r="O1043" s="21">
        <v>1</v>
      </c>
      <c r="P1043" s="24">
        <f>J1043+L1043+N1043</f>
        <v>7</v>
      </c>
      <c r="Q1043" s="24">
        <f>K1043+M1043+O1043</f>
        <v>8</v>
      </c>
      <c r="R1043" s="24">
        <v>9.3023255813953487E-2</v>
      </c>
      <c r="S1043" s="21" t="s">
        <v>370</v>
      </c>
      <c r="T1043" s="21" t="s">
        <v>298</v>
      </c>
      <c r="U1043" s="21" t="s">
        <v>292</v>
      </c>
      <c r="V1043" s="21" t="s">
        <v>286</v>
      </c>
      <c r="W1043" s="21">
        <v>0</v>
      </c>
      <c r="X1043" s="21" t="s">
        <v>312</v>
      </c>
      <c r="Y1043" s="21" t="s">
        <v>318</v>
      </c>
      <c r="Z1043" s="21" t="s">
        <v>317</v>
      </c>
      <c r="AA1043" s="21" t="s">
        <v>6</v>
      </c>
      <c r="AB1043" s="21">
        <v>1</v>
      </c>
      <c r="AD1043" s="24">
        <v>8.9700000000000006</v>
      </c>
      <c r="AE1043" s="24">
        <v>8.9700000000000006</v>
      </c>
      <c r="AF1043" s="21" t="s">
        <v>304</v>
      </c>
      <c r="AG1043" s="21" t="s">
        <v>303</v>
      </c>
    </row>
    <row r="1044" spans="1:33">
      <c r="A1044" s="21" t="s">
        <v>6</v>
      </c>
      <c r="B1044" s="21" t="s">
        <v>350</v>
      </c>
      <c r="C1044" s="25">
        <v>46074</v>
      </c>
      <c r="D1044" s="21" t="s">
        <v>369</v>
      </c>
      <c r="E1044" s="24">
        <v>8.9700000000000006</v>
      </c>
      <c r="F1044" s="24">
        <v>9.5299999999999994</v>
      </c>
      <c r="G1044" s="24">
        <f>E1044-F1044</f>
        <v>-0.55999999999999872</v>
      </c>
      <c r="H1044" s="21" t="s">
        <v>294</v>
      </c>
      <c r="I1044" s="21">
        <v>0</v>
      </c>
      <c r="J1044" s="21">
        <v>6</v>
      </c>
      <c r="K1044" s="21">
        <v>2</v>
      </c>
      <c r="L1044" s="21">
        <v>2</v>
      </c>
      <c r="M1044" s="21">
        <v>6</v>
      </c>
      <c r="N1044" s="21">
        <v>9</v>
      </c>
      <c r="O1044" s="21">
        <v>1</v>
      </c>
      <c r="P1044" s="24">
        <f>J1044+L1044+N1044</f>
        <v>17</v>
      </c>
      <c r="Q1044" s="24">
        <f>K1044+M1044+O1044</f>
        <v>9</v>
      </c>
      <c r="R1044" s="24">
        <v>9.9236641221374045E-2</v>
      </c>
      <c r="S1044" s="21" t="s">
        <v>367</v>
      </c>
      <c r="T1044" s="21" t="s">
        <v>296</v>
      </c>
      <c r="U1044" s="21" t="s">
        <v>292</v>
      </c>
      <c r="V1044" s="21" t="s">
        <v>286</v>
      </c>
      <c r="W1044" s="21">
        <v>2</v>
      </c>
      <c r="X1044" s="21" t="s">
        <v>310</v>
      </c>
      <c r="Y1044" s="21" t="s">
        <v>318</v>
      </c>
      <c r="Z1044" s="21" t="s">
        <v>317</v>
      </c>
      <c r="AA1044" s="21" t="s">
        <v>6</v>
      </c>
      <c r="AB1044" s="21">
        <v>1</v>
      </c>
      <c r="AD1044" s="24">
        <v>8.9700000000000006</v>
      </c>
      <c r="AE1044" s="24">
        <v>9.5299999999999994</v>
      </c>
      <c r="AF1044" s="21" t="s">
        <v>302</v>
      </c>
      <c r="AG1044" s="21" t="s">
        <v>301</v>
      </c>
    </row>
    <row r="1045" spans="1:33">
      <c r="A1045" s="21" t="s">
        <v>6</v>
      </c>
      <c r="B1045" s="21" t="s">
        <v>350</v>
      </c>
      <c r="C1045" s="25">
        <v>46074</v>
      </c>
      <c r="D1045" s="21" t="s">
        <v>368</v>
      </c>
      <c r="E1045" s="24">
        <v>8.9700000000000006</v>
      </c>
      <c r="F1045" s="24">
        <v>8.33</v>
      </c>
      <c r="G1045" s="24">
        <f>E1045-F1045</f>
        <v>0.64000000000000057</v>
      </c>
      <c r="H1045" s="21" t="s">
        <v>289</v>
      </c>
      <c r="I1045" s="21">
        <v>1</v>
      </c>
      <c r="J1045" s="21">
        <v>6</v>
      </c>
      <c r="K1045" s="21">
        <v>1</v>
      </c>
      <c r="L1045" s="21">
        <v>7</v>
      </c>
      <c r="M1045" s="21">
        <v>5</v>
      </c>
      <c r="P1045" s="24">
        <f>J1045+L1045+N1045</f>
        <v>13</v>
      </c>
      <c r="Q1045" s="24">
        <f>K1045+M1045+O1045</f>
        <v>6</v>
      </c>
      <c r="R1045" s="24">
        <v>0.68421052631578949</v>
      </c>
      <c r="S1045" s="21" t="s">
        <v>367</v>
      </c>
      <c r="T1045" s="21" t="s">
        <v>297</v>
      </c>
      <c r="U1045" s="21" t="s">
        <v>292</v>
      </c>
      <c r="V1045" s="21" t="s">
        <v>286</v>
      </c>
      <c r="W1045" s="21">
        <v>2</v>
      </c>
      <c r="X1045" s="21" t="s">
        <v>310</v>
      </c>
      <c r="Y1045" s="21" t="s">
        <v>318</v>
      </c>
      <c r="Z1045" s="21" t="s">
        <v>317</v>
      </c>
      <c r="AA1045" s="21" t="s">
        <v>6</v>
      </c>
      <c r="AB1045" s="21">
        <v>1</v>
      </c>
      <c r="AD1045" s="24">
        <v>8.9700000000000006</v>
      </c>
      <c r="AE1045" s="24">
        <v>8.33</v>
      </c>
      <c r="AF1045" s="21" t="s">
        <v>304</v>
      </c>
      <c r="AG1045" s="21" t="s">
        <v>303</v>
      </c>
    </row>
    <row r="1046" spans="1:33">
      <c r="A1046" s="21" t="s">
        <v>6</v>
      </c>
      <c r="B1046" s="21" t="s">
        <v>350</v>
      </c>
      <c r="C1046" s="25">
        <v>46081</v>
      </c>
      <c r="D1046" s="21" t="s">
        <v>366</v>
      </c>
      <c r="E1046" s="24">
        <v>8.9700000000000006</v>
      </c>
      <c r="F1046" s="24">
        <v>5.67</v>
      </c>
      <c r="G1046" s="24">
        <f>E1046-F1046</f>
        <v>3.3000000000000007</v>
      </c>
      <c r="H1046" s="21" t="s">
        <v>289</v>
      </c>
      <c r="I1046" s="21">
        <v>1</v>
      </c>
      <c r="J1046" s="21">
        <v>6</v>
      </c>
      <c r="K1046" s="21">
        <v>2</v>
      </c>
      <c r="L1046" s="21">
        <v>6</v>
      </c>
      <c r="M1046" s="21">
        <v>3</v>
      </c>
      <c r="P1046" s="24">
        <f>J1046+L1046+N1046</f>
        <v>12</v>
      </c>
      <c r="Q1046" s="24">
        <f>K1046+M1046+O1046</f>
        <v>5</v>
      </c>
      <c r="R1046" s="24">
        <v>0.70588235294117652</v>
      </c>
      <c r="S1046" s="21" t="s">
        <v>362</v>
      </c>
      <c r="T1046" s="21" t="s">
        <v>365</v>
      </c>
      <c r="U1046" s="21" t="s">
        <v>292</v>
      </c>
      <c r="V1046" s="21" t="s">
        <v>286</v>
      </c>
      <c r="W1046" s="21">
        <v>4</v>
      </c>
      <c r="X1046" s="21" t="s">
        <v>285</v>
      </c>
      <c r="Y1046" s="21" t="s">
        <v>318</v>
      </c>
      <c r="Z1046" s="21" t="s">
        <v>317</v>
      </c>
      <c r="AA1046" s="21" t="s">
        <v>6</v>
      </c>
      <c r="AB1046" s="21">
        <v>1</v>
      </c>
      <c r="AD1046" s="24">
        <v>8.9700000000000006</v>
      </c>
      <c r="AE1046" s="24">
        <v>5.67</v>
      </c>
      <c r="AF1046" s="21" t="s">
        <v>302</v>
      </c>
      <c r="AG1046" s="21" t="s">
        <v>301</v>
      </c>
    </row>
    <row r="1047" spans="1:33">
      <c r="A1047" s="21" t="s">
        <v>6</v>
      </c>
      <c r="B1047" s="21" t="s">
        <v>350</v>
      </c>
      <c r="C1047" s="25">
        <v>46081</v>
      </c>
      <c r="D1047" s="21" t="s">
        <v>364</v>
      </c>
      <c r="E1047" s="24">
        <v>8.9700000000000006</v>
      </c>
      <c r="F1047" s="24">
        <v>7.3</v>
      </c>
      <c r="G1047" s="24">
        <f>E1047-F1047</f>
        <v>1.6700000000000008</v>
      </c>
      <c r="H1047" s="21" t="s">
        <v>289</v>
      </c>
      <c r="I1047" s="21">
        <v>1</v>
      </c>
      <c r="J1047" s="21">
        <v>7</v>
      </c>
      <c r="K1047" s="21">
        <v>6</v>
      </c>
      <c r="L1047" s="21">
        <v>6</v>
      </c>
      <c r="M1047" s="21">
        <v>0</v>
      </c>
      <c r="P1047" s="24">
        <f>J1047+L1047+N1047</f>
        <v>13</v>
      </c>
      <c r="Q1047" s="24">
        <f>K1047+M1047+O1047</f>
        <v>6</v>
      </c>
      <c r="R1047" s="24">
        <v>0.56462585034013602</v>
      </c>
      <c r="S1047" s="21" t="s">
        <v>362</v>
      </c>
      <c r="T1047" s="21" t="s">
        <v>316</v>
      </c>
      <c r="U1047" s="21" t="s">
        <v>292</v>
      </c>
      <c r="V1047" s="21" t="s">
        <v>286</v>
      </c>
      <c r="W1047" s="21">
        <v>4</v>
      </c>
      <c r="X1047" s="21" t="s">
        <v>285</v>
      </c>
      <c r="Y1047" s="21" t="s">
        <v>318</v>
      </c>
      <c r="Z1047" s="21" t="s">
        <v>317</v>
      </c>
      <c r="AA1047" s="21" t="s">
        <v>6</v>
      </c>
      <c r="AB1047" s="21">
        <v>1</v>
      </c>
      <c r="AD1047" s="24">
        <v>8.9700000000000006</v>
      </c>
      <c r="AE1047" s="24">
        <v>7.3</v>
      </c>
      <c r="AF1047" s="21" t="s">
        <v>302</v>
      </c>
      <c r="AG1047" s="21" t="s">
        <v>301</v>
      </c>
    </row>
    <row r="1048" spans="1:33">
      <c r="A1048" s="21" t="s">
        <v>6</v>
      </c>
      <c r="B1048" s="21" t="s">
        <v>350</v>
      </c>
      <c r="C1048" s="25">
        <v>46081</v>
      </c>
      <c r="D1048" s="21" t="s">
        <v>363</v>
      </c>
      <c r="E1048" s="24">
        <v>8.9700000000000006</v>
      </c>
      <c r="F1048" s="24">
        <v>6.58</v>
      </c>
      <c r="G1048" s="24">
        <f>E1048-F1048</f>
        <v>2.3900000000000006</v>
      </c>
      <c r="H1048" s="21" t="s">
        <v>289</v>
      </c>
      <c r="I1048" s="21">
        <v>1</v>
      </c>
      <c r="J1048" s="21">
        <v>6</v>
      </c>
      <c r="K1048" s="21">
        <v>0</v>
      </c>
      <c r="L1048" s="21">
        <v>6</v>
      </c>
      <c r="M1048" s="21">
        <v>3</v>
      </c>
      <c r="P1048" s="24">
        <f>J1048+L1048+N1048</f>
        <v>12</v>
      </c>
      <c r="Q1048" s="24">
        <f>K1048+M1048+O1048</f>
        <v>3</v>
      </c>
      <c r="R1048" s="24">
        <v>0.8</v>
      </c>
      <c r="S1048" s="21" t="s">
        <v>362</v>
      </c>
      <c r="T1048" s="21" t="s">
        <v>313</v>
      </c>
      <c r="U1048" s="21" t="s">
        <v>292</v>
      </c>
      <c r="V1048" s="21" t="s">
        <v>286</v>
      </c>
      <c r="W1048" s="21">
        <v>4</v>
      </c>
      <c r="X1048" s="21" t="s">
        <v>285</v>
      </c>
      <c r="Y1048" s="21" t="s">
        <v>318</v>
      </c>
      <c r="Z1048" s="21" t="s">
        <v>317</v>
      </c>
      <c r="AA1048" s="21" t="s">
        <v>6</v>
      </c>
      <c r="AB1048" s="21">
        <v>1</v>
      </c>
      <c r="AD1048" s="24">
        <v>8.9700000000000006</v>
      </c>
      <c r="AE1048" s="24">
        <v>6.58</v>
      </c>
      <c r="AF1048" s="21" t="s">
        <v>304</v>
      </c>
      <c r="AG1048" s="21" t="s">
        <v>303</v>
      </c>
    </row>
    <row r="1049" spans="1:33">
      <c r="A1049" s="21" t="s">
        <v>6</v>
      </c>
      <c r="B1049" s="21" t="s">
        <v>350</v>
      </c>
      <c r="C1049" s="25">
        <v>46095</v>
      </c>
      <c r="D1049" s="21" t="s">
        <v>361</v>
      </c>
      <c r="E1049" s="24">
        <v>8.36</v>
      </c>
      <c r="F1049" s="24">
        <v>8.48</v>
      </c>
      <c r="G1049" s="24">
        <f>E1049-F1049</f>
        <v>-0.12000000000000099</v>
      </c>
      <c r="H1049" s="21" t="s">
        <v>289</v>
      </c>
      <c r="I1049" s="21">
        <v>1</v>
      </c>
      <c r="J1049" s="21">
        <v>5</v>
      </c>
      <c r="K1049" s="21">
        <v>7</v>
      </c>
      <c r="L1049" s="21">
        <v>6</v>
      </c>
      <c r="M1049" s="21">
        <v>1</v>
      </c>
      <c r="N1049" s="21">
        <v>1</v>
      </c>
      <c r="O1049" s="21">
        <v>0</v>
      </c>
      <c r="P1049" s="24">
        <f>J1049+L1049+N1049</f>
        <v>12</v>
      </c>
      <c r="Q1049" s="24">
        <f>K1049+M1049+O1049</f>
        <v>8</v>
      </c>
      <c r="R1049" s="24">
        <v>0.90977443609022557</v>
      </c>
      <c r="S1049" s="21" t="s">
        <v>241</v>
      </c>
      <c r="T1049" s="21" t="s">
        <v>296</v>
      </c>
      <c r="U1049" s="21" t="s">
        <v>292</v>
      </c>
      <c r="V1049" s="21" t="s">
        <v>286</v>
      </c>
      <c r="W1049" s="21">
        <v>7</v>
      </c>
      <c r="X1049" s="21" t="s">
        <v>285</v>
      </c>
      <c r="Y1049" s="21" t="s">
        <v>318</v>
      </c>
      <c r="Z1049" s="21" t="s">
        <v>317</v>
      </c>
      <c r="AA1049" s="21" t="s">
        <v>6</v>
      </c>
      <c r="AB1049" s="21">
        <v>1</v>
      </c>
      <c r="AD1049" s="24">
        <v>8.9700000000000006</v>
      </c>
      <c r="AE1049" s="24">
        <v>8.48</v>
      </c>
      <c r="AF1049" s="21" t="s">
        <v>304</v>
      </c>
      <c r="AG1049" s="21" t="s">
        <v>303</v>
      </c>
    </row>
    <row r="1050" spans="1:33">
      <c r="A1050" s="21" t="s">
        <v>6</v>
      </c>
      <c r="B1050" s="21" t="s">
        <v>350</v>
      </c>
      <c r="C1050" s="25">
        <v>46095</v>
      </c>
      <c r="D1050" s="21" t="s">
        <v>360</v>
      </c>
      <c r="E1050" s="24">
        <v>8.36</v>
      </c>
      <c r="F1050" s="24">
        <v>7.98</v>
      </c>
      <c r="G1050" s="24">
        <f>E1050-F1050</f>
        <v>0.37999999999999901</v>
      </c>
      <c r="H1050" s="21" t="s">
        <v>289</v>
      </c>
      <c r="I1050" s="21">
        <v>1</v>
      </c>
      <c r="J1050" s="21">
        <v>6</v>
      </c>
      <c r="K1050" s="21">
        <v>2</v>
      </c>
      <c r="L1050" s="21">
        <v>6</v>
      </c>
      <c r="M1050" s="21">
        <v>2</v>
      </c>
      <c r="P1050" s="24">
        <f>J1050+L1050+N1050</f>
        <v>12</v>
      </c>
      <c r="Q1050" s="24">
        <f>K1050+M1050+O1050</f>
        <v>4</v>
      </c>
      <c r="R1050" s="24">
        <v>0.75</v>
      </c>
      <c r="S1050" s="21" t="s">
        <v>241</v>
      </c>
      <c r="T1050" s="21" t="s">
        <v>355</v>
      </c>
      <c r="U1050" s="21" t="s">
        <v>292</v>
      </c>
      <c r="V1050" s="21" t="s">
        <v>286</v>
      </c>
      <c r="W1050" s="21">
        <v>7</v>
      </c>
      <c r="X1050" s="21" t="s">
        <v>285</v>
      </c>
      <c r="Y1050" s="21" t="s">
        <v>318</v>
      </c>
      <c r="Z1050" s="21" t="s">
        <v>317</v>
      </c>
      <c r="AA1050" s="21" t="s">
        <v>6</v>
      </c>
      <c r="AB1050" s="21">
        <v>1</v>
      </c>
      <c r="AD1050" s="24">
        <v>8.9700000000000006</v>
      </c>
      <c r="AE1050" s="24">
        <v>7.98</v>
      </c>
      <c r="AF1050" s="21" t="s">
        <v>304</v>
      </c>
      <c r="AG1050" s="21" t="s">
        <v>303</v>
      </c>
    </row>
    <row r="1051" spans="1:33">
      <c r="A1051" s="21" t="s">
        <v>6</v>
      </c>
      <c r="B1051" s="21" t="s">
        <v>350</v>
      </c>
      <c r="C1051" s="25">
        <v>46095</v>
      </c>
      <c r="D1051" s="21" t="s">
        <v>243</v>
      </c>
      <c r="E1051" s="24">
        <v>8.36</v>
      </c>
      <c r="F1051" s="24">
        <v>8.25</v>
      </c>
      <c r="G1051" s="24">
        <f>E1051-F1051</f>
        <v>0.10999999999999943</v>
      </c>
      <c r="H1051" s="21" t="s">
        <v>289</v>
      </c>
      <c r="I1051" s="21">
        <v>1</v>
      </c>
      <c r="J1051" s="21">
        <v>7</v>
      </c>
      <c r="K1051" s="21">
        <v>5</v>
      </c>
      <c r="L1051" s="21">
        <v>6</v>
      </c>
      <c r="M1051" s="21">
        <v>1</v>
      </c>
      <c r="P1051" s="24">
        <f>J1051+L1051+N1051</f>
        <v>13</v>
      </c>
      <c r="Q1051" s="24">
        <f>K1051+M1051+O1051</f>
        <v>6</v>
      </c>
      <c r="R1051" s="24">
        <v>0.68421052631578949</v>
      </c>
      <c r="S1051" s="21" t="s">
        <v>241</v>
      </c>
      <c r="T1051" s="21" t="s">
        <v>295</v>
      </c>
      <c r="U1051" s="21" t="s">
        <v>292</v>
      </c>
      <c r="V1051" s="21" t="s">
        <v>286</v>
      </c>
      <c r="W1051" s="21">
        <v>7</v>
      </c>
      <c r="X1051" s="21" t="s">
        <v>285</v>
      </c>
      <c r="Y1051" s="21" t="s">
        <v>318</v>
      </c>
      <c r="Z1051" s="21" t="s">
        <v>317</v>
      </c>
      <c r="AA1051" s="21" t="s">
        <v>6</v>
      </c>
      <c r="AB1051" s="21">
        <v>1</v>
      </c>
      <c r="AD1051" s="24">
        <v>8.9700000000000006</v>
      </c>
      <c r="AE1051" s="24">
        <v>8.25</v>
      </c>
      <c r="AF1051" s="21" t="s">
        <v>304</v>
      </c>
      <c r="AG1051" s="21" t="s">
        <v>303</v>
      </c>
    </row>
    <row r="1052" spans="1:33">
      <c r="A1052" s="21" t="s">
        <v>6</v>
      </c>
      <c r="B1052" s="21" t="s">
        <v>350</v>
      </c>
      <c r="C1052" s="25">
        <v>46095</v>
      </c>
      <c r="D1052" s="21" t="s">
        <v>359</v>
      </c>
      <c r="E1052" s="24">
        <v>8.36</v>
      </c>
      <c r="F1052" s="24">
        <v>5.56</v>
      </c>
      <c r="G1052" s="24">
        <f>E1052-F1052</f>
        <v>2.8</v>
      </c>
      <c r="H1052" s="21" t="s">
        <v>289</v>
      </c>
      <c r="I1052" s="21">
        <v>1</v>
      </c>
      <c r="J1052" s="21">
        <v>6</v>
      </c>
      <c r="K1052" s="21">
        <v>0</v>
      </c>
      <c r="L1052" s="21">
        <v>6</v>
      </c>
      <c r="M1052" s="21">
        <v>0</v>
      </c>
      <c r="P1052" s="24">
        <f>J1052+L1052+N1052</f>
        <v>12</v>
      </c>
      <c r="Q1052" s="24">
        <f>K1052+M1052+O1052</f>
        <v>0</v>
      </c>
      <c r="R1052" s="24">
        <v>1</v>
      </c>
      <c r="S1052" s="21" t="s">
        <v>241</v>
      </c>
      <c r="T1052" s="21" t="s">
        <v>297</v>
      </c>
      <c r="U1052" s="21" t="s">
        <v>292</v>
      </c>
      <c r="V1052" s="21" t="s">
        <v>286</v>
      </c>
      <c r="W1052" s="21">
        <v>7</v>
      </c>
      <c r="X1052" s="21" t="s">
        <v>285</v>
      </c>
      <c r="Y1052" s="21" t="s">
        <v>318</v>
      </c>
      <c r="Z1052" s="21" t="s">
        <v>317</v>
      </c>
      <c r="AA1052" s="21" t="s">
        <v>6</v>
      </c>
      <c r="AB1052" s="21">
        <v>1</v>
      </c>
      <c r="AD1052" s="24">
        <v>8.9700000000000006</v>
      </c>
      <c r="AE1052" s="24">
        <v>5.56</v>
      </c>
      <c r="AF1052" s="21" t="s">
        <v>304</v>
      </c>
      <c r="AG1052" s="21" t="s">
        <v>303</v>
      </c>
    </row>
    <row r="1053" spans="1:33">
      <c r="A1053" s="21" t="s">
        <v>6</v>
      </c>
      <c r="B1053" s="21" t="s">
        <v>350</v>
      </c>
      <c r="C1053" s="25">
        <v>46107.333333333336</v>
      </c>
      <c r="D1053" s="21" t="s">
        <v>114</v>
      </c>
      <c r="E1053" s="24">
        <v>8.4600000000000009</v>
      </c>
      <c r="F1053" s="24">
        <v>7.68</v>
      </c>
      <c r="G1053" s="24">
        <f>E1053-F1053</f>
        <v>0.78000000000000114</v>
      </c>
      <c r="H1053" s="21" t="s">
        <v>289</v>
      </c>
      <c r="I1053" s="21">
        <v>1</v>
      </c>
      <c r="J1053" s="21">
        <v>6</v>
      </c>
      <c r="K1053" s="21">
        <v>3</v>
      </c>
      <c r="L1053" s="21">
        <v>3</v>
      </c>
      <c r="M1053" s="21">
        <v>6</v>
      </c>
      <c r="N1053" s="21">
        <v>6</v>
      </c>
      <c r="O1053" s="21">
        <v>4</v>
      </c>
      <c r="P1053" s="24">
        <f>J1053+L1053+N1053</f>
        <v>15</v>
      </c>
      <c r="Q1053" s="24">
        <f>K1053+M1053+O1053</f>
        <v>13</v>
      </c>
      <c r="R1053" s="24">
        <v>0.5357142857142857</v>
      </c>
      <c r="S1053" s="21" t="s">
        <v>358</v>
      </c>
      <c r="U1053" s="21" t="s">
        <v>287</v>
      </c>
      <c r="V1053" s="21" t="s">
        <v>286</v>
      </c>
      <c r="W1053" s="21">
        <v>11</v>
      </c>
      <c r="X1053" s="21" t="s">
        <v>285</v>
      </c>
      <c r="Y1053" s="21" t="s">
        <v>318</v>
      </c>
      <c r="Z1053" s="21" t="s">
        <v>317</v>
      </c>
      <c r="AA1053" s="21" t="s">
        <v>6</v>
      </c>
      <c r="AB1053" s="21">
        <v>1</v>
      </c>
      <c r="AD1053" s="24">
        <v>8.9700000000000006</v>
      </c>
      <c r="AE1053" s="24">
        <v>8.2799999999999994</v>
      </c>
      <c r="AF1053" s="21" t="s">
        <v>304</v>
      </c>
      <c r="AG1053" s="21" t="s">
        <v>303</v>
      </c>
    </row>
    <row r="1054" spans="1:33">
      <c r="A1054" s="21" t="s">
        <v>6</v>
      </c>
      <c r="B1054" s="21" t="s">
        <v>350</v>
      </c>
      <c r="C1054" s="25">
        <v>46123</v>
      </c>
      <c r="D1054" s="21" t="s">
        <v>357</v>
      </c>
      <c r="E1054" s="24">
        <v>8.51</v>
      </c>
      <c r="F1054" s="24">
        <v>7.21</v>
      </c>
      <c r="G1054" s="24">
        <f>E1054-F1054</f>
        <v>1.2999999999999998</v>
      </c>
      <c r="H1054" s="21" t="s">
        <v>289</v>
      </c>
      <c r="I1054" s="21">
        <v>1</v>
      </c>
      <c r="J1054" s="21">
        <v>6</v>
      </c>
      <c r="K1054" s="21">
        <v>2</v>
      </c>
      <c r="L1054" s="21">
        <v>6</v>
      </c>
      <c r="M1054" s="21">
        <v>2</v>
      </c>
      <c r="P1054" s="24">
        <f>J1054+L1054+N1054</f>
        <v>12</v>
      </c>
      <c r="Q1054" s="24">
        <f>K1054+M1054+O1054</f>
        <v>4</v>
      </c>
      <c r="R1054" s="24">
        <v>0.75</v>
      </c>
      <c r="S1054" s="21" t="s">
        <v>353</v>
      </c>
      <c r="T1054" s="21" t="s">
        <v>297</v>
      </c>
      <c r="U1054" s="21" t="s">
        <v>292</v>
      </c>
      <c r="V1054" s="21" t="s">
        <v>286</v>
      </c>
      <c r="W1054" s="21">
        <v>12</v>
      </c>
      <c r="X1054" s="21" t="s">
        <v>285</v>
      </c>
      <c r="Y1054" s="21" t="s">
        <v>318</v>
      </c>
      <c r="Z1054" s="21" t="s">
        <v>317</v>
      </c>
      <c r="AA1054" s="21" t="s">
        <v>6</v>
      </c>
      <c r="AB1054" s="21">
        <v>1</v>
      </c>
      <c r="AD1054" s="24">
        <v>8.9700000000000006</v>
      </c>
      <c r="AE1054" s="24">
        <v>7.21</v>
      </c>
      <c r="AF1054" s="21" t="s">
        <v>304</v>
      </c>
      <c r="AG1054" s="21" t="s">
        <v>303</v>
      </c>
    </row>
    <row r="1055" spans="1:33">
      <c r="A1055" s="21" t="s">
        <v>6</v>
      </c>
      <c r="B1055" s="21" t="s">
        <v>350</v>
      </c>
      <c r="C1055" s="25">
        <v>46123</v>
      </c>
      <c r="D1055" s="21" t="s">
        <v>1</v>
      </c>
      <c r="E1055" s="24">
        <v>8.51</v>
      </c>
      <c r="F1055" s="24">
        <v>7.93</v>
      </c>
      <c r="G1055" s="24">
        <f>E1055-F1055</f>
        <v>0.58000000000000007</v>
      </c>
      <c r="H1055" s="21" t="s">
        <v>289</v>
      </c>
      <c r="I1055" s="21">
        <v>1</v>
      </c>
      <c r="J1055" s="21">
        <v>6</v>
      </c>
      <c r="K1055" s="21">
        <v>1</v>
      </c>
      <c r="L1055" s="21">
        <v>6</v>
      </c>
      <c r="M1055" s="21">
        <v>1</v>
      </c>
      <c r="P1055" s="24">
        <f>J1055+L1055+N1055</f>
        <v>12</v>
      </c>
      <c r="Q1055" s="24">
        <f>K1055+M1055+O1055</f>
        <v>2</v>
      </c>
      <c r="R1055" s="24">
        <v>0.8571428571428571</v>
      </c>
      <c r="S1055" s="21" t="s">
        <v>353</v>
      </c>
      <c r="T1055" s="21" t="s">
        <v>296</v>
      </c>
      <c r="U1055" s="21" t="s">
        <v>292</v>
      </c>
      <c r="V1055" s="21" t="s">
        <v>286</v>
      </c>
      <c r="W1055" s="21">
        <v>12</v>
      </c>
      <c r="X1055" s="21" t="s">
        <v>285</v>
      </c>
      <c r="Y1055" s="21" t="s">
        <v>318</v>
      </c>
      <c r="Z1055" s="21" t="s">
        <v>317</v>
      </c>
      <c r="AA1055" s="21" t="s">
        <v>6</v>
      </c>
      <c r="AB1055" s="21">
        <v>1</v>
      </c>
      <c r="AD1055" s="24">
        <v>8.9700000000000006</v>
      </c>
      <c r="AE1055" s="24">
        <v>7.98</v>
      </c>
      <c r="AF1055" s="21" t="s">
        <v>304</v>
      </c>
      <c r="AG1055" s="21" t="s">
        <v>303</v>
      </c>
    </row>
    <row r="1056" spans="1:33">
      <c r="A1056" s="21" t="s">
        <v>6</v>
      </c>
      <c r="B1056" s="21" t="s">
        <v>350</v>
      </c>
      <c r="C1056" s="25">
        <v>46123</v>
      </c>
      <c r="D1056" s="21" t="s">
        <v>356</v>
      </c>
      <c r="E1056" s="24">
        <v>8.51</v>
      </c>
      <c r="F1056" s="24">
        <v>9.74</v>
      </c>
      <c r="G1056" s="24">
        <f>E1056-F1056</f>
        <v>-1.2300000000000004</v>
      </c>
      <c r="H1056" s="21" t="s">
        <v>294</v>
      </c>
      <c r="I1056" s="21">
        <v>0</v>
      </c>
      <c r="J1056" s="21">
        <v>2</v>
      </c>
      <c r="K1056" s="21">
        <v>6</v>
      </c>
      <c r="L1056" s="21">
        <v>0</v>
      </c>
      <c r="M1056" s="21">
        <v>6</v>
      </c>
      <c r="P1056" s="24">
        <f>J1056+L1056+N1056</f>
        <v>2</v>
      </c>
      <c r="Q1056" s="24">
        <f>K1056+M1056+O1056</f>
        <v>12</v>
      </c>
      <c r="R1056" s="24">
        <v>0.14285714285714285</v>
      </c>
      <c r="S1056" s="21" t="s">
        <v>353</v>
      </c>
      <c r="T1056" s="21" t="s">
        <v>355</v>
      </c>
      <c r="U1056" s="21" t="s">
        <v>292</v>
      </c>
      <c r="V1056" s="21" t="s">
        <v>286</v>
      </c>
      <c r="W1056" s="21">
        <v>12</v>
      </c>
      <c r="X1056" s="21" t="s">
        <v>285</v>
      </c>
      <c r="Y1056" s="21" t="s">
        <v>318</v>
      </c>
      <c r="Z1056" s="21" t="s">
        <v>317</v>
      </c>
      <c r="AA1056" s="21" t="s">
        <v>6</v>
      </c>
      <c r="AB1056" s="21">
        <v>1</v>
      </c>
      <c r="AD1056" s="24">
        <v>8.9700000000000006</v>
      </c>
      <c r="AE1056" s="24">
        <v>9.74</v>
      </c>
      <c r="AF1056" s="21" t="s">
        <v>304</v>
      </c>
      <c r="AG1056" s="21" t="s">
        <v>303</v>
      </c>
    </row>
    <row r="1057" spans="1:33">
      <c r="A1057" s="21" t="s">
        <v>6</v>
      </c>
      <c r="B1057" s="21" t="s">
        <v>350</v>
      </c>
      <c r="C1057" s="25">
        <v>46123</v>
      </c>
      <c r="D1057" s="21" t="s">
        <v>354</v>
      </c>
      <c r="E1057" s="24">
        <v>8.51</v>
      </c>
      <c r="F1057" s="24">
        <v>8.5399999999999991</v>
      </c>
      <c r="G1057" s="24">
        <f>E1057-F1057</f>
        <v>-2.9999999999999361E-2</v>
      </c>
      <c r="H1057" s="21" t="s">
        <v>289</v>
      </c>
      <c r="I1057" s="21">
        <v>1</v>
      </c>
      <c r="J1057" s="21">
        <v>6</v>
      </c>
      <c r="K1057" s="21">
        <v>3</v>
      </c>
      <c r="L1057" s="21">
        <v>6</v>
      </c>
      <c r="M1057" s="21">
        <v>2</v>
      </c>
      <c r="P1057" s="24">
        <f>J1057+L1057+N1057</f>
        <v>12</v>
      </c>
      <c r="Q1057" s="24">
        <f>K1057+M1057+O1057</f>
        <v>5</v>
      </c>
      <c r="R1057" s="24">
        <v>0.70588235294117652</v>
      </c>
      <c r="S1057" s="21" t="s">
        <v>353</v>
      </c>
      <c r="T1057" s="21" t="s">
        <v>295</v>
      </c>
      <c r="U1057" s="21" t="s">
        <v>292</v>
      </c>
      <c r="V1057" s="21" t="s">
        <v>286</v>
      </c>
      <c r="W1057" s="21">
        <v>12</v>
      </c>
      <c r="X1057" s="21" t="s">
        <v>285</v>
      </c>
      <c r="Y1057" s="21" t="s">
        <v>318</v>
      </c>
      <c r="Z1057" s="21" t="s">
        <v>317</v>
      </c>
      <c r="AA1057" s="21" t="s">
        <v>6</v>
      </c>
      <c r="AB1057" s="21">
        <v>1</v>
      </c>
      <c r="AD1057" s="24">
        <v>8.9700000000000006</v>
      </c>
      <c r="AE1057" s="24">
        <v>8.5399999999999991</v>
      </c>
      <c r="AF1057" s="21" t="s">
        <v>302</v>
      </c>
      <c r="AG1057" s="21" t="s">
        <v>301</v>
      </c>
    </row>
    <row r="1058" spans="1:33">
      <c r="A1058" s="21" t="s">
        <v>6</v>
      </c>
      <c r="B1058" s="21" t="s">
        <v>350</v>
      </c>
      <c r="C1058" s="25">
        <v>46130.845833333333</v>
      </c>
      <c r="D1058" s="21" t="s">
        <v>1</v>
      </c>
      <c r="E1058" s="24">
        <v>8.52</v>
      </c>
      <c r="F1058" s="24">
        <v>7.95</v>
      </c>
      <c r="G1058" s="24">
        <f>E1058-F1058</f>
        <v>0.5699999999999994</v>
      </c>
      <c r="H1058" s="21" t="s">
        <v>289</v>
      </c>
      <c r="I1058" s="21">
        <v>1</v>
      </c>
      <c r="J1058" s="21">
        <v>6</v>
      </c>
      <c r="K1058" s="21">
        <v>3</v>
      </c>
      <c r="L1058" s="21">
        <v>6</v>
      </c>
      <c r="M1058" s="21">
        <v>4</v>
      </c>
      <c r="P1058" s="24">
        <f>J1058+L1058+N1058</f>
        <v>12</v>
      </c>
      <c r="Q1058" s="24">
        <f>K1058+M1058+O1058</f>
        <v>7</v>
      </c>
      <c r="R1058" s="24">
        <v>0.63157894736842102</v>
      </c>
      <c r="S1058" s="21" t="s">
        <v>63</v>
      </c>
      <c r="T1058" s="21" t="s">
        <v>352</v>
      </c>
      <c r="U1058" s="21" t="s">
        <v>287</v>
      </c>
      <c r="V1058" s="21" t="s">
        <v>286</v>
      </c>
      <c r="W1058" s="21">
        <v>16</v>
      </c>
      <c r="X1058" s="21" t="s">
        <v>285</v>
      </c>
      <c r="Y1058" s="21" t="s">
        <v>318</v>
      </c>
      <c r="Z1058" s="21" t="s">
        <v>317</v>
      </c>
      <c r="AA1058" s="21" t="s">
        <v>6</v>
      </c>
      <c r="AB1058" s="21">
        <v>1</v>
      </c>
      <c r="AD1058" s="24">
        <v>8.9700000000000006</v>
      </c>
      <c r="AE1058" s="24">
        <v>7.98</v>
      </c>
      <c r="AF1058" s="21" t="s">
        <v>304</v>
      </c>
      <c r="AG1058" s="21" t="s">
        <v>341</v>
      </c>
    </row>
    <row r="1059" spans="1:33">
      <c r="A1059" s="21" t="s">
        <v>6</v>
      </c>
      <c r="B1059" s="21" t="s">
        <v>350</v>
      </c>
      <c r="C1059" s="25">
        <v>46130.84652777778</v>
      </c>
      <c r="D1059" s="21" t="s">
        <v>38</v>
      </c>
      <c r="E1059" s="24">
        <v>8.52</v>
      </c>
      <c r="F1059" s="24">
        <v>10.18</v>
      </c>
      <c r="G1059" s="24">
        <f>E1059-F1059</f>
        <v>-1.6600000000000001</v>
      </c>
      <c r="H1059" s="21" t="s">
        <v>294</v>
      </c>
      <c r="I1059" s="21">
        <v>0</v>
      </c>
      <c r="J1059" s="21">
        <v>6</v>
      </c>
      <c r="K1059" s="21">
        <v>7</v>
      </c>
      <c r="L1059" s="21">
        <v>1</v>
      </c>
      <c r="M1059" s="21">
        <v>6</v>
      </c>
      <c r="P1059" s="24">
        <f>J1059+L1059+N1059</f>
        <v>7</v>
      </c>
      <c r="Q1059" s="24">
        <f>K1059+M1059+O1059</f>
        <v>13</v>
      </c>
      <c r="R1059" s="24">
        <v>0.44295302013422821</v>
      </c>
      <c r="S1059" s="21" t="s">
        <v>63</v>
      </c>
      <c r="T1059" s="21" t="s">
        <v>351</v>
      </c>
      <c r="U1059" s="21" t="s">
        <v>287</v>
      </c>
      <c r="V1059" s="21" t="s">
        <v>286</v>
      </c>
      <c r="W1059" s="21">
        <v>17</v>
      </c>
      <c r="X1059" s="21" t="s">
        <v>285</v>
      </c>
      <c r="Y1059" s="21" t="s">
        <v>318</v>
      </c>
      <c r="Z1059" s="21" t="s">
        <v>317</v>
      </c>
      <c r="AA1059" s="21" t="s">
        <v>6</v>
      </c>
      <c r="AB1059" s="21">
        <v>1</v>
      </c>
      <c r="AD1059" s="24">
        <v>8.9700000000000006</v>
      </c>
      <c r="AE1059" s="24">
        <v>10.01</v>
      </c>
      <c r="AF1059" s="21" t="s">
        <v>302</v>
      </c>
      <c r="AG1059" s="21" t="s">
        <v>301</v>
      </c>
    </row>
    <row r="1060" spans="1:33">
      <c r="A1060" s="21" t="s">
        <v>6</v>
      </c>
      <c r="B1060" s="21" t="s">
        <v>350</v>
      </c>
      <c r="C1060" s="25">
        <v>46133.645833333336</v>
      </c>
      <c r="D1060" s="21" t="s">
        <v>2</v>
      </c>
      <c r="E1060" s="24">
        <v>8.61</v>
      </c>
      <c r="F1060" s="24">
        <v>7.58</v>
      </c>
      <c r="G1060" s="24">
        <f>E1060-F1060</f>
        <v>1.0299999999999994</v>
      </c>
      <c r="H1060" s="21" t="s">
        <v>289</v>
      </c>
      <c r="I1060" s="21">
        <v>1</v>
      </c>
      <c r="J1060" s="21">
        <v>6</v>
      </c>
      <c r="K1060" s="21">
        <v>4</v>
      </c>
      <c r="L1060" s="21">
        <v>6</v>
      </c>
      <c r="M1060" s="21">
        <v>2</v>
      </c>
      <c r="P1060" s="24">
        <f>J1060+L1060+N1060</f>
        <v>12</v>
      </c>
      <c r="Q1060" s="24">
        <f>K1060+M1060+O1060</f>
        <v>6</v>
      </c>
      <c r="R1060" s="24">
        <v>0.66666666666666663</v>
      </c>
      <c r="S1060" s="21" t="s">
        <v>63</v>
      </c>
      <c r="U1060" s="21" t="s">
        <v>287</v>
      </c>
      <c r="V1060" s="21" t="s">
        <v>286</v>
      </c>
      <c r="W1060" s="21">
        <v>18</v>
      </c>
      <c r="X1060" s="21" t="s">
        <v>285</v>
      </c>
      <c r="Y1060" s="21" t="s">
        <v>318</v>
      </c>
      <c r="Z1060" s="21" t="s">
        <v>317</v>
      </c>
      <c r="AA1060" s="21" t="s">
        <v>6</v>
      </c>
      <c r="AB1060" s="21">
        <v>1</v>
      </c>
      <c r="AD1060" s="24">
        <v>8.9700000000000006</v>
      </c>
      <c r="AE1060" s="24">
        <v>7.1</v>
      </c>
      <c r="AF1060" s="21" t="s">
        <v>304</v>
      </c>
      <c r="AG1060" s="21" t="s">
        <v>341</v>
      </c>
    </row>
    <row r="1061" spans="1:33">
      <c r="A1061" s="21" t="s">
        <v>6</v>
      </c>
      <c r="B1061" s="21" t="s">
        <v>350</v>
      </c>
      <c r="C1061" s="25">
        <v>46139.666666666664</v>
      </c>
      <c r="D1061" s="21" t="s">
        <v>1</v>
      </c>
      <c r="E1061" s="24">
        <v>8.61</v>
      </c>
      <c r="F1061" s="24">
        <v>7.94</v>
      </c>
      <c r="G1061" s="24">
        <f>E1061-F1061</f>
        <v>0.66999999999999904</v>
      </c>
      <c r="H1061" s="21" t="s">
        <v>289</v>
      </c>
      <c r="I1061" s="21">
        <v>1</v>
      </c>
      <c r="J1061" s="21">
        <v>7</v>
      </c>
      <c r="K1061" s="21">
        <v>6</v>
      </c>
      <c r="L1061" s="21">
        <v>6</v>
      </c>
      <c r="M1061" s="21">
        <v>0</v>
      </c>
      <c r="P1061" s="24">
        <f>J1061+L1061+N1061</f>
        <v>13</v>
      </c>
      <c r="Q1061" s="24">
        <f>K1061+M1061+O1061</f>
        <v>6</v>
      </c>
      <c r="R1061" s="24">
        <v>0.68421052631578949</v>
      </c>
      <c r="S1061" s="21" t="s">
        <v>49</v>
      </c>
      <c r="U1061" s="21" t="s">
        <v>287</v>
      </c>
      <c r="V1061" s="21" t="s">
        <v>286</v>
      </c>
      <c r="W1061" s="21">
        <v>19</v>
      </c>
      <c r="X1061" s="21" t="s">
        <v>285</v>
      </c>
      <c r="Y1061" s="21" t="s">
        <v>318</v>
      </c>
      <c r="Z1061" s="21" t="s">
        <v>317</v>
      </c>
      <c r="AA1061" s="21" t="s">
        <v>6</v>
      </c>
      <c r="AB1061" s="21">
        <v>1</v>
      </c>
      <c r="AD1061" s="24">
        <v>8.9700000000000006</v>
      </c>
      <c r="AE1061" s="24">
        <v>7.98</v>
      </c>
      <c r="AF1061" s="21" t="s">
        <v>302</v>
      </c>
      <c r="AG1061" s="21" t="s">
        <v>301</v>
      </c>
    </row>
    <row r="1062" spans="1:33">
      <c r="A1062" s="21" t="s">
        <v>6</v>
      </c>
      <c r="B1062" s="21" t="s">
        <v>350</v>
      </c>
      <c r="C1062" s="25">
        <v>46141.574999999997</v>
      </c>
      <c r="D1062" s="21" t="s">
        <v>26</v>
      </c>
      <c r="E1062" s="24">
        <v>8.64</v>
      </c>
      <c r="F1062" s="24">
        <v>7.56</v>
      </c>
      <c r="G1062" s="24">
        <f>E1062-F1062</f>
        <v>1.080000000000001</v>
      </c>
      <c r="H1062" s="21" t="s">
        <v>289</v>
      </c>
      <c r="I1062" s="21">
        <v>1</v>
      </c>
      <c r="J1062" s="21">
        <v>6</v>
      </c>
      <c r="K1062" s="21">
        <v>0</v>
      </c>
      <c r="L1062" s="21">
        <v>7</v>
      </c>
      <c r="M1062" s="21">
        <v>6</v>
      </c>
      <c r="P1062" s="24">
        <f>J1062+L1062+N1062</f>
        <v>13</v>
      </c>
      <c r="Q1062" s="24">
        <f>K1062+M1062+O1062</f>
        <v>6</v>
      </c>
      <c r="R1062" s="24">
        <v>0.57638888888888884</v>
      </c>
      <c r="S1062" s="21" t="s">
        <v>29</v>
      </c>
      <c r="T1062" s="21" t="s">
        <v>298</v>
      </c>
      <c r="U1062" s="21" t="s">
        <v>292</v>
      </c>
      <c r="V1062" s="21" t="s">
        <v>286</v>
      </c>
      <c r="W1062" s="21">
        <v>20</v>
      </c>
      <c r="X1062" s="21" t="s">
        <v>285</v>
      </c>
      <c r="Y1062" s="21" t="s">
        <v>318</v>
      </c>
      <c r="Z1062" s="21" t="s">
        <v>317</v>
      </c>
      <c r="AA1062" s="21" t="s">
        <v>6</v>
      </c>
      <c r="AB1062" s="21">
        <v>1</v>
      </c>
      <c r="AD1062" s="24">
        <v>8.9700000000000006</v>
      </c>
      <c r="AE1062" s="24">
        <v>8.09</v>
      </c>
      <c r="AF1062" s="21" t="s">
        <v>304</v>
      </c>
      <c r="AG1062" s="21" t="s">
        <v>341</v>
      </c>
    </row>
    <row r="1063" spans="1:33">
      <c r="A1063" s="21" t="s">
        <v>6</v>
      </c>
      <c r="B1063" s="21" t="s">
        <v>350</v>
      </c>
      <c r="C1063" s="25">
        <v>46141.582638888889</v>
      </c>
      <c r="D1063" s="21" t="s">
        <v>44</v>
      </c>
      <c r="E1063" s="24">
        <v>8.64</v>
      </c>
      <c r="F1063" s="24">
        <v>8.41</v>
      </c>
      <c r="G1063" s="24">
        <f>E1063-F1063</f>
        <v>0.23000000000000043</v>
      </c>
      <c r="H1063" s="21" t="s">
        <v>289</v>
      </c>
      <c r="I1063" s="21">
        <v>1</v>
      </c>
      <c r="J1063" s="21">
        <v>6</v>
      </c>
      <c r="K1063" s="21">
        <v>4</v>
      </c>
      <c r="L1063" s="21">
        <v>6</v>
      </c>
      <c r="M1063" s="21">
        <v>1</v>
      </c>
      <c r="P1063" s="24">
        <f>J1063+L1063+N1063</f>
        <v>12</v>
      </c>
      <c r="Q1063" s="24">
        <f>K1063+M1063+O1063</f>
        <v>5</v>
      </c>
      <c r="R1063" s="24">
        <v>0.70588235294117652</v>
      </c>
      <c r="S1063" s="21" t="s">
        <v>29</v>
      </c>
      <c r="T1063" s="21" t="s">
        <v>297</v>
      </c>
      <c r="U1063" s="21" t="s">
        <v>292</v>
      </c>
      <c r="V1063" s="21" t="s">
        <v>286</v>
      </c>
      <c r="W1063" s="21">
        <v>21</v>
      </c>
      <c r="X1063" s="21" t="s">
        <v>285</v>
      </c>
      <c r="Y1063" s="21" t="s">
        <v>318</v>
      </c>
      <c r="Z1063" s="21" t="s">
        <v>317</v>
      </c>
      <c r="AA1063" s="21" t="s">
        <v>6</v>
      </c>
      <c r="AB1063" s="21">
        <v>1</v>
      </c>
      <c r="AD1063" s="24">
        <v>8.9700000000000006</v>
      </c>
      <c r="AE1063" s="24">
        <v>8.42</v>
      </c>
      <c r="AF1063" s="21" t="s">
        <v>304</v>
      </c>
      <c r="AG1063" s="21" t="s">
        <v>303</v>
      </c>
    </row>
    <row r="1064" spans="1:33">
      <c r="A1064" s="21" t="s">
        <v>6</v>
      </c>
      <c r="B1064" s="21" t="s">
        <v>350</v>
      </c>
      <c r="C1064" s="25">
        <v>46141.587500000001</v>
      </c>
      <c r="D1064" s="21" t="s">
        <v>40</v>
      </c>
      <c r="E1064" s="24">
        <v>8.64</v>
      </c>
      <c r="F1064" s="24">
        <v>9.56</v>
      </c>
      <c r="G1064" s="24">
        <f>E1064-F1064</f>
        <v>-0.91999999999999993</v>
      </c>
      <c r="H1064" s="21" t="s">
        <v>294</v>
      </c>
      <c r="I1064" s="21">
        <v>0</v>
      </c>
      <c r="J1064" s="21">
        <v>1</v>
      </c>
      <c r="K1064" s="21">
        <v>6</v>
      </c>
      <c r="L1064" s="21">
        <v>4</v>
      </c>
      <c r="M1064" s="21">
        <v>6</v>
      </c>
      <c r="P1064" s="24">
        <f>J1064+L1064+N1064</f>
        <v>5</v>
      </c>
      <c r="Q1064" s="24">
        <f>K1064+M1064+O1064</f>
        <v>12</v>
      </c>
      <c r="R1064" s="24">
        <v>0.29411764705882354</v>
      </c>
      <c r="S1064" s="21" t="s">
        <v>29</v>
      </c>
      <c r="T1064" s="21" t="s">
        <v>296</v>
      </c>
      <c r="U1064" s="21" t="s">
        <v>292</v>
      </c>
      <c r="V1064" s="21" t="s">
        <v>286</v>
      </c>
      <c r="W1064" s="21">
        <v>22</v>
      </c>
      <c r="X1064" s="21" t="s">
        <v>285</v>
      </c>
      <c r="Y1064" s="21" t="s">
        <v>318</v>
      </c>
      <c r="Z1064" s="21" t="s">
        <v>317</v>
      </c>
      <c r="AA1064" s="21" t="s">
        <v>6</v>
      </c>
      <c r="AB1064" s="21">
        <v>1</v>
      </c>
      <c r="AD1064" s="24">
        <v>8.9700000000000006</v>
      </c>
      <c r="AE1064" s="24">
        <v>10.01</v>
      </c>
      <c r="AF1064" s="21" t="s">
        <v>304</v>
      </c>
      <c r="AG1064" s="21" t="s">
        <v>303</v>
      </c>
    </row>
    <row r="1065" spans="1:33">
      <c r="A1065" s="21" t="s">
        <v>6</v>
      </c>
      <c r="B1065" s="21" t="s">
        <v>350</v>
      </c>
      <c r="C1065" s="25">
        <v>46141.607638888891</v>
      </c>
      <c r="D1065" s="21" t="s">
        <v>18</v>
      </c>
      <c r="E1065" s="24">
        <v>8.64</v>
      </c>
      <c r="F1065" s="24">
        <v>8.18</v>
      </c>
      <c r="G1065" s="24">
        <f>E1065-F1065</f>
        <v>0.46000000000000085</v>
      </c>
      <c r="H1065" s="21" t="s">
        <v>294</v>
      </c>
      <c r="I1065" s="21">
        <v>0</v>
      </c>
      <c r="J1065" s="21">
        <v>6</v>
      </c>
      <c r="K1065" s="21">
        <v>3</v>
      </c>
      <c r="L1065" s="21">
        <v>4</v>
      </c>
      <c r="M1065" s="21">
        <v>6</v>
      </c>
      <c r="N1065" s="21">
        <v>4</v>
      </c>
      <c r="O1065" s="21">
        <v>7</v>
      </c>
      <c r="P1065" s="24">
        <f>J1065+L1065+N1065</f>
        <v>14</v>
      </c>
      <c r="Q1065" s="24">
        <f>K1065+M1065+O1065</f>
        <v>16</v>
      </c>
      <c r="R1065" s="24">
        <v>0.46666666666666667</v>
      </c>
      <c r="S1065" s="21" t="s">
        <v>29</v>
      </c>
      <c r="T1065" s="21" t="s">
        <v>295</v>
      </c>
      <c r="U1065" s="21" t="s">
        <v>292</v>
      </c>
      <c r="V1065" s="21" t="s">
        <v>286</v>
      </c>
      <c r="W1065" s="21">
        <v>23</v>
      </c>
      <c r="X1065" s="21" t="s">
        <v>285</v>
      </c>
      <c r="Y1065" s="21" t="s">
        <v>318</v>
      </c>
      <c r="Z1065" s="21" t="s">
        <v>317</v>
      </c>
      <c r="AA1065" s="21" t="s">
        <v>6</v>
      </c>
      <c r="AB1065" s="21">
        <v>1</v>
      </c>
      <c r="AD1065" s="24">
        <v>8.9700000000000006</v>
      </c>
      <c r="AE1065" s="24">
        <v>8.73</v>
      </c>
      <c r="AF1065" s="21" t="s">
        <v>304</v>
      </c>
      <c r="AG1065" s="21" t="s">
        <v>303</v>
      </c>
    </row>
    <row r="1066" spans="1:33">
      <c r="A1066" s="21" t="s">
        <v>6</v>
      </c>
      <c r="B1066" s="21" t="s">
        <v>350</v>
      </c>
      <c r="C1066" s="25">
        <v>46147.708333333336</v>
      </c>
      <c r="D1066" s="21" t="s">
        <v>5</v>
      </c>
      <c r="E1066" s="24">
        <v>8.6300000000000008</v>
      </c>
      <c r="F1066" s="24">
        <v>8.93</v>
      </c>
      <c r="G1066" s="24">
        <f>E1066-F1066</f>
        <v>-0.29999999999999893</v>
      </c>
      <c r="H1066" s="21" t="s">
        <v>289</v>
      </c>
      <c r="I1066" s="21">
        <v>1</v>
      </c>
      <c r="J1066" s="21">
        <v>6</v>
      </c>
      <c r="K1066" s="21">
        <v>4</v>
      </c>
      <c r="L1066" s="21">
        <v>6</v>
      </c>
      <c r="M1066" s="21">
        <v>3</v>
      </c>
      <c r="P1066" s="24">
        <f>J1066+L1066+N1066</f>
        <v>12</v>
      </c>
      <c r="Q1066" s="24">
        <f>K1066+M1066+O1066</f>
        <v>7</v>
      </c>
      <c r="R1066" s="24">
        <v>0.63157894736842102</v>
      </c>
      <c r="S1066" s="21" t="s">
        <v>7</v>
      </c>
      <c r="U1066" s="21" t="s">
        <v>287</v>
      </c>
      <c r="V1066" s="21" t="s">
        <v>286</v>
      </c>
      <c r="W1066" s="21">
        <v>24</v>
      </c>
      <c r="X1066" s="21" t="s">
        <v>285</v>
      </c>
      <c r="Y1066" s="21" t="s">
        <v>318</v>
      </c>
      <c r="Z1066" s="21" t="s">
        <v>317</v>
      </c>
      <c r="AA1066" s="21" t="s">
        <v>6</v>
      </c>
      <c r="AB1066" s="21">
        <v>1</v>
      </c>
      <c r="AD1066" s="24">
        <v>8.9700000000000006</v>
      </c>
      <c r="AE1066" s="24">
        <v>8.08</v>
      </c>
      <c r="AF1066" s="21" t="s">
        <v>304</v>
      </c>
      <c r="AG1066" s="21" t="s">
        <v>303</v>
      </c>
    </row>
    <row r="1067" spans="1:33">
      <c r="A1067" s="21" t="s">
        <v>165</v>
      </c>
      <c r="B1067" s="21" t="s">
        <v>343</v>
      </c>
      <c r="C1067" s="25">
        <v>46094.625</v>
      </c>
      <c r="D1067" s="21" t="s">
        <v>349</v>
      </c>
      <c r="E1067" s="24">
        <v>5.54</v>
      </c>
      <c r="F1067" s="24">
        <v>4.22</v>
      </c>
      <c r="G1067" s="24">
        <f>E1067-F1067</f>
        <v>1.3200000000000003</v>
      </c>
      <c r="H1067" s="21" t="s">
        <v>289</v>
      </c>
      <c r="I1067" s="21">
        <v>1</v>
      </c>
      <c r="J1067" s="21">
        <v>6</v>
      </c>
      <c r="K1067" s="21">
        <v>1</v>
      </c>
      <c r="L1067" s="21">
        <v>6</v>
      </c>
      <c r="M1067" s="21">
        <v>0</v>
      </c>
      <c r="P1067" s="24">
        <f>J1067+L1067+N1067</f>
        <v>12</v>
      </c>
      <c r="Q1067" s="24">
        <f>K1067+M1067+O1067</f>
        <v>1</v>
      </c>
      <c r="R1067" s="24">
        <v>0.92307692307692313</v>
      </c>
      <c r="S1067" s="21" t="s">
        <v>348</v>
      </c>
      <c r="U1067" s="21" t="s">
        <v>287</v>
      </c>
      <c r="V1067" s="21" t="s">
        <v>286</v>
      </c>
      <c r="W1067" s="21">
        <v>0</v>
      </c>
      <c r="X1067" s="21" t="s">
        <v>312</v>
      </c>
      <c r="Y1067" s="21" t="s">
        <v>326</v>
      </c>
      <c r="Z1067" s="21" t="s">
        <v>325</v>
      </c>
      <c r="AA1067" s="21" t="s">
        <v>165</v>
      </c>
      <c r="AB1067" s="21">
        <v>1</v>
      </c>
      <c r="AD1067" s="24">
        <v>6.17</v>
      </c>
      <c r="AE1067" s="24">
        <v>4.22</v>
      </c>
      <c r="AF1067" s="21" t="s">
        <v>302</v>
      </c>
      <c r="AG1067" s="21" t="s">
        <v>301</v>
      </c>
    </row>
    <row r="1068" spans="1:33">
      <c r="A1068" s="21" t="s">
        <v>165</v>
      </c>
      <c r="B1068" s="21" t="s">
        <v>343</v>
      </c>
      <c r="C1068" s="25">
        <v>46099.645833333336</v>
      </c>
      <c r="D1068" s="21" t="s">
        <v>114</v>
      </c>
      <c r="E1068" s="24">
        <v>5.54</v>
      </c>
      <c r="F1068" s="24">
        <v>7.55</v>
      </c>
      <c r="G1068" s="24">
        <f>E1068-F1068</f>
        <v>-2.0099999999999998</v>
      </c>
      <c r="H1068" s="21" t="s">
        <v>294</v>
      </c>
      <c r="I1068" s="21">
        <v>0</v>
      </c>
      <c r="J1068" s="21">
        <v>1</v>
      </c>
      <c r="K1068" s="21">
        <v>6</v>
      </c>
      <c r="L1068" s="21">
        <v>0</v>
      </c>
      <c r="M1068" s="21">
        <v>6</v>
      </c>
      <c r="P1068" s="24">
        <f>J1068+L1068+N1068</f>
        <v>1</v>
      </c>
      <c r="Q1068" s="24">
        <f>K1068+M1068+O1068</f>
        <v>12</v>
      </c>
      <c r="R1068" s="24">
        <v>7.6923076923076927E-2</v>
      </c>
      <c r="S1068" s="21" t="s">
        <v>347</v>
      </c>
      <c r="U1068" s="21" t="s">
        <v>287</v>
      </c>
      <c r="V1068" s="21" t="s">
        <v>286</v>
      </c>
      <c r="W1068" s="21">
        <v>1</v>
      </c>
      <c r="X1068" s="21" t="s">
        <v>323</v>
      </c>
      <c r="Y1068" s="21" t="s">
        <v>326</v>
      </c>
      <c r="Z1068" s="21" t="s">
        <v>325</v>
      </c>
      <c r="AA1068" s="21" t="s">
        <v>165</v>
      </c>
      <c r="AB1068" s="21">
        <v>1</v>
      </c>
      <c r="AD1068" s="24">
        <v>6.17</v>
      </c>
      <c r="AE1068" s="24">
        <v>8.2799999999999994</v>
      </c>
      <c r="AF1068" s="21" t="s">
        <v>304</v>
      </c>
      <c r="AG1068" s="21" t="s">
        <v>303</v>
      </c>
    </row>
    <row r="1069" spans="1:33">
      <c r="A1069" s="21" t="s">
        <v>165</v>
      </c>
      <c r="B1069" s="21" t="s">
        <v>343</v>
      </c>
      <c r="C1069" s="25">
        <v>46101.645833333336</v>
      </c>
      <c r="D1069" s="21" t="s">
        <v>171</v>
      </c>
      <c r="E1069" s="24">
        <v>5.54</v>
      </c>
      <c r="F1069" s="24">
        <v>5.3</v>
      </c>
      <c r="G1069" s="24">
        <f>E1069-F1069</f>
        <v>0.24000000000000021</v>
      </c>
      <c r="H1069" s="21" t="s">
        <v>289</v>
      </c>
      <c r="I1069" s="21">
        <v>1</v>
      </c>
      <c r="J1069" s="21">
        <v>6</v>
      </c>
      <c r="K1069" s="21">
        <v>4</v>
      </c>
      <c r="L1069" s="21">
        <v>4</v>
      </c>
      <c r="M1069" s="21">
        <v>6</v>
      </c>
      <c r="N1069" s="21">
        <v>7</v>
      </c>
      <c r="O1069" s="21">
        <v>5</v>
      </c>
      <c r="P1069" s="24">
        <f>J1069+L1069+N1069</f>
        <v>17</v>
      </c>
      <c r="Q1069" s="24">
        <f>K1069+M1069+O1069</f>
        <v>15</v>
      </c>
      <c r="R1069" s="24">
        <v>0.53125</v>
      </c>
      <c r="S1069" s="21" t="s">
        <v>346</v>
      </c>
      <c r="U1069" s="21" t="s">
        <v>287</v>
      </c>
      <c r="V1069" s="21" t="s">
        <v>286</v>
      </c>
      <c r="W1069" s="21">
        <v>2</v>
      </c>
      <c r="X1069" s="21" t="s">
        <v>310</v>
      </c>
      <c r="Y1069" s="21" t="s">
        <v>326</v>
      </c>
      <c r="Z1069" s="21" t="s">
        <v>325</v>
      </c>
      <c r="AA1069" s="21" t="s">
        <v>165</v>
      </c>
      <c r="AB1069" s="21">
        <v>1</v>
      </c>
      <c r="AD1069" s="24">
        <v>6.17</v>
      </c>
      <c r="AE1069" s="24">
        <v>5.3</v>
      </c>
      <c r="AF1069" s="21" t="s">
        <v>302</v>
      </c>
      <c r="AG1069" s="21" t="s">
        <v>301</v>
      </c>
    </row>
    <row r="1070" spans="1:33">
      <c r="A1070" s="21" t="s">
        <v>165</v>
      </c>
      <c r="B1070" s="21" t="s">
        <v>343</v>
      </c>
      <c r="C1070" s="25">
        <v>46105.645833333336</v>
      </c>
      <c r="D1070" s="21" t="s">
        <v>115</v>
      </c>
      <c r="E1070" s="24">
        <v>5.54</v>
      </c>
      <c r="F1070" s="24">
        <v>5.32</v>
      </c>
      <c r="G1070" s="24">
        <f>E1070-F1070</f>
        <v>0.21999999999999975</v>
      </c>
      <c r="H1070" s="21" t="s">
        <v>289</v>
      </c>
      <c r="I1070" s="21">
        <v>1</v>
      </c>
      <c r="J1070" s="21">
        <v>6</v>
      </c>
      <c r="K1070" s="21">
        <v>1</v>
      </c>
      <c r="L1070" s="21">
        <v>6</v>
      </c>
      <c r="M1070" s="21">
        <v>2</v>
      </c>
      <c r="P1070" s="24">
        <f>J1070+L1070+N1070</f>
        <v>12</v>
      </c>
      <c r="Q1070" s="24">
        <f>K1070+M1070+O1070</f>
        <v>3</v>
      </c>
      <c r="R1070" s="24">
        <v>0.8</v>
      </c>
      <c r="S1070" s="21" t="s">
        <v>220</v>
      </c>
      <c r="U1070" s="21" t="s">
        <v>287</v>
      </c>
      <c r="V1070" s="21" t="s">
        <v>286</v>
      </c>
      <c r="W1070" s="21">
        <v>3</v>
      </c>
      <c r="X1070" s="21" t="s">
        <v>285</v>
      </c>
      <c r="Y1070" s="21" t="s">
        <v>326</v>
      </c>
      <c r="Z1070" s="21" t="s">
        <v>325</v>
      </c>
      <c r="AA1070" s="21" t="s">
        <v>165</v>
      </c>
      <c r="AB1070" s="21">
        <v>1</v>
      </c>
      <c r="AD1070" s="24">
        <v>6.17</v>
      </c>
      <c r="AE1070" s="24">
        <v>5.52</v>
      </c>
      <c r="AF1070" s="21" t="s">
        <v>304</v>
      </c>
      <c r="AG1070" s="21" t="s">
        <v>303</v>
      </c>
    </row>
    <row r="1071" spans="1:33">
      <c r="A1071" s="21" t="s">
        <v>165</v>
      </c>
      <c r="B1071" s="21" t="s">
        <v>343</v>
      </c>
      <c r="C1071" s="25">
        <v>46106.645833333336</v>
      </c>
      <c r="D1071" s="21" t="s">
        <v>345</v>
      </c>
      <c r="E1071" s="24">
        <v>5.54</v>
      </c>
      <c r="F1071" s="24">
        <v>4.38</v>
      </c>
      <c r="G1071" s="24">
        <f>E1071-F1071</f>
        <v>1.1600000000000001</v>
      </c>
      <c r="H1071" s="21" t="s">
        <v>289</v>
      </c>
      <c r="I1071" s="21">
        <v>1</v>
      </c>
      <c r="J1071" s="21">
        <v>6</v>
      </c>
      <c r="K1071" s="21">
        <v>3</v>
      </c>
      <c r="L1071" s="21">
        <v>6</v>
      </c>
      <c r="M1071" s="21">
        <v>2</v>
      </c>
      <c r="P1071" s="24">
        <f>J1071+L1071+N1071</f>
        <v>12</v>
      </c>
      <c r="Q1071" s="24">
        <f>K1071+M1071+O1071</f>
        <v>5</v>
      </c>
      <c r="R1071" s="24">
        <v>0.70588235294117652</v>
      </c>
      <c r="S1071" s="21" t="s">
        <v>344</v>
      </c>
      <c r="U1071" s="21" t="s">
        <v>287</v>
      </c>
      <c r="V1071" s="21" t="s">
        <v>286</v>
      </c>
      <c r="W1071" s="21">
        <v>4</v>
      </c>
      <c r="X1071" s="21" t="s">
        <v>285</v>
      </c>
      <c r="Y1071" s="21" t="s">
        <v>326</v>
      </c>
      <c r="Z1071" s="21" t="s">
        <v>325</v>
      </c>
      <c r="AA1071" s="21" t="s">
        <v>165</v>
      </c>
      <c r="AB1071" s="21">
        <v>1</v>
      </c>
      <c r="AD1071" s="24">
        <v>6.17</v>
      </c>
      <c r="AE1071" s="24">
        <v>4.38</v>
      </c>
      <c r="AF1071" s="21" t="s">
        <v>304</v>
      </c>
      <c r="AG1071" s="21" t="s">
        <v>341</v>
      </c>
    </row>
    <row r="1072" spans="1:33">
      <c r="A1072" s="21" t="s">
        <v>165</v>
      </c>
      <c r="B1072" s="21" t="s">
        <v>343</v>
      </c>
      <c r="C1072" s="25">
        <v>46111.645833333336</v>
      </c>
      <c r="D1072" s="21" t="s">
        <v>65</v>
      </c>
      <c r="E1072" s="24">
        <v>5.54</v>
      </c>
      <c r="F1072" s="24">
        <v>6.58</v>
      </c>
      <c r="G1072" s="24">
        <f>E1072-F1072</f>
        <v>-1.04</v>
      </c>
      <c r="H1072" s="21" t="s">
        <v>294</v>
      </c>
      <c r="I1072" s="21">
        <v>0</v>
      </c>
      <c r="J1072" s="21">
        <v>1</v>
      </c>
      <c r="K1072" s="21">
        <v>6</v>
      </c>
      <c r="L1072" s="21">
        <v>1</v>
      </c>
      <c r="M1072" s="21">
        <v>6</v>
      </c>
      <c r="P1072" s="24">
        <f>J1072+L1072+N1072</f>
        <v>2</v>
      </c>
      <c r="Q1072" s="24">
        <f>K1072+M1072+O1072</f>
        <v>12</v>
      </c>
      <c r="R1072" s="24">
        <v>0.14285714285714285</v>
      </c>
      <c r="S1072" s="21" t="s">
        <v>186</v>
      </c>
      <c r="U1072" s="21" t="s">
        <v>287</v>
      </c>
      <c r="V1072" s="21" t="s">
        <v>286</v>
      </c>
      <c r="W1072" s="21">
        <v>5</v>
      </c>
      <c r="X1072" s="21" t="s">
        <v>285</v>
      </c>
      <c r="Y1072" s="21" t="s">
        <v>326</v>
      </c>
      <c r="Z1072" s="21" t="s">
        <v>325</v>
      </c>
      <c r="AA1072" s="21" t="s">
        <v>165</v>
      </c>
      <c r="AB1072" s="21">
        <v>1</v>
      </c>
      <c r="AD1072" s="24">
        <v>6.17</v>
      </c>
      <c r="AE1072" s="24">
        <v>8.31</v>
      </c>
      <c r="AF1072" s="21" t="s">
        <v>304</v>
      </c>
      <c r="AG1072" s="21" t="s">
        <v>303</v>
      </c>
    </row>
    <row r="1073" spans="1:33">
      <c r="A1073" s="21" t="s">
        <v>165</v>
      </c>
      <c r="B1073" s="21" t="s">
        <v>343</v>
      </c>
      <c r="C1073" s="25">
        <v>46118.625</v>
      </c>
      <c r="D1073" s="21" t="s">
        <v>14</v>
      </c>
      <c r="E1073" s="24">
        <v>6.02</v>
      </c>
      <c r="F1073" s="24">
        <v>6.73</v>
      </c>
      <c r="G1073" s="24">
        <f>E1073-F1073</f>
        <v>-0.71000000000000085</v>
      </c>
      <c r="H1073" s="21" t="s">
        <v>294</v>
      </c>
      <c r="I1073" s="21">
        <v>0</v>
      </c>
      <c r="J1073" s="21">
        <v>0</v>
      </c>
      <c r="K1073" s="21">
        <v>6</v>
      </c>
      <c r="L1073" s="21">
        <v>2</v>
      </c>
      <c r="M1073" s="21">
        <v>6</v>
      </c>
      <c r="P1073" s="24">
        <f>J1073+L1073+N1073</f>
        <v>2</v>
      </c>
      <c r="Q1073" s="24">
        <f>K1073+M1073+O1073</f>
        <v>12</v>
      </c>
      <c r="R1073" s="24">
        <v>0.14285714285714285</v>
      </c>
      <c r="S1073" s="21" t="s">
        <v>166</v>
      </c>
      <c r="U1073" s="21" t="s">
        <v>287</v>
      </c>
      <c r="V1073" s="21" t="s">
        <v>286</v>
      </c>
      <c r="W1073" s="21">
        <v>6</v>
      </c>
      <c r="X1073" s="21" t="s">
        <v>285</v>
      </c>
      <c r="Y1073" s="21" t="s">
        <v>326</v>
      </c>
      <c r="Z1073" s="21" t="s">
        <v>325</v>
      </c>
      <c r="AA1073" s="21" t="s">
        <v>165</v>
      </c>
      <c r="AB1073" s="21">
        <v>1</v>
      </c>
      <c r="AD1073" s="24">
        <v>6.17</v>
      </c>
      <c r="AE1073" s="24">
        <v>8.06</v>
      </c>
      <c r="AF1073" s="21" t="s">
        <v>304</v>
      </c>
      <c r="AG1073" s="21" t="s">
        <v>303</v>
      </c>
    </row>
    <row r="1074" spans="1:33">
      <c r="A1074" s="21" t="s">
        <v>165</v>
      </c>
      <c r="B1074" s="21" t="s">
        <v>343</v>
      </c>
      <c r="C1074" s="25">
        <v>46120.645833333336</v>
      </c>
      <c r="D1074" s="21" t="s">
        <v>28</v>
      </c>
      <c r="E1074" s="24">
        <v>5.99</v>
      </c>
      <c r="F1074" s="24">
        <v>8.06</v>
      </c>
      <c r="G1074" s="24">
        <f>E1074-F1074</f>
        <v>-2.0700000000000003</v>
      </c>
      <c r="H1074" s="21" t="s">
        <v>294</v>
      </c>
      <c r="I1074" s="21">
        <v>0</v>
      </c>
      <c r="J1074" s="21">
        <v>1</v>
      </c>
      <c r="K1074" s="21">
        <v>6</v>
      </c>
      <c r="L1074" s="21">
        <v>0</v>
      </c>
      <c r="M1074" s="21">
        <v>6</v>
      </c>
      <c r="P1074" s="24">
        <f>J1074+L1074+N1074</f>
        <v>1</v>
      </c>
      <c r="Q1074" s="24">
        <f>K1074+M1074+O1074</f>
        <v>12</v>
      </c>
      <c r="R1074" s="24">
        <v>7.6923076923076927E-2</v>
      </c>
      <c r="S1074" s="21" t="s">
        <v>156</v>
      </c>
      <c r="U1074" s="21" t="s">
        <v>287</v>
      </c>
      <c r="V1074" s="21" t="s">
        <v>286</v>
      </c>
      <c r="W1074" s="21">
        <v>7</v>
      </c>
      <c r="X1074" s="21" t="s">
        <v>285</v>
      </c>
      <c r="Y1074" s="21" t="s">
        <v>326</v>
      </c>
      <c r="Z1074" s="21" t="s">
        <v>325</v>
      </c>
      <c r="AA1074" s="21" t="s">
        <v>165</v>
      </c>
      <c r="AB1074" s="21">
        <v>1</v>
      </c>
      <c r="AD1074" s="24">
        <v>6.17</v>
      </c>
      <c r="AE1074" s="24">
        <v>8.57</v>
      </c>
      <c r="AF1074" s="21" t="s">
        <v>302</v>
      </c>
      <c r="AG1074" s="21" t="s">
        <v>301</v>
      </c>
    </row>
    <row r="1075" spans="1:33">
      <c r="A1075" s="21" t="s">
        <v>117</v>
      </c>
      <c r="B1075" s="21" t="s">
        <v>335</v>
      </c>
      <c r="C1075" s="25">
        <v>46092.645833333336</v>
      </c>
      <c r="D1075" s="21" t="s">
        <v>9</v>
      </c>
      <c r="E1075" s="24">
        <v>7.19</v>
      </c>
      <c r="F1075" s="24">
        <v>7.53</v>
      </c>
      <c r="G1075" s="24">
        <f>E1075-F1075</f>
        <v>-0.33999999999999986</v>
      </c>
      <c r="H1075" s="21" t="s">
        <v>289</v>
      </c>
      <c r="I1075" s="21">
        <v>1</v>
      </c>
      <c r="J1075" s="21">
        <v>6</v>
      </c>
      <c r="K1075" s="21">
        <v>2</v>
      </c>
      <c r="L1075" s="21">
        <v>6</v>
      </c>
      <c r="M1075" s="21">
        <v>4</v>
      </c>
      <c r="P1075" s="24">
        <f>J1075+L1075+N1075</f>
        <v>12</v>
      </c>
      <c r="Q1075" s="24">
        <f>K1075+M1075+O1075</f>
        <v>6</v>
      </c>
      <c r="R1075" s="24">
        <v>0.66666666666666663</v>
      </c>
      <c r="S1075" s="21" t="s">
        <v>342</v>
      </c>
      <c r="U1075" s="21" t="s">
        <v>287</v>
      </c>
      <c r="V1075" s="21" t="s">
        <v>286</v>
      </c>
      <c r="W1075" s="21">
        <v>0</v>
      </c>
      <c r="X1075" s="21" t="s">
        <v>312</v>
      </c>
      <c r="Y1075" s="21" t="s">
        <v>284</v>
      </c>
      <c r="Z1075" s="21" t="s">
        <v>283</v>
      </c>
      <c r="AA1075" s="21" t="s">
        <v>117</v>
      </c>
      <c r="AB1075" s="21">
        <v>1</v>
      </c>
      <c r="AD1075" s="24">
        <v>8.26</v>
      </c>
      <c r="AE1075" s="24">
        <v>7.81</v>
      </c>
      <c r="AF1075" s="21" t="s">
        <v>304</v>
      </c>
      <c r="AG1075" s="21" t="s">
        <v>303</v>
      </c>
    </row>
    <row r="1076" spans="1:33">
      <c r="A1076" s="21" t="s">
        <v>117</v>
      </c>
      <c r="B1076" s="21" t="s">
        <v>335</v>
      </c>
      <c r="C1076" s="25">
        <v>46098.645833333336</v>
      </c>
      <c r="D1076" s="21" t="s">
        <v>181</v>
      </c>
      <c r="E1076" s="24">
        <v>7.16</v>
      </c>
      <c r="F1076" s="24">
        <v>6</v>
      </c>
      <c r="G1076" s="24">
        <f>E1076-F1076</f>
        <v>1.1600000000000001</v>
      </c>
      <c r="H1076" s="21" t="s">
        <v>289</v>
      </c>
      <c r="I1076" s="21">
        <v>1</v>
      </c>
      <c r="J1076" s="21">
        <v>6</v>
      </c>
      <c r="K1076" s="21">
        <v>0</v>
      </c>
      <c r="L1076" s="21">
        <v>6</v>
      </c>
      <c r="M1076" s="21">
        <v>0</v>
      </c>
      <c r="P1076" s="24">
        <f>J1076+L1076+N1076</f>
        <v>12</v>
      </c>
      <c r="Q1076" s="24">
        <f>K1076+M1076+O1076</f>
        <v>0</v>
      </c>
      <c r="R1076" s="24">
        <v>1</v>
      </c>
      <c r="S1076" s="21" t="s">
        <v>239</v>
      </c>
      <c r="U1076" s="21" t="s">
        <v>287</v>
      </c>
      <c r="V1076" s="21" t="s">
        <v>286</v>
      </c>
      <c r="W1076" s="21">
        <v>1</v>
      </c>
      <c r="X1076" s="21" t="s">
        <v>323</v>
      </c>
      <c r="Y1076" s="21" t="s">
        <v>284</v>
      </c>
      <c r="Z1076" s="21" t="s">
        <v>283</v>
      </c>
      <c r="AA1076" s="21" t="s">
        <v>117</v>
      </c>
      <c r="AB1076" s="21">
        <v>1</v>
      </c>
      <c r="AD1076" s="24">
        <v>8.26</v>
      </c>
      <c r="AE1076" s="24">
        <v>6.07</v>
      </c>
      <c r="AF1076" s="21" t="s">
        <v>304</v>
      </c>
      <c r="AG1076" s="21" t="s">
        <v>341</v>
      </c>
    </row>
    <row r="1077" spans="1:33">
      <c r="A1077" s="21" t="s">
        <v>117</v>
      </c>
      <c r="B1077" s="21" t="s">
        <v>335</v>
      </c>
      <c r="C1077" s="25">
        <v>46111.645833333336</v>
      </c>
      <c r="D1077" s="21" t="s">
        <v>340</v>
      </c>
      <c r="E1077" s="24">
        <v>7.73</v>
      </c>
      <c r="F1077" s="24">
        <v>4.32</v>
      </c>
      <c r="G1077" s="24">
        <f>E1077-F1077</f>
        <v>3.41</v>
      </c>
      <c r="H1077" s="21" t="s">
        <v>289</v>
      </c>
      <c r="I1077" s="21">
        <v>1</v>
      </c>
      <c r="J1077" s="21">
        <v>6</v>
      </c>
      <c r="K1077" s="21">
        <v>1</v>
      </c>
      <c r="L1077" s="21">
        <v>6</v>
      </c>
      <c r="M1077" s="21">
        <v>0</v>
      </c>
      <c r="P1077" s="24">
        <f>J1077+L1077+N1077</f>
        <v>12</v>
      </c>
      <c r="Q1077" s="24">
        <f>K1077+M1077+O1077</f>
        <v>1</v>
      </c>
      <c r="R1077" s="24">
        <v>0.92307692307692313</v>
      </c>
      <c r="S1077" s="21" t="s">
        <v>339</v>
      </c>
      <c r="U1077" s="21" t="s">
        <v>287</v>
      </c>
      <c r="V1077" s="21" t="s">
        <v>286</v>
      </c>
      <c r="W1077" s="21">
        <v>2</v>
      </c>
      <c r="X1077" s="21" t="s">
        <v>310</v>
      </c>
      <c r="Y1077" s="21" t="s">
        <v>284</v>
      </c>
      <c r="Z1077" s="21" t="s">
        <v>283</v>
      </c>
      <c r="AA1077" s="21" t="s">
        <v>117</v>
      </c>
      <c r="AB1077" s="21">
        <v>1</v>
      </c>
      <c r="AD1077" s="24">
        <v>8.26</v>
      </c>
      <c r="AE1077" s="24">
        <v>4.32</v>
      </c>
      <c r="AF1077" s="21" t="s">
        <v>302</v>
      </c>
      <c r="AG1077" s="21" t="s">
        <v>301</v>
      </c>
    </row>
    <row r="1078" spans="1:33">
      <c r="A1078" s="21" t="s">
        <v>117</v>
      </c>
      <c r="B1078" s="21" t="s">
        <v>335</v>
      </c>
      <c r="C1078" s="25">
        <v>46113.645833333336</v>
      </c>
      <c r="D1078" s="21" t="s">
        <v>91</v>
      </c>
      <c r="E1078" s="24">
        <v>7.99</v>
      </c>
      <c r="F1078" s="24">
        <v>5.35</v>
      </c>
      <c r="G1078" s="24">
        <f>E1078-F1078</f>
        <v>2.6400000000000006</v>
      </c>
      <c r="H1078" s="21" t="s">
        <v>289</v>
      </c>
      <c r="I1078" s="21">
        <v>1</v>
      </c>
      <c r="J1078" s="21">
        <v>6</v>
      </c>
      <c r="K1078" s="21">
        <v>0</v>
      </c>
      <c r="L1078" s="21">
        <v>6</v>
      </c>
      <c r="M1078" s="21">
        <v>2</v>
      </c>
      <c r="P1078" s="24">
        <f>J1078+L1078+N1078</f>
        <v>12</v>
      </c>
      <c r="Q1078" s="24">
        <f>K1078+M1078+O1078</f>
        <v>2</v>
      </c>
      <c r="R1078" s="24">
        <v>0.8571428571428571</v>
      </c>
      <c r="S1078" s="21" t="s">
        <v>174</v>
      </c>
      <c r="U1078" s="21" t="s">
        <v>287</v>
      </c>
      <c r="V1078" s="21" t="s">
        <v>286</v>
      </c>
      <c r="W1078" s="21">
        <v>3</v>
      </c>
      <c r="X1078" s="21" t="s">
        <v>285</v>
      </c>
      <c r="Y1078" s="21" t="s">
        <v>284</v>
      </c>
      <c r="Z1078" s="21" t="s">
        <v>283</v>
      </c>
      <c r="AA1078" s="21" t="s">
        <v>117</v>
      </c>
      <c r="AB1078" s="21">
        <v>1</v>
      </c>
      <c r="AD1078" s="24">
        <v>8.26</v>
      </c>
      <c r="AE1078" s="24">
        <v>6.44</v>
      </c>
      <c r="AF1078" s="21" t="s">
        <v>304</v>
      </c>
      <c r="AG1078" s="21" t="s">
        <v>303</v>
      </c>
    </row>
    <row r="1079" spans="1:33">
      <c r="A1079" s="21" t="s">
        <v>117</v>
      </c>
      <c r="B1079" s="21" t="s">
        <v>335</v>
      </c>
      <c r="C1079" s="25">
        <v>46120.666666666664</v>
      </c>
      <c r="D1079" s="21" t="s">
        <v>338</v>
      </c>
      <c r="E1079" s="24">
        <v>8.02</v>
      </c>
      <c r="F1079" s="24">
        <v>7.48</v>
      </c>
      <c r="G1079" s="24">
        <f>E1079-F1079</f>
        <v>0.53999999999999915</v>
      </c>
      <c r="H1079" s="21" t="s">
        <v>294</v>
      </c>
      <c r="I1079" s="21">
        <v>0</v>
      </c>
      <c r="J1079" s="21">
        <v>6</v>
      </c>
      <c r="K1079" s="21">
        <v>7</v>
      </c>
      <c r="L1079" s="21">
        <v>6</v>
      </c>
      <c r="M1079" s="21">
        <v>0</v>
      </c>
      <c r="N1079" s="21">
        <v>0</v>
      </c>
      <c r="O1079" s="21">
        <v>1</v>
      </c>
      <c r="P1079" s="24">
        <f>J1079+L1079+N1079</f>
        <v>12</v>
      </c>
      <c r="Q1079" s="24">
        <f>K1079+M1079+O1079</f>
        <v>8</v>
      </c>
      <c r="R1079" s="24">
        <v>0.145985401459854</v>
      </c>
      <c r="S1079" s="21" t="s">
        <v>337</v>
      </c>
      <c r="U1079" s="21" t="s">
        <v>287</v>
      </c>
      <c r="V1079" s="21" t="s">
        <v>286</v>
      </c>
      <c r="W1079" s="21">
        <v>4</v>
      </c>
      <c r="X1079" s="21" t="s">
        <v>285</v>
      </c>
      <c r="Y1079" s="21" t="s">
        <v>284</v>
      </c>
      <c r="Z1079" s="21" t="s">
        <v>283</v>
      </c>
      <c r="AA1079" s="21" t="s">
        <v>117</v>
      </c>
      <c r="AB1079" s="21">
        <v>1</v>
      </c>
      <c r="AD1079" s="24">
        <v>8.26</v>
      </c>
      <c r="AE1079" s="24">
        <v>7.48</v>
      </c>
      <c r="AF1079" s="21" t="s">
        <v>304</v>
      </c>
      <c r="AG1079" s="21" t="s">
        <v>303</v>
      </c>
    </row>
    <row r="1080" spans="1:33">
      <c r="A1080" s="21" t="s">
        <v>117</v>
      </c>
      <c r="B1080" s="21" t="s">
        <v>335</v>
      </c>
      <c r="C1080" s="25">
        <v>46121.333333333336</v>
      </c>
      <c r="D1080" s="21" t="s">
        <v>203</v>
      </c>
      <c r="E1080" s="24">
        <v>8.02</v>
      </c>
      <c r="F1080" s="24">
        <v>4.88</v>
      </c>
      <c r="G1080" s="24">
        <f>E1080-F1080</f>
        <v>3.1399999999999997</v>
      </c>
      <c r="H1080" s="21" t="s">
        <v>289</v>
      </c>
      <c r="I1080" s="21">
        <v>1</v>
      </c>
      <c r="J1080" s="21">
        <v>6</v>
      </c>
      <c r="K1080" s="21">
        <v>0</v>
      </c>
      <c r="L1080" s="21">
        <v>6</v>
      </c>
      <c r="M1080" s="21">
        <v>0</v>
      </c>
      <c r="P1080" s="24">
        <f>J1080+L1080+N1080</f>
        <v>12</v>
      </c>
      <c r="Q1080" s="24">
        <f>K1080+M1080+O1080</f>
        <v>0</v>
      </c>
      <c r="R1080" s="24">
        <v>1</v>
      </c>
      <c r="S1080" s="21" t="s">
        <v>336</v>
      </c>
      <c r="U1080" s="21" t="s">
        <v>287</v>
      </c>
      <c r="V1080" s="21" t="s">
        <v>286</v>
      </c>
      <c r="W1080" s="21">
        <v>5</v>
      </c>
      <c r="X1080" s="21" t="s">
        <v>285</v>
      </c>
      <c r="Y1080" s="21" t="s">
        <v>284</v>
      </c>
      <c r="Z1080" s="21" t="s">
        <v>283</v>
      </c>
      <c r="AA1080" s="21" t="s">
        <v>117</v>
      </c>
      <c r="AB1080" s="21">
        <v>1</v>
      </c>
      <c r="AD1080" s="24">
        <v>8.26</v>
      </c>
      <c r="AE1080" s="24">
        <v>6.03</v>
      </c>
      <c r="AF1080" s="21" t="s">
        <v>304</v>
      </c>
      <c r="AG1080" s="21" t="s">
        <v>303</v>
      </c>
    </row>
    <row r="1081" spans="1:33">
      <c r="A1081" s="21" t="s">
        <v>117</v>
      </c>
      <c r="B1081" s="21" t="s">
        <v>335</v>
      </c>
      <c r="C1081" s="25">
        <v>46125.645833333336</v>
      </c>
      <c r="D1081" s="21" t="s">
        <v>26</v>
      </c>
      <c r="E1081" s="24">
        <v>8.02</v>
      </c>
      <c r="F1081" s="24">
        <v>6.79</v>
      </c>
      <c r="G1081" s="24">
        <f>E1081-F1081</f>
        <v>1.2299999999999995</v>
      </c>
      <c r="H1081" s="21" t="s">
        <v>289</v>
      </c>
      <c r="I1081" s="21">
        <v>1</v>
      </c>
      <c r="J1081" s="21">
        <v>6</v>
      </c>
      <c r="K1081" s="21">
        <v>4</v>
      </c>
      <c r="L1081" s="21">
        <v>6</v>
      </c>
      <c r="M1081" s="21">
        <v>1</v>
      </c>
      <c r="P1081" s="24">
        <f>J1081+L1081+N1081</f>
        <v>12</v>
      </c>
      <c r="Q1081" s="24">
        <f>K1081+M1081+O1081</f>
        <v>5</v>
      </c>
      <c r="R1081" s="24">
        <v>0.70588235294117652</v>
      </c>
      <c r="S1081" s="21" t="s">
        <v>118</v>
      </c>
      <c r="U1081" s="21" t="s">
        <v>287</v>
      </c>
      <c r="V1081" s="21" t="s">
        <v>286</v>
      </c>
      <c r="W1081" s="21">
        <v>6</v>
      </c>
      <c r="X1081" s="21" t="s">
        <v>285</v>
      </c>
      <c r="Y1081" s="21" t="s">
        <v>284</v>
      </c>
      <c r="Z1081" s="21" t="s">
        <v>283</v>
      </c>
      <c r="AA1081" s="21" t="s">
        <v>117</v>
      </c>
      <c r="AB1081" s="21">
        <v>1</v>
      </c>
      <c r="AD1081" s="24">
        <v>8.26</v>
      </c>
      <c r="AE1081" s="24">
        <v>7.98</v>
      </c>
      <c r="AF1081" s="21" t="s">
        <v>302</v>
      </c>
      <c r="AG1081" s="21" t="s">
        <v>301</v>
      </c>
    </row>
    <row r="1082" spans="1:33">
      <c r="A1082" s="21" t="s">
        <v>234</v>
      </c>
      <c r="B1082" s="21" t="s">
        <v>329</v>
      </c>
      <c r="C1082" s="25">
        <v>46098.645833333336</v>
      </c>
      <c r="D1082" s="21" t="s">
        <v>2</v>
      </c>
      <c r="E1082" s="24">
        <v>4.1900000000000004</v>
      </c>
      <c r="F1082" s="24">
        <v>7.76</v>
      </c>
      <c r="G1082" s="24">
        <f>E1082-F1082</f>
        <v>-3.5699999999999994</v>
      </c>
      <c r="H1082" s="21" t="s">
        <v>294</v>
      </c>
      <c r="I1082" s="21">
        <v>0</v>
      </c>
      <c r="J1082" s="21">
        <v>0</v>
      </c>
      <c r="K1082" s="21">
        <v>6</v>
      </c>
      <c r="L1082" s="21">
        <v>0</v>
      </c>
      <c r="M1082" s="21">
        <v>6</v>
      </c>
      <c r="P1082" s="24">
        <f>J1082+L1082+N1082</f>
        <v>0</v>
      </c>
      <c r="Q1082" s="24">
        <f>K1082+M1082+O1082</f>
        <v>12</v>
      </c>
      <c r="R1082" s="24">
        <v>0</v>
      </c>
      <c r="S1082" s="21" t="s">
        <v>334</v>
      </c>
      <c r="U1082" s="21" t="s">
        <v>287</v>
      </c>
      <c r="V1082" s="21" t="s">
        <v>286</v>
      </c>
      <c r="W1082" s="21">
        <v>0</v>
      </c>
      <c r="X1082" s="21" t="s">
        <v>312</v>
      </c>
      <c r="Y1082" s="21" t="s">
        <v>326</v>
      </c>
      <c r="Z1082" s="21" t="s">
        <v>325</v>
      </c>
      <c r="AA1082" s="21" t="s">
        <v>234</v>
      </c>
      <c r="AB1082" s="21">
        <v>1</v>
      </c>
      <c r="AD1082" s="24">
        <v>4.54</v>
      </c>
      <c r="AE1082" s="24">
        <v>7.1</v>
      </c>
      <c r="AF1082" s="21" t="s">
        <v>304</v>
      </c>
      <c r="AG1082" s="21" t="s">
        <v>303</v>
      </c>
    </row>
    <row r="1083" spans="1:33">
      <c r="A1083" s="21" t="s">
        <v>234</v>
      </c>
      <c r="B1083" s="21" t="s">
        <v>329</v>
      </c>
      <c r="C1083" s="25">
        <v>46099.645833333336</v>
      </c>
      <c r="D1083" s="21" t="s">
        <v>34</v>
      </c>
      <c r="E1083" s="24">
        <v>4.1900000000000004</v>
      </c>
      <c r="F1083" s="24">
        <v>4.83</v>
      </c>
      <c r="G1083" s="24">
        <f>E1083-F1083</f>
        <v>-0.63999999999999968</v>
      </c>
      <c r="H1083" s="21" t="s">
        <v>294</v>
      </c>
      <c r="I1083" s="21">
        <v>0</v>
      </c>
      <c r="J1083" s="21">
        <v>2</v>
      </c>
      <c r="K1083" s="21">
        <v>6</v>
      </c>
      <c r="L1083" s="21">
        <v>0</v>
      </c>
      <c r="M1083" s="21">
        <v>6</v>
      </c>
      <c r="P1083" s="24">
        <f>J1083+L1083+N1083</f>
        <v>2</v>
      </c>
      <c r="Q1083" s="24">
        <f>K1083+M1083+O1083</f>
        <v>12</v>
      </c>
      <c r="R1083" s="24">
        <v>0.14285714285714285</v>
      </c>
      <c r="S1083" s="21" t="s">
        <v>229</v>
      </c>
      <c r="U1083" s="21" t="s">
        <v>287</v>
      </c>
      <c r="V1083" s="21" t="s">
        <v>286</v>
      </c>
      <c r="W1083" s="21">
        <v>1</v>
      </c>
      <c r="X1083" s="21" t="s">
        <v>323</v>
      </c>
      <c r="Y1083" s="21" t="s">
        <v>326</v>
      </c>
      <c r="Z1083" s="21" t="s">
        <v>325</v>
      </c>
      <c r="AA1083" s="21" t="s">
        <v>234</v>
      </c>
      <c r="AB1083" s="21">
        <v>1</v>
      </c>
      <c r="AD1083" s="24">
        <v>4.54</v>
      </c>
      <c r="AE1083" s="24">
        <v>5.28</v>
      </c>
      <c r="AF1083" s="21" t="s">
        <v>304</v>
      </c>
      <c r="AG1083" s="21" t="s">
        <v>303</v>
      </c>
    </row>
    <row r="1084" spans="1:33">
      <c r="A1084" s="21" t="s">
        <v>234</v>
      </c>
      <c r="B1084" s="21" t="s">
        <v>329</v>
      </c>
      <c r="C1084" s="25">
        <v>46106.645833333336</v>
      </c>
      <c r="D1084" s="21" t="s">
        <v>333</v>
      </c>
      <c r="E1084" s="24">
        <v>4.25</v>
      </c>
      <c r="F1084" s="24">
        <v>3.93</v>
      </c>
      <c r="G1084" s="24">
        <f>E1084-F1084</f>
        <v>0.31999999999999984</v>
      </c>
      <c r="H1084" s="21" t="s">
        <v>289</v>
      </c>
      <c r="I1084" s="21">
        <v>1</v>
      </c>
      <c r="J1084" s="21">
        <v>7</v>
      </c>
      <c r="K1084" s="21">
        <v>6</v>
      </c>
      <c r="L1084" s="21">
        <v>6</v>
      </c>
      <c r="M1084" s="21">
        <v>2</v>
      </c>
      <c r="P1084" s="24">
        <f>J1084+L1084+N1084</f>
        <v>13</v>
      </c>
      <c r="Q1084" s="24">
        <f>K1084+M1084+O1084</f>
        <v>8</v>
      </c>
      <c r="R1084" s="24">
        <v>0.55194805194805197</v>
      </c>
      <c r="S1084" s="21" t="s">
        <v>332</v>
      </c>
      <c r="U1084" s="21" t="s">
        <v>287</v>
      </c>
      <c r="V1084" s="21" t="s">
        <v>286</v>
      </c>
      <c r="W1084" s="21">
        <v>2</v>
      </c>
      <c r="X1084" s="21" t="s">
        <v>310</v>
      </c>
      <c r="Y1084" s="21" t="s">
        <v>326</v>
      </c>
      <c r="Z1084" s="21" t="s">
        <v>325</v>
      </c>
      <c r="AA1084" s="21" t="s">
        <v>234</v>
      </c>
      <c r="AB1084" s="21">
        <v>1</v>
      </c>
      <c r="AD1084" s="24">
        <v>4.54</v>
      </c>
      <c r="AE1084" s="24">
        <v>3.93</v>
      </c>
      <c r="AF1084" s="21" t="s">
        <v>304</v>
      </c>
      <c r="AG1084" s="21" t="s">
        <v>303</v>
      </c>
    </row>
    <row r="1085" spans="1:33">
      <c r="A1085" s="21" t="s">
        <v>234</v>
      </c>
      <c r="B1085" s="21" t="s">
        <v>329</v>
      </c>
      <c r="C1085" s="25">
        <v>46111.645833333336</v>
      </c>
      <c r="D1085" s="21" t="s">
        <v>23</v>
      </c>
      <c r="E1085" s="24">
        <v>4.25</v>
      </c>
      <c r="F1085" s="24">
        <v>6.54</v>
      </c>
      <c r="G1085" s="24">
        <f>E1085-F1085</f>
        <v>-2.29</v>
      </c>
      <c r="H1085" s="21" t="s">
        <v>294</v>
      </c>
      <c r="I1085" s="21">
        <v>0</v>
      </c>
      <c r="J1085" s="21">
        <v>0</v>
      </c>
      <c r="K1085" s="21">
        <v>6</v>
      </c>
      <c r="L1085" s="21">
        <v>1</v>
      </c>
      <c r="M1085" s="21">
        <v>6</v>
      </c>
      <c r="P1085" s="24">
        <f>J1085+L1085+N1085</f>
        <v>1</v>
      </c>
      <c r="Q1085" s="24">
        <f>K1085+M1085+O1085</f>
        <v>12</v>
      </c>
      <c r="R1085" s="24">
        <v>7.6923076923076927E-2</v>
      </c>
      <c r="S1085" s="21" t="s">
        <v>331</v>
      </c>
      <c r="U1085" s="21" t="s">
        <v>287</v>
      </c>
      <c r="V1085" s="21" t="s">
        <v>286</v>
      </c>
      <c r="W1085" s="21">
        <v>3</v>
      </c>
      <c r="X1085" s="21" t="s">
        <v>285</v>
      </c>
      <c r="Y1085" s="21" t="s">
        <v>326</v>
      </c>
      <c r="Z1085" s="21" t="s">
        <v>325</v>
      </c>
      <c r="AA1085" s="21" t="s">
        <v>234</v>
      </c>
      <c r="AB1085" s="21">
        <v>1</v>
      </c>
      <c r="AD1085" s="24">
        <v>4.54</v>
      </c>
      <c r="AE1085" s="24">
        <v>7.15</v>
      </c>
      <c r="AF1085" s="21" t="s">
        <v>304</v>
      </c>
      <c r="AG1085" s="21" t="s">
        <v>303</v>
      </c>
    </row>
    <row r="1086" spans="1:33">
      <c r="A1086" s="21" t="s">
        <v>234</v>
      </c>
      <c r="B1086" s="21" t="s">
        <v>329</v>
      </c>
      <c r="C1086" s="25">
        <v>46120.645833333336</v>
      </c>
      <c r="D1086" s="21" t="s">
        <v>58</v>
      </c>
      <c r="E1086" s="24">
        <v>4.1500000000000004</v>
      </c>
      <c r="F1086" s="24">
        <v>4.51</v>
      </c>
      <c r="G1086" s="24">
        <f>E1086-F1086</f>
        <v>-0.35999999999999943</v>
      </c>
      <c r="H1086" s="21" t="s">
        <v>294</v>
      </c>
      <c r="I1086" s="21">
        <v>0</v>
      </c>
      <c r="J1086" s="21">
        <v>6</v>
      </c>
      <c r="K1086" s="21">
        <v>4</v>
      </c>
      <c r="L1086" s="21">
        <v>4</v>
      </c>
      <c r="M1086" s="21">
        <v>6</v>
      </c>
      <c r="N1086" s="21">
        <v>6</v>
      </c>
      <c r="O1086" s="21">
        <v>7</v>
      </c>
      <c r="P1086" s="24">
        <f>J1086+L1086+N1086</f>
        <v>16</v>
      </c>
      <c r="Q1086" s="24">
        <f>K1086+M1086+O1086</f>
        <v>17</v>
      </c>
      <c r="R1086" s="24">
        <v>0.46296296296296297</v>
      </c>
      <c r="S1086" s="21" t="s">
        <v>330</v>
      </c>
      <c r="U1086" s="21" t="s">
        <v>287</v>
      </c>
      <c r="V1086" s="21" t="s">
        <v>286</v>
      </c>
      <c r="W1086" s="21">
        <v>4</v>
      </c>
      <c r="X1086" s="21" t="s">
        <v>285</v>
      </c>
      <c r="Y1086" s="21" t="s">
        <v>326</v>
      </c>
      <c r="Z1086" s="21" t="s">
        <v>325</v>
      </c>
      <c r="AA1086" s="21" t="s">
        <v>234</v>
      </c>
      <c r="AB1086" s="21">
        <v>1</v>
      </c>
      <c r="AD1086" s="24">
        <v>4.54</v>
      </c>
      <c r="AE1086" s="24">
        <v>4.9000000000000004</v>
      </c>
      <c r="AF1086" s="21" t="s">
        <v>304</v>
      </c>
      <c r="AG1086" s="21" t="s">
        <v>303</v>
      </c>
    </row>
    <row r="1087" spans="1:33">
      <c r="A1087" s="21" t="s">
        <v>234</v>
      </c>
      <c r="B1087" s="21" t="s">
        <v>329</v>
      </c>
      <c r="C1087" s="25">
        <v>46132.645833333336</v>
      </c>
      <c r="D1087" s="21" t="s">
        <v>328</v>
      </c>
      <c r="E1087" s="24">
        <v>4.16</v>
      </c>
      <c r="F1087" s="24">
        <v>4.84</v>
      </c>
      <c r="G1087" s="24">
        <f>E1087-F1087</f>
        <v>-0.67999999999999972</v>
      </c>
      <c r="H1087" s="21" t="s">
        <v>294</v>
      </c>
      <c r="I1087" s="21">
        <v>0</v>
      </c>
      <c r="J1087" s="21">
        <v>6</v>
      </c>
      <c r="K1087" s="21">
        <v>3</v>
      </c>
      <c r="L1087" s="21">
        <v>3</v>
      </c>
      <c r="M1087" s="21">
        <v>6</v>
      </c>
      <c r="N1087" s="21">
        <v>5</v>
      </c>
      <c r="O1087" s="21">
        <v>7</v>
      </c>
      <c r="P1087" s="24">
        <f>J1087+L1087+N1087</f>
        <v>14</v>
      </c>
      <c r="Q1087" s="24">
        <f>K1087+M1087+O1087</f>
        <v>16</v>
      </c>
      <c r="R1087" s="24">
        <v>0.46666666666666667</v>
      </c>
      <c r="S1087" s="21" t="s">
        <v>327</v>
      </c>
      <c r="U1087" s="21" t="s">
        <v>287</v>
      </c>
      <c r="V1087" s="21" t="s">
        <v>286</v>
      </c>
      <c r="W1087" s="21">
        <v>5</v>
      </c>
      <c r="X1087" s="21" t="s">
        <v>285</v>
      </c>
      <c r="Y1087" s="21" t="s">
        <v>326</v>
      </c>
      <c r="Z1087" s="21" t="s">
        <v>325</v>
      </c>
      <c r="AA1087" s="21" t="s">
        <v>234</v>
      </c>
      <c r="AB1087" s="21">
        <v>1</v>
      </c>
      <c r="AD1087" s="24">
        <v>4.54</v>
      </c>
      <c r="AE1087" s="24">
        <v>4.84</v>
      </c>
      <c r="AF1087" s="21" t="s">
        <v>304</v>
      </c>
      <c r="AG1087" s="21" t="s">
        <v>303</v>
      </c>
    </row>
    <row r="1088" spans="1:33">
      <c r="A1088" s="21" t="s">
        <v>70</v>
      </c>
      <c r="B1088" s="21" t="s">
        <v>319</v>
      </c>
      <c r="C1088" s="25">
        <v>46098.625</v>
      </c>
      <c r="D1088" s="21" t="s">
        <v>91</v>
      </c>
      <c r="E1088" s="24">
        <v>8.11</v>
      </c>
      <c r="F1088" s="24">
        <v>5.71</v>
      </c>
      <c r="G1088" s="24">
        <f>E1088-F1088</f>
        <v>2.3999999999999995</v>
      </c>
      <c r="H1088" s="21" t="s">
        <v>289</v>
      </c>
      <c r="I1088" s="21">
        <v>1</v>
      </c>
      <c r="J1088" s="21">
        <v>6</v>
      </c>
      <c r="K1088" s="21">
        <v>4</v>
      </c>
      <c r="L1088" s="21">
        <v>6</v>
      </c>
      <c r="M1088" s="21">
        <v>7</v>
      </c>
      <c r="N1088" s="21">
        <v>1</v>
      </c>
      <c r="O1088" s="21">
        <v>0</v>
      </c>
      <c r="P1088" s="24">
        <f>J1088+L1088+N1088</f>
        <v>13</v>
      </c>
      <c r="Q1088" s="24">
        <f>K1088+M1088+O1088</f>
        <v>11</v>
      </c>
      <c r="R1088" s="24">
        <v>0.66791044776119401</v>
      </c>
      <c r="S1088" s="21" t="s">
        <v>324</v>
      </c>
      <c r="U1088" s="21" t="s">
        <v>287</v>
      </c>
      <c r="V1088" s="21" t="s">
        <v>286</v>
      </c>
      <c r="W1088" s="21">
        <v>0</v>
      </c>
      <c r="X1088" s="21" t="s">
        <v>312</v>
      </c>
      <c r="Y1088" s="21" t="s">
        <v>318</v>
      </c>
      <c r="Z1088" s="21" t="s">
        <v>317</v>
      </c>
      <c r="AA1088" s="21" t="s">
        <v>70</v>
      </c>
      <c r="AB1088" s="21">
        <v>1</v>
      </c>
      <c r="AD1088" s="24">
        <v>7.26</v>
      </c>
      <c r="AE1088" s="24">
        <v>6.61</v>
      </c>
      <c r="AF1088" s="21" t="s">
        <v>322</v>
      </c>
      <c r="AG1088" s="21" t="s">
        <v>301</v>
      </c>
    </row>
    <row r="1089" spans="1:33">
      <c r="A1089" s="21" t="s">
        <v>70</v>
      </c>
      <c r="B1089" s="21" t="s">
        <v>319</v>
      </c>
      <c r="C1089" s="25">
        <v>46099.645833333336</v>
      </c>
      <c r="D1089" s="21" t="s">
        <v>46</v>
      </c>
      <c r="E1089" s="24">
        <v>8.11</v>
      </c>
      <c r="F1089" s="24">
        <v>7.32</v>
      </c>
      <c r="G1089" s="24">
        <f>E1089-F1089</f>
        <v>0.78999999999999915</v>
      </c>
      <c r="H1089" s="21" t="s">
        <v>294</v>
      </c>
      <c r="I1089" s="21">
        <v>0</v>
      </c>
      <c r="J1089" s="21">
        <v>1</v>
      </c>
      <c r="K1089" s="21">
        <v>6</v>
      </c>
      <c r="L1089" s="21">
        <v>2</v>
      </c>
      <c r="M1089" s="21">
        <v>6</v>
      </c>
      <c r="P1089" s="24">
        <f>J1089+L1089+N1089</f>
        <v>3</v>
      </c>
      <c r="Q1089" s="24">
        <f>K1089+M1089+O1089</f>
        <v>12</v>
      </c>
      <c r="R1089" s="24">
        <v>0.2</v>
      </c>
      <c r="S1089" s="21" t="s">
        <v>232</v>
      </c>
      <c r="U1089" s="21" t="s">
        <v>287</v>
      </c>
      <c r="V1089" s="21" t="s">
        <v>286</v>
      </c>
      <c r="W1089" s="21">
        <v>1</v>
      </c>
      <c r="X1089" s="21" t="s">
        <v>323</v>
      </c>
      <c r="Y1089" s="21" t="s">
        <v>318</v>
      </c>
      <c r="Z1089" s="21" t="s">
        <v>317</v>
      </c>
      <c r="AA1089" s="21" t="s">
        <v>70</v>
      </c>
      <c r="AB1089" s="21">
        <v>1</v>
      </c>
      <c r="AD1089" s="24">
        <v>7.26</v>
      </c>
      <c r="AE1089" s="24">
        <v>7.96</v>
      </c>
      <c r="AF1089" s="21" t="s">
        <v>322</v>
      </c>
      <c r="AG1089" s="21" t="s">
        <v>301</v>
      </c>
    </row>
    <row r="1090" spans="1:33">
      <c r="A1090" s="21" t="s">
        <v>70</v>
      </c>
      <c r="B1090" s="21" t="s">
        <v>319</v>
      </c>
      <c r="C1090" s="25">
        <v>46106.645833333336</v>
      </c>
      <c r="D1090" s="21" t="s">
        <v>54</v>
      </c>
      <c r="E1090" s="24">
        <v>8.18</v>
      </c>
      <c r="F1090" s="24">
        <v>4.54</v>
      </c>
      <c r="G1090" s="24">
        <f>E1090-F1090</f>
        <v>3.6399999999999997</v>
      </c>
      <c r="H1090" s="21" t="s">
        <v>289</v>
      </c>
      <c r="I1090" s="21">
        <v>1</v>
      </c>
      <c r="J1090" s="21">
        <v>6</v>
      </c>
      <c r="K1090" s="21">
        <v>1</v>
      </c>
      <c r="L1090" s="21">
        <v>6</v>
      </c>
      <c r="M1090" s="21">
        <v>1</v>
      </c>
      <c r="P1090" s="24">
        <f>J1090+L1090+N1090</f>
        <v>12</v>
      </c>
      <c r="Q1090" s="24">
        <f>K1090+M1090+O1090</f>
        <v>2</v>
      </c>
      <c r="R1090" s="24">
        <v>0.8571428571428571</v>
      </c>
      <c r="S1090" s="21" t="s">
        <v>321</v>
      </c>
      <c r="U1090" s="21" t="s">
        <v>287</v>
      </c>
      <c r="V1090" s="21" t="s">
        <v>286</v>
      </c>
      <c r="W1090" s="21">
        <v>2</v>
      </c>
      <c r="X1090" s="21" t="s">
        <v>310</v>
      </c>
      <c r="Y1090" s="21" t="s">
        <v>318</v>
      </c>
      <c r="Z1090" s="21" t="s">
        <v>317</v>
      </c>
      <c r="AA1090" s="21" t="s">
        <v>70</v>
      </c>
      <c r="AB1090" s="21">
        <v>1</v>
      </c>
      <c r="AD1090" s="24">
        <v>7.26</v>
      </c>
      <c r="AE1090" s="24">
        <v>4.8600000000000003</v>
      </c>
      <c r="AF1090" s="21" t="s">
        <v>304</v>
      </c>
      <c r="AG1090" s="21" t="s">
        <v>303</v>
      </c>
    </row>
    <row r="1091" spans="1:33">
      <c r="A1091" s="21" t="s">
        <v>70</v>
      </c>
      <c r="B1091" s="21" t="s">
        <v>319</v>
      </c>
      <c r="C1091" s="25">
        <v>46126.645833333336</v>
      </c>
      <c r="D1091" s="21" t="s">
        <v>76</v>
      </c>
      <c r="E1091" s="24">
        <v>7.81</v>
      </c>
      <c r="F1091" s="24">
        <v>4.45</v>
      </c>
      <c r="G1091" s="24">
        <f>E1091-F1091</f>
        <v>3.3599999999999994</v>
      </c>
      <c r="H1091" s="21" t="s">
        <v>289</v>
      </c>
      <c r="I1091" s="21">
        <v>1</v>
      </c>
      <c r="J1091" s="21">
        <v>6</v>
      </c>
      <c r="K1091" s="21">
        <v>1</v>
      </c>
      <c r="L1091" s="21">
        <v>6</v>
      </c>
      <c r="M1091" s="21">
        <v>0</v>
      </c>
      <c r="P1091" s="24">
        <f>J1091+L1091+N1091</f>
        <v>12</v>
      </c>
      <c r="Q1091" s="24">
        <f>K1091+M1091+O1091</f>
        <v>1</v>
      </c>
      <c r="R1091" s="24">
        <v>0.92307692307692313</v>
      </c>
      <c r="S1091" s="21" t="s">
        <v>320</v>
      </c>
      <c r="U1091" s="21" t="s">
        <v>287</v>
      </c>
      <c r="V1091" s="21" t="s">
        <v>286</v>
      </c>
      <c r="W1091" s="21">
        <v>3</v>
      </c>
      <c r="X1091" s="21" t="s">
        <v>285</v>
      </c>
      <c r="Y1091" s="21" t="s">
        <v>318</v>
      </c>
      <c r="Z1091" s="21" t="s">
        <v>317</v>
      </c>
      <c r="AA1091" s="21" t="s">
        <v>70</v>
      </c>
      <c r="AB1091" s="21">
        <v>1</v>
      </c>
      <c r="AD1091" s="24">
        <v>7.26</v>
      </c>
      <c r="AE1091" s="24">
        <v>4.45</v>
      </c>
      <c r="AF1091" s="21" t="s">
        <v>302</v>
      </c>
      <c r="AG1091" s="21" t="s">
        <v>301</v>
      </c>
    </row>
    <row r="1092" spans="1:33">
      <c r="A1092" s="21" t="s">
        <v>70</v>
      </c>
      <c r="B1092" s="21" t="s">
        <v>319</v>
      </c>
      <c r="C1092" s="25">
        <v>46127.333333333336</v>
      </c>
      <c r="D1092" s="21" t="s">
        <v>42</v>
      </c>
      <c r="E1092" s="24">
        <v>7.81</v>
      </c>
      <c r="F1092" s="24">
        <v>7.84</v>
      </c>
      <c r="G1092" s="24">
        <f>E1092-F1092</f>
        <v>-3.0000000000000249E-2</v>
      </c>
      <c r="H1092" s="21" t="s">
        <v>294</v>
      </c>
      <c r="I1092" s="21">
        <v>0</v>
      </c>
      <c r="J1092" s="21">
        <v>1</v>
      </c>
      <c r="K1092" s="21">
        <v>6</v>
      </c>
      <c r="L1092" s="21">
        <v>1</v>
      </c>
      <c r="M1092" s="21">
        <v>6</v>
      </c>
      <c r="P1092" s="24">
        <f>J1092+L1092+N1092</f>
        <v>2</v>
      </c>
      <c r="Q1092" s="24">
        <f>K1092+M1092+O1092</f>
        <v>12</v>
      </c>
      <c r="R1092" s="24">
        <v>0.14285714285714285</v>
      </c>
      <c r="S1092" s="21" t="s">
        <v>100</v>
      </c>
      <c r="U1092" s="21" t="s">
        <v>287</v>
      </c>
      <c r="V1092" s="21" t="s">
        <v>286</v>
      </c>
      <c r="W1092" s="21">
        <v>4</v>
      </c>
      <c r="X1092" s="21" t="s">
        <v>285</v>
      </c>
      <c r="Y1092" s="21" t="s">
        <v>318</v>
      </c>
      <c r="Z1092" s="21" t="s">
        <v>317</v>
      </c>
      <c r="AA1092" s="21" t="s">
        <v>70</v>
      </c>
      <c r="AB1092" s="21">
        <v>1</v>
      </c>
      <c r="AD1092" s="24">
        <v>7.26</v>
      </c>
      <c r="AE1092" s="24">
        <v>8.3699999999999992</v>
      </c>
      <c r="AF1092" s="21" t="s">
        <v>304</v>
      </c>
      <c r="AG1092" s="21" t="s">
        <v>303</v>
      </c>
    </row>
    <row r="1093" spans="1:33">
      <c r="A1093" s="21" t="s">
        <v>70</v>
      </c>
      <c r="B1093" s="21" t="s">
        <v>319</v>
      </c>
      <c r="C1093" s="25">
        <v>46128.541666666664</v>
      </c>
      <c r="D1093" s="21" t="s">
        <v>128</v>
      </c>
      <c r="E1093" s="24">
        <v>7.81</v>
      </c>
      <c r="F1093" s="24">
        <v>6.77</v>
      </c>
      <c r="G1093" s="24">
        <f>E1093-F1093</f>
        <v>1.04</v>
      </c>
      <c r="H1093" s="21" t="s">
        <v>289</v>
      </c>
      <c r="I1093" s="21">
        <v>1</v>
      </c>
      <c r="J1093" s="21">
        <v>8</v>
      </c>
      <c r="K1093" s="21">
        <v>2</v>
      </c>
      <c r="P1093" s="24">
        <f>J1093+L1093+N1093</f>
        <v>8</v>
      </c>
      <c r="Q1093" s="24">
        <f>K1093+M1093+O1093</f>
        <v>2</v>
      </c>
      <c r="R1093" s="24">
        <v>0.8</v>
      </c>
      <c r="S1093" s="21" t="s">
        <v>68</v>
      </c>
      <c r="T1093" s="21" t="s">
        <v>296</v>
      </c>
      <c r="U1093" s="21" t="s">
        <v>287</v>
      </c>
      <c r="V1093" s="21" t="s">
        <v>286</v>
      </c>
      <c r="W1093" s="21">
        <v>5</v>
      </c>
      <c r="X1093" s="21" t="s">
        <v>285</v>
      </c>
      <c r="Y1093" s="21" t="s">
        <v>318</v>
      </c>
      <c r="Z1093" s="21" t="s">
        <v>317</v>
      </c>
      <c r="AA1093" s="21" t="s">
        <v>70</v>
      </c>
      <c r="AB1093" s="21">
        <v>1</v>
      </c>
      <c r="AD1093" s="24">
        <v>7.26</v>
      </c>
      <c r="AE1093" s="24">
        <v>6.89</v>
      </c>
      <c r="AF1093" s="21" t="s">
        <v>304</v>
      </c>
      <c r="AG1093" s="21" t="s">
        <v>303</v>
      </c>
    </row>
    <row r="1094" spans="1:33">
      <c r="A1094" s="21" t="s">
        <v>70</v>
      </c>
      <c r="B1094" s="21" t="s">
        <v>319</v>
      </c>
      <c r="C1094" s="25">
        <v>46128.625</v>
      </c>
      <c r="D1094" s="21" t="s">
        <v>37</v>
      </c>
      <c r="E1094" s="24">
        <v>7.81</v>
      </c>
      <c r="F1094" s="24">
        <v>10.09</v>
      </c>
      <c r="G1094" s="24">
        <f>E1094-F1094</f>
        <v>-2.2800000000000002</v>
      </c>
      <c r="H1094" s="21" t="s">
        <v>294</v>
      </c>
      <c r="I1094" s="21">
        <v>0</v>
      </c>
      <c r="J1094" s="21">
        <v>3</v>
      </c>
      <c r="K1094" s="21">
        <v>6</v>
      </c>
      <c r="L1094" s="21">
        <v>5</v>
      </c>
      <c r="M1094" s="21">
        <v>7</v>
      </c>
      <c r="P1094" s="24">
        <f>J1094+L1094+N1094</f>
        <v>8</v>
      </c>
      <c r="Q1094" s="24">
        <f>K1094+M1094+O1094</f>
        <v>13</v>
      </c>
      <c r="R1094" s="24">
        <v>0.38095238095238093</v>
      </c>
      <c r="S1094" s="21" t="s">
        <v>68</v>
      </c>
      <c r="T1094" s="21" t="s">
        <v>295</v>
      </c>
      <c r="U1094" s="21" t="s">
        <v>287</v>
      </c>
      <c r="V1094" s="21" t="s">
        <v>286</v>
      </c>
      <c r="W1094" s="21">
        <v>6</v>
      </c>
      <c r="X1094" s="21" t="s">
        <v>285</v>
      </c>
      <c r="Y1094" s="21" t="s">
        <v>318</v>
      </c>
      <c r="Z1094" s="21" t="s">
        <v>317</v>
      </c>
      <c r="AA1094" s="21" t="s">
        <v>70</v>
      </c>
      <c r="AB1094" s="21">
        <v>1</v>
      </c>
      <c r="AD1094" s="24">
        <v>7.26</v>
      </c>
      <c r="AE1094" s="24">
        <v>10.06</v>
      </c>
      <c r="AF1094" s="21" t="s">
        <v>302</v>
      </c>
      <c r="AG1094" s="21" t="s">
        <v>301</v>
      </c>
    </row>
    <row r="1095" spans="1:33">
      <c r="A1095" s="21" t="s">
        <v>70</v>
      </c>
      <c r="B1095" s="21" t="s">
        <v>319</v>
      </c>
      <c r="C1095" s="25">
        <v>46128.729166666664</v>
      </c>
      <c r="D1095" s="21" t="s">
        <v>91</v>
      </c>
      <c r="E1095" s="24">
        <v>7.81</v>
      </c>
      <c r="F1095" s="24">
        <v>5.85</v>
      </c>
      <c r="G1095" s="24">
        <f>E1095-F1095</f>
        <v>1.96</v>
      </c>
      <c r="H1095" s="21" t="s">
        <v>289</v>
      </c>
      <c r="I1095" s="21">
        <v>1</v>
      </c>
      <c r="J1095" s="21">
        <v>6</v>
      </c>
      <c r="K1095" s="21">
        <v>3</v>
      </c>
      <c r="L1095" s="21">
        <v>7</v>
      </c>
      <c r="M1095" s="21">
        <v>6</v>
      </c>
      <c r="P1095" s="24">
        <f>J1095+L1095+N1095</f>
        <v>13</v>
      </c>
      <c r="Q1095" s="24">
        <f>K1095+M1095+O1095</f>
        <v>9</v>
      </c>
      <c r="R1095" s="24">
        <v>0.55333333333333334</v>
      </c>
      <c r="S1095" s="21" t="s">
        <v>68</v>
      </c>
      <c r="T1095" s="21" t="s">
        <v>293</v>
      </c>
      <c r="U1095" s="21" t="s">
        <v>287</v>
      </c>
      <c r="V1095" s="21" t="s">
        <v>286</v>
      </c>
      <c r="W1095" s="21">
        <v>7</v>
      </c>
      <c r="X1095" s="21" t="s">
        <v>285</v>
      </c>
      <c r="Y1095" s="21" t="s">
        <v>318</v>
      </c>
      <c r="Z1095" s="21" t="s">
        <v>317</v>
      </c>
      <c r="AA1095" s="21" t="s">
        <v>70</v>
      </c>
      <c r="AB1095" s="21">
        <v>1</v>
      </c>
      <c r="AD1095" s="24">
        <v>7.26</v>
      </c>
      <c r="AE1095" s="24">
        <v>6.61</v>
      </c>
      <c r="AF1095" s="21" t="s">
        <v>302</v>
      </c>
      <c r="AG1095" s="21" t="s">
        <v>301</v>
      </c>
    </row>
    <row r="1096" spans="1:33">
      <c r="A1096" s="21" t="s">
        <v>70</v>
      </c>
      <c r="B1096" s="21" t="s">
        <v>319</v>
      </c>
      <c r="C1096" s="25">
        <v>46133.666666666664</v>
      </c>
      <c r="D1096" s="21" t="s">
        <v>18</v>
      </c>
      <c r="E1096" s="24">
        <v>7.33</v>
      </c>
      <c r="F1096" s="24">
        <v>8.14</v>
      </c>
      <c r="G1096" s="24">
        <f>E1096-F1096</f>
        <v>-0.8100000000000005</v>
      </c>
      <c r="H1096" s="21" t="s">
        <v>294</v>
      </c>
      <c r="I1096" s="21">
        <v>0</v>
      </c>
      <c r="J1096" s="21">
        <v>2</v>
      </c>
      <c r="K1096" s="21">
        <v>6</v>
      </c>
      <c r="L1096" s="21">
        <v>3</v>
      </c>
      <c r="M1096" s="21">
        <v>6</v>
      </c>
      <c r="P1096" s="24">
        <f>J1096+L1096+N1096</f>
        <v>5</v>
      </c>
      <c r="Q1096" s="24">
        <f>K1096+M1096+O1096</f>
        <v>12</v>
      </c>
      <c r="R1096" s="24">
        <v>0.29411764705882354</v>
      </c>
      <c r="S1096" s="21" t="s">
        <v>68</v>
      </c>
      <c r="U1096" s="21" t="s">
        <v>287</v>
      </c>
      <c r="V1096" s="21" t="s">
        <v>286</v>
      </c>
      <c r="W1096" s="21">
        <v>8</v>
      </c>
      <c r="X1096" s="21" t="s">
        <v>285</v>
      </c>
      <c r="Y1096" s="21" t="s">
        <v>318</v>
      </c>
      <c r="Z1096" s="21" t="s">
        <v>317</v>
      </c>
      <c r="AA1096" s="21" t="s">
        <v>70</v>
      </c>
      <c r="AB1096" s="21">
        <v>1</v>
      </c>
      <c r="AD1096" s="24">
        <v>7.26</v>
      </c>
      <c r="AE1096" s="24">
        <v>8.73</v>
      </c>
      <c r="AF1096" s="21" t="s">
        <v>304</v>
      </c>
      <c r="AG1096" s="21" t="s">
        <v>303</v>
      </c>
    </row>
    <row r="1097" spans="1:33">
      <c r="A1097" s="21" t="s">
        <v>70</v>
      </c>
      <c r="B1097" s="21" t="s">
        <v>319</v>
      </c>
      <c r="C1097" s="25">
        <v>46141.571527777778</v>
      </c>
      <c r="D1097" s="21" t="s">
        <v>14</v>
      </c>
      <c r="E1097" s="24">
        <v>7.26</v>
      </c>
      <c r="F1097" s="24">
        <v>6.86</v>
      </c>
      <c r="G1097" s="24">
        <f>E1097-F1097</f>
        <v>0.39999999999999947</v>
      </c>
      <c r="H1097" s="21" t="s">
        <v>294</v>
      </c>
      <c r="I1097" s="21">
        <v>0</v>
      </c>
      <c r="J1097" s="21">
        <v>3</v>
      </c>
      <c r="K1097" s="21">
        <v>6</v>
      </c>
      <c r="L1097" s="21">
        <v>3</v>
      </c>
      <c r="M1097" s="21">
        <v>6</v>
      </c>
      <c r="P1097" s="24">
        <f>J1097+L1097+N1097</f>
        <v>6</v>
      </c>
      <c r="Q1097" s="24">
        <f>K1097+M1097+O1097</f>
        <v>12</v>
      </c>
      <c r="R1097" s="24">
        <v>0.33333333333333331</v>
      </c>
      <c r="S1097" s="21" t="s">
        <v>29</v>
      </c>
      <c r="T1097" s="21" t="s">
        <v>298</v>
      </c>
      <c r="U1097" s="21" t="s">
        <v>292</v>
      </c>
      <c r="V1097" s="21" t="s">
        <v>286</v>
      </c>
      <c r="W1097" s="21">
        <v>9</v>
      </c>
      <c r="X1097" s="21" t="s">
        <v>285</v>
      </c>
      <c r="Y1097" s="21" t="s">
        <v>318</v>
      </c>
      <c r="Z1097" s="21" t="s">
        <v>317</v>
      </c>
      <c r="AA1097" s="21" t="s">
        <v>70</v>
      </c>
      <c r="AB1097" s="21">
        <v>1</v>
      </c>
      <c r="AD1097" s="24">
        <v>7.26</v>
      </c>
      <c r="AE1097" s="24">
        <v>8.06</v>
      </c>
      <c r="AF1097" s="21" t="s">
        <v>304</v>
      </c>
      <c r="AG1097" s="21" t="s">
        <v>303</v>
      </c>
    </row>
    <row r="1098" spans="1:33">
      <c r="A1098" s="21" t="s">
        <v>28</v>
      </c>
      <c r="B1098" s="21" t="s">
        <v>291</v>
      </c>
      <c r="C1098" s="25">
        <v>46046</v>
      </c>
      <c r="D1098" s="21" t="s">
        <v>243</v>
      </c>
      <c r="E1098" s="24">
        <v>8.4700000000000006</v>
      </c>
      <c r="F1098" s="24">
        <v>8.17</v>
      </c>
      <c r="G1098" s="24">
        <f>E1098-F1098</f>
        <v>0.30000000000000071</v>
      </c>
      <c r="H1098" s="21" t="s">
        <v>294</v>
      </c>
      <c r="I1098" s="21">
        <v>0</v>
      </c>
      <c r="J1098" s="21">
        <v>5</v>
      </c>
      <c r="K1098" s="21">
        <v>3</v>
      </c>
      <c r="L1098" s="21">
        <v>2</v>
      </c>
      <c r="M1098" s="21">
        <v>4</v>
      </c>
      <c r="N1098" s="21">
        <v>0</v>
      </c>
      <c r="O1098" s="21">
        <v>1</v>
      </c>
      <c r="P1098" s="24">
        <f>J1098+L1098+N1098</f>
        <v>7</v>
      </c>
      <c r="Q1098" s="24">
        <f>K1098+M1098+O1098</f>
        <v>8</v>
      </c>
      <c r="R1098" s="24">
        <v>0.46666666666666667</v>
      </c>
      <c r="S1098" s="21" t="s">
        <v>314</v>
      </c>
      <c r="T1098" s="21" t="s">
        <v>316</v>
      </c>
      <c r="U1098" s="21" t="s">
        <v>292</v>
      </c>
      <c r="V1098" s="21" t="s">
        <v>286</v>
      </c>
      <c r="W1098" s="21">
        <v>0</v>
      </c>
      <c r="X1098" s="21" t="s">
        <v>312</v>
      </c>
      <c r="Y1098" s="21" t="s">
        <v>284</v>
      </c>
      <c r="Z1098" s="21" t="s">
        <v>283</v>
      </c>
      <c r="AA1098" s="21" t="s">
        <v>28</v>
      </c>
      <c r="AB1098" s="21">
        <v>1</v>
      </c>
      <c r="AD1098" s="24">
        <v>8.4700000000000006</v>
      </c>
      <c r="AE1098" s="24">
        <v>8.17</v>
      </c>
      <c r="AF1098" s="21" t="s">
        <v>304</v>
      </c>
      <c r="AG1098" s="21" t="s">
        <v>303</v>
      </c>
    </row>
    <row r="1099" spans="1:33">
      <c r="A1099" s="21" t="s">
        <v>28</v>
      </c>
      <c r="B1099" s="21" t="s">
        <v>291</v>
      </c>
      <c r="C1099" s="25">
        <v>46046</v>
      </c>
      <c r="D1099" s="21" t="s">
        <v>315</v>
      </c>
      <c r="E1099" s="24">
        <v>8.4700000000000006</v>
      </c>
      <c r="F1099" s="24">
        <v>6.48</v>
      </c>
      <c r="G1099" s="24">
        <f>E1099-F1099</f>
        <v>1.9900000000000002</v>
      </c>
      <c r="H1099" s="21" t="s">
        <v>289</v>
      </c>
      <c r="I1099" s="21">
        <v>1</v>
      </c>
      <c r="J1099" s="21">
        <v>4</v>
      </c>
      <c r="K1099" s="21">
        <v>2</v>
      </c>
      <c r="L1099" s="21">
        <v>4</v>
      </c>
      <c r="M1099" s="21">
        <v>0</v>
      </c>
      <c r="P1099" s="24">
        <f>J1099+L1099+N1099</f>
        <v>8</v>
      </c>
      <c r="Q1099" s="24">
        <f>K1099+M1099+O1099</f>
        <v>2</v>
      </c>
      <c r="R1099" s="24">
        <v>0.8</v>
      </c>
      <c r="S1099" s="21" t="s">
        <v>314</v>
      </c>
      <c r="T1099" s="21" t="s">
        <v>313</v>
      </c>
      <c r="U1099" s="21" t="s">
        <v>292</v>
      </c>
      <c r="V1099" s="21" t="s">
        <v>286</v>
      </c>
      <c r="W1099" s="21">
        <v>0</v>
      </c>
      <c r="X1099" s="21" t="s">
        <v>312</v>
      </c>
      <c r="Y1099" s="21" t="s">
        <v>284</v>
      </c>
      <c r="Z1099" s="21" t="s">
        <v>283</v>
      </c>
      <c r="AA1099" s="21" t="s">
        <v>28</v>
      </c>
      <c r="AB1099" s="21">
        <v>1</v>
      </c>
      <c r="AD1099" s="24">
        <v>8.4700000000000006</v>
      </c>
      <c r="AE1099" s="24">
        <v>6.48</v>
      </c>
      <c r="AF1099" s="21" t="s">
        <v>304</v>
      </c>
      <c r="AG1099" s="21" t="s">
        <v>303</v>
      </c>
    </row>
    <row r="1100" spans="1:33">
      <c r="A1100" s="21" t="s">
        <v>28</v>
      </c>
      <c r="B1100" s="21" t="s">
        <v>291</v>
      </c>
      <c r="C1100" s="25">
        <v>46091.645833333336</v>
      </c>
      <c r="D1100" s="21" t="s">
        <v>235</v>
      </c>
      <c r="E1100" s="24">
        <v>7.87</v>
      </c>
      <c r="F1100" s="24">
        <v>7.59</v>
      </c>
      <c r="G1100" s="24">
        <f>E1100-F1100</f>
        <v>0.28000000000000025</v>
      </c>
      <c r="H1100" s="21" t="s">
        <v>289</v>
      </c>
      <c r="I1100" s="21">
        <v>1</v>
      </c>
      <c r="J1100" s="21">
        <v>6</v>
      </c>
      <c r="K1100" s="21">
        <v>4</v>
      </c>
      <c r="L1100" s="21">
        <v>6</v>
      </c>
      <c r="M1100" s="21">
        <v>2</v>
      </c>
      <c r="P1100" s="24">
        <f>J1100+L1100+N1100</f>
        <v>12</v>
      </c>
      <c r="Q1100" s="24">
        <f>K1100+M1100+O1100</f>
        <v>6</v>
      </c>
      <c r="R1100" s="24">
        <v>0.66666666666666663</v>
      </c>
      <c r="S1100" s="21" t="s">
        <v>311</v>
      </c>
      <c r="U1100" s="21" t="s">
        <v>287</v>
      </c>
      <c r="V1100" s="21" t="s">
        <v>286</v>
      </c>
      <c r="W1100" s="21">
        <v>2</v>
      </c>
      <c r="X1100" s="21" t="s">
        <v>310</v>
      </c>
      <c r="Y1100" s="21" t="s">
        <v>284</v>
      </c>
      <c r="Z1100" s="21" t="s">
        <v>283</v>
      </c>
      <c r="AA1100" s="21" t="s">
        <v>28</v>
      </c>
      <c r="AB1100" s="21">
        <v>1</v>
      </c>
      <c r="AD1100" s="24">
        <v>8.4700000000000006</v>
      </c>
      <c r="AE1100" s="24">
        <v>7.98</v>
      </c>
      <c r="AF1100" s="21" t="s">
        <v>304</v>
      </c>
      <c r="AG1100" s="21" t="s">
        <v>303</v>
      </c>
    </row>
    <row r="1101" spans="1:33">
      <c r="A1101" s="21" t="s">
        <v>28</v>
      </c>
      <c r="B1101" s="21" t="s">
        <v>291</v>
      </c>
      <c r="C1101" s="25">
        <v>46092.645833333336</v>
      </c>
      <c r="D1101" s="21" t="s">
        <v>309</v>
      </c>
      <c r="E1101" s="24">
        <v>7.87</v>
      </c>
      <c r="F1101" s="24">
        <v>3.86</v>
      </c>
      <c r="G1101" s="24">
        <f>E1101-F1101</f>
        <v>4.01</v>
      </c>
      <c r="H1101" s="21" t="s">
        <v>289</v>
      </c>
      <c r="I1101" s="21">
        <v>1</v>
      </c>
      <c r="J1101" s="21">
        <v>6</v>
      </c>
      <c r="K1101" s="21">
        <v>1</v>
      </c>
      <c r="L1101" s="21">
        <v>6</v>
      </c>
      <c r="M1101" s="21">
        <v>0</v>
      </c>
      <c r="P1101" s="24">
        <f>J1101+L1101+N1101</f>
        <v>12</v>
      </c>
      <c r="Q1101" s="24">
        <f>K1101+M1101+O1101</f>
        <v>1</v>
      </c>
      <c r="R1101" s="24">
        <v>0.92307692307692313</v>
      </c>
      <c r="S1101" s="21" t="s">
        <v>308</v>
      </c>
      <c r="U1101" s="21" t="s">
        <v>287</v>
      </c>
      <c r="V1101" s="21" t="s">
        <v>286</v>
      </c>
      <c r="W1101" s="21">
        <v>3</v>
      </c>
      <c r="X1101" s="21" t="s">
        <v>285</v>
      </c>
      <c r="Y1101" s="21" t="s">
        <v>284</v>
      </c>
      <c r="Z1101" s="21" t="s">
        <v>283</v>
      </c>
      <c r="AA1101" s="21" t="s">
        <v>28</v>
      </c>
      <c r="AB1101" s="21">
        <v>1</v>
      </c>
      <c r="AD1101" s="24">
        <v>8.4700000000000006</v>
      </c>
      <c r="AE1101" s="24">
        <v>3.86</v>
      </c>
      <c r="AF1101" s="21" t="s">
        <v>304</v>
      </c>
      <c r="AG1101" s="21" t="s">
        <v>303</v>
      </c>
    </row>
    <row r="1102" spans="1:33">
      <c r="A1102" s="21" t="s">
        <v>28</v>
      </c>
      <c r="B1102" s="21" t="s">
        <v>291</v>
      </c>
      <c r="C1102" s="25">
        <v>46099.645833333336</v>
      </c>
      <c r="D1102" s="21" t="s">
        <v>228</v>
      </c>
      <c r="E1102" s="24">
        <v>7.88</v>
      </c>
      <c r="F1102" s="24">
        <v>9.1</v>
      </c>
      <c r="G1102" s="24">
        <f>E1102-F1102</f>
        <v>-1.2199999999999998</v>
      </c>
      <c r="H1102" s="21" t="s">
        <v>294</v>
      </c>
      <c r="I1102" s="21">
        <v>0</v>
      </c>
      <c r="J1102" s="21">
        <v>4</v>
      </c>
      <c r="K1102" s="21">
        <v>6</v>
      </c>
      <c r="L1102" s="21">
        <v>6</v>
      </c>
      <c r="M1102" s="21">
        <v>4</v>
      </c>
      <c r="N1102" s="21">
        <v>3</v>
      </c>
      <c r="O1102" s="21">
        <v>6</v>
      </c>
      <c r="P1102" s="24">
        <f>J1102+L1102+N1102</f>
        <v>13</v>
      </c>
      <c r="Q1102" s="24">
        <f>K1102+M1102+O1102</f>
        <v>16</v>
      </c>
      <c r="R1102" s="24">
        <v>0.44827586206896552</v>
      </c>
      <c r="S1102" s="21" t="s">
        <v>229</v>
      </c>
      <c r="U1102" s="21" t="s">
        <v>287</v>
      </c>
      <c r="V1102" s="21" t="s">
        <v>286</v>
      </c>
      <c r="W1102" s="21">
        <v>4</v>
      </c>
      <c r="X1102" s="21" t="s">
        <v>285</v>
      </c>
      <c r="Y1102" s="21" t="s">
        <v>284</v>
      </c>
      <c r="Z1102" s="21" t="s">
        <v>283</v>
      </c>
      <c r="AA1102" s="21" t="s">
        <v>28</v>
      </c>
      <c r="AB1102" s="21">
        <v>1</v>
      </c>
      <c r="AD1102" s="24">
        <v>8.4700000000000006</v>
      </c>
      <c r="AE1102" s="24">
        <v>8.81</v>
      </c>
      <c r="AF1102" s="21" t="s">
        <v>304</v>
      </c>
      <c r="AG1102" s="21" t="s">
        <v>303</v>
      </c>
    </row>
    <row r="1103" spans="1:33">
      <c r="A1103" s="21" t="s">
        <v>28</v>
      </c>
      <c r="B1103" s="21" t="s">
        <v>291</v>
      </c>
      <c r="C1103" s="25">
        <v>46108.645833333336</v>
      </c>
      <c r="D1103" s="21" t="s">
        <v>65</v>
      </c>
      <c r="E1103" s="24">
        <v>7.94</v>
      </c>
      <c r="F1103" s="24">
        <v>6.58</v>
      </c>
      <c r="G1103" s="24">
        <f>E1103-F1103</f>
        <v>1.3600000000000003</v>
      </c>
      <c r="H1103" s="21" t="s">
        <v>289</v>
      </c>
      <c r="I1103" s="21">
        <v>1</v>
      </c>
      <c r="J1103" s="21">
        <v>6</v>
      </c>
      <c r="K1103" s="21">
        <v>2</v>
      </c>
      <c r="L1103" s="21">
        <v>6</v>
      </c>
      <c r="M1103" s="21">
        <v>2</v>
      </c>
      <c r="P1103" s="24">
        <f>J1103+L1103+N1103</f>
        <v>12</v>
      </c>
      <c r="Q1103" s="24">
        <f>K1103+M1103+O1103</f>
        <v>4</v>
      </c>
      <c r="R1103" s="24">
        <v>0.75</v>
      </c>
      <c r="S1103" s="21" t="s">
        <v>192</v>
      </c>
      <c r="U1103" s="21" t="s">
        <v>287</v>
      </c>
      <c r="V1103" s="21" t="s">
        <v>286</v>
      </c>
      <c r="W1103" s="21">
        <v>5</v>
      </c>
      <c r="X1103" s="21" t="s">
        <v>285</v>
      </c>
      <c r="Y1103" s="21" t="s">
        <v>284</v>
      </c>
      <c r="Z1103" s="21" t="s">
        <v>283</v>
      </c>
      <c r="AA1103" s="21" t="s">
        <v>28</v>
      </c>
      <c r="AB1103" s="21">
        <v>1</v>
      </c>
      <c r="AD1103" s="24">
        <v>8.4700000000000006</v>
      </c>
      <c r="AE1103" s="24">
        <v>8.08</v>
      </c>
      <c r="AF1103" s="21" t="s">
        <v>304</v>
      </c>
      <c r="AG1103" s="21" t="s">
        <v>303</v>
      </c>
    </row>
    <row r="1104" spans="1:33">
      <c r="A1104" s="21" t="s">
        <v>28</v>
      </c>
      <c r="B1104" s="21" t="s">
        <v>291</v>
      </c>
      <c r="C1104" s="25">
        <v>46115</v>
      </c>
      <c r="D1104" s="21" t="s">
        <v>307</v>
      </c>
      <c r="E1104" s="24">
        <v>7.98</v>
      </c>
      <c r="F1104" s="24">
        <v>8.58</v>
      </c>
      <c r="G1104" s="24">
        <f>E1104-F1104</f>
        <v>-0.59999999999999964</v>
      </c>
      <c r="H1104" s="21" t="s">
        <v>294</v>
      </c>
      <c r="I1104" s="21">
        <v>0</v>
      </c>
      <c r="J1104" s="21">
        <v>6</v>
      </c>
      <c r="K1104" s="21">
        <v>3</v>
      </c>
      <c r="L1104" s="21">
        <v>6</v>
      </c>
      <c r="M1104" s="21">
        <v>7</v>
      </c>
      <c r="N1104" s="21">
        <v>0</v>
      </c>
      <c r="O1104" s="21">
        <v>1</v>
      </c>
      <c r="P1104" s="24">
        <f>J1104+L1104+N1104</f>
        <v>12</v>
      </c>
      <c r="Q1104" s="24">
        <f>K1104+M1104+O1104</f>
        <v>11</v>
      </c>
      <c r="R1104" s="24">
        <v>0.28030303030303028</v>
      </c>
      <c r="S1104" s="21" t="s">
        <v>305</v>
      </c>
      <c r="T1104" s="21" t="s">
        <v>295</v>
      </c>
      <c r="U1104" s="21" t="s">
        <v>292</v>
      </c>
      <c r="V1104" s="21" t="s">
        <v>286</v>
      </c>
      <c r="W1104" s="21">
        <v>6</v>
      </c>
      <c r="X1104" s="21" t="s">
        <v>285</v>
      </c>
      <c r="Y1104" s="21" t="s">
        <v>284</v>
      </c>
      <c r="Z1104" s="21" t="s">
        <v>283</v>
      </c>
      <c r="AA1104" s="21" t="s">
        <v>28</v>
      </c>
      <c r="AB1104" s="21">
        <v>1</v>
      </c>
      <c r="AD1104" s="24">
        <v>8.4700000000000006</v>
      </c>
      <c r="AE1104" s="24">
        <v>8.58</v>
      </c>
      <c r="AF1104" s="21" t="s">
        <v>304</v>
      </c>
      <c r="AG1104" s="21" t="s">
        <v>303</v>
      </c>
    </row>
    <row r="1105" spans="1:33">
      <c r="A1105" s="21" t="s">
        <v>28</v>
      </c>
      <c r="B1105" s="21" t="s">
        <v>291</v>
      </c>
      <c r="C1105" s="25">
        <v>46115</v>
      </c>
      <c r="D1105" s="21" t="s">
        <v>306</v>
      </c>
      <c r="E1105" s="24">
        <v>7.98</v>
      </c>
      <c r="F1105" s="24">
        <v>6.63</v>
      </c>
      <c r="G1105" s="24">
        <f>E1105-F1105</f>
        <v>1.3500000000000005</v>
      </c>
      <c r="H1105" s="21" t="s">
        <v>289</v>
      </c>
      <c r="I1105" s="21">
        <v>1</v>
      </c>
      <c r="J1105" s="21">
        <v>6</v>
      </c>
      <c r="K1105" s="21">
        <v>3</v>
      </c>
      <c r="L1105" s="21">
        <v>6</v>
      </c>
      <c r="M1105" s="21">
        <v>2</v>
      </c>
      <c r="P1105" s="24">
        <f>J1105+L1105+N1105</f>
        <v>12</v>
      </c>
      <c r="Q1105" s="24">
        <f>K1105+M1105+O1105</f>
        <v>5</v>
      </c>
      <c r="R1105" s="24">
        <v>0.70588235294117652</v>
      </c>
      <c r="S1105" s="21" t="s">
        <v>305</v>
      </c>
      <c r="T1105" s="21" t="s">
        <v>297</v>
      </c>
      <c r="U1105" s="21" t="s">
        <v>292</v>
      </c>
      <c r="V1105" s="21" t="s">
        <v>286</v>
      </c>
      <c r="W1105" s="21">
        <v>6</v>
      </c>
      <c r="X1105" s="21" t="s">
        <v>285</v>
      </c>
      <c r="Y1105" s="21" t="s">
        <v>284</v>
      </c>
      <c r="Z1105" s="21" t="s">
        <v>283</v>
      </c>
      <c r="AA1105" s="21" t="s">
        <v>28</v>
      </c>
      <c r="AB1105" s="21">
        <v>1</v>
      </c>
      <c r="AD1105" s="24">
        <v>8.4700000000000006</v>
      </c>
      <c r="AE1105" s="24">
        <v>6.63</v>
      </c>
      <c r="AF1105" s="21" t="s">
        <v>304</v>
      </c>
      <c r="AG1105" s="21" t="s">
        <v>303</v>
      </c>
    </row>
    <row r="1106" spans="1:33">
      <c r="A1106" s="21" t="s">
        <v>28</v>
      </c>
      <c r="B1106" s="21" t="s">
        <v>291</v>
      </c>
      <c r="C1106" s="25">
        <v>46120.645833333336</v>
      </c>
      <c r="D1106" s="21" t="s">
        <v>165</v>
      </c>
      <c r="E1106" s="24">
        <v>8.06</v>
      </c>
      <c r="F1106" s="24">
        <v>5.99</v>
      </c>
      <c r="G1106" s="24">
        <f>E1106-F1106</f>
        <v>2.0700000000000003</v>
      </c>
      <c r="H1106" s="21" t="s">
        <v>289</v>
      </c>
      <c r="I1106" s="21">
        <v>1</v>
      </c>
      <c r="J1106" s="21">
        <v>6</v>
      </c>
      <c r="K1106" s="21">
        <v>1</v>
      </c>
      <c r="L1106" s="21">
        <v>6</v>
      </c>
      <c r="M1106" s="21">
        <v>0</v>
      </c>
      <c r="P1106" s="24">
        <f>J1106+L1106+N1106</f>
        <v>12</v>
      </c>
      <c r="Q1106" s="24">
        <f>K1106+M1106+O1106</f>
        <v>1</v>
      </c>
      <c r="R1106" s="24">
        <v>0.92307692307692313</v>
      </c>
      <c r="S1106" s="21" t="s">
        <v>156</v>
      </c>
      <c r="U1106" s="21" t="s">
        <v>287</v>
      </c>
      <c r="V1106" s="21" t="s">
        <v>286</v>
      </c>
      <c r="W1106" s="21">
        <v>8</v>
      </c>
      <c r="X1106" s="21" t="s">
        <v>285</v>
      </c>
      <c r="Y1106" s="21" t="s">
        <v>284</v>
      </c>
      <c r="Z1106" s="21" t="s">
        <v>283</v>
      </c>
      <c r="AA1106" s="21" t="s">
        <v>28</v>
      </c>
      <c r="AB1106" s="21">
        <v>1</v>
      </c>
      <c r="AD1106" s="24">
        <v>8.4700000000000006</v>
      </c>
      <c r="AE1106" s="24">
        <v>6.12</v>
      </c>
      <c r="AF1106" s="21" t="s">
        <v>302</v>
      </c>
      <c r="AG1106" s="21" t="s">
        <v>301</v>
      </c>
    </row>
    <row r="1107" spans="1:33">
      <c r="A1107" s="21" t="s">
        <v>28</v>
      </c>
      <c r="B1107" s="21" t="s">
        <v>291</v>
      </c>
      <c r="C1107" s="25">
        <v>46121.645833333336</v>
      </c>
      <c r="D1107" s="21" t="s">
        <v>145</v>
      </c>
      <c r="E1107" s="24">
        <v>8.06</v>
      </c>
      <c r="F1107" s="24">
        <v>8.15</v>
      </c>
      <c r="G1107" s="24">
        <v>-8.9999999999999858E-2</v>
      </c>
      <c r="H1107" s="21" t="s">
        <v>289</v>
      </c>
      <c r="I1107" s="21">
        <v>1</v>
      </c>
      <c r="J1107" s="21">
        <v>6</v>
      </c>
      <c r="K1107" s="21">
        <v>4</v>
      </c>
      <c r="L1107" s="21">
        <v>6</v>
      </c>
      <c r="M1107" s="21">
        <v>3</v>
      </c>
      <c r="P1107" s="24">
        <v>12</v>
      </c>
      <c r="Q1107" s="24">
        <v>7</v>
      </c>
      <c r="R1107" s="24">
        <v>0.63157894736842102</v>
      </c>
      <c r="S1107" s="21" t="s">
        <v>146</v>
      </c>
      <c r="U1107" s="21" t="s">
        <v>287</v>
      </c>
      <c r="V1107" s="21" t="s">
        <v>286</v>
      </c>
      <c r="W1107" s="21">
        <v>9</v>
      </c>
      <c r="X1107" s="21" t="s">
        <v>285</v>
      </c>
      <c r="Y1107" s="21" t="s">
        <v>284</v>
      </c>
      <c r="Z1107" s="21" t="s">
        <v>283</v>
      </c>
      <c r="AA1107" s="21" t="s">
        <v>28</v>
      </c>
      <c r="AB1107" s="21">
        <v>1</v>
      </c>
      <c r="AD1107" s="24">
        <v>8.4700000000000006</v>
      </c>
      <c r="AE1107" s="24">
        <v>8.41</v>
      </c>
    </row>
    <row r="1108" spans="1:33">
      <c r="A1108" s="21" t="s">
        <v>28</v>
      </c>
      <c r="B1108" s="21" t="s">
        <v>291</v>
      </c>
      <c r="C1108" s="25">
        <v>46126.645833333336</v>
      </c>
      <c r="D1108" s="21" t="s">
        <v>14</v>
      </c>
      <c r="E1108" s="24">
        <v>8.2100000000000009</v>
      </c>
      <c r="F1108" s="24">
        <v>6.78</v>
      </c>
      <c r="G1108" s="24">
        <v>1.4300000000000006</v>
      </c>
      <c r="H1108" s="21" t="s">
        <v>294</v>
      </c>
      <c r="I1108" s="21">
        <v>0</v>
      </c>
      <c r="J1108" s="21">
        <v>5</v>
      </c>
      <c r="K1108" s="21">
        <v>7</v>
      </c>
      <c r="L1108" s="21">
        <v>4</v>
      </c>
      <c r="M1108" s="21">
        <v>6</v>
      </c>
      <c r="P1108" s="24">
        <v>9</v>
      </c>
      <c r="Q1108" s="24">
        <v>13</v>
      </c>
      <c r="R1108" s="24">
        <v>0.40909090909090912</v>
      </c>
      <c r="S1108" s="21" t="s">
        <v>300</v>
      </c>
      <c r="U1108" s="21" t="s">
        <v>287</v>
      </c>
      <c r="V1108" s="21" t="s">
        <v>286</v>
      </c>
      <c r="W1108" s="21">
        <v>10</v>
      </c>
      <c r="X1108" s="21" t="s">
        <v>285</v>
      </c>
      <c r="Y1108" s="21" t="s">
        <v>284</v>
      </c>
      <c r="Z1108" s="21" t="s">
        <v>283</v>
      </c>
      <c r="AA1108" s="21" t="s">
        <v>28</v>
      </c>
      <c r="AB1108" s="21">
        <v>1</v>
      </c>
      <c r="AD1108" s="24">
        <v>8.4700000000000006</v>
      </c>
      <c r="AE1108" s="24">
        <v>7.87</v>
      </c>
    </row>
    <row r="1109" spans="1:33">
      <c r="A1109" s="21" t="s">
        <v>28</v>
      </c>
      <c r="B1109" s="21" t="s">
        <v>291</v>
      </c>
      <c r="C1109" s="25">
        <v>46133.645833333336</v>
      </c>
      <c r="D1109" s="21" t="s">
        <v>143</v>
      </c>
      <c r="E1109" s="24">
        <v>8.32</v>
      </c>
      <c r="F1109" s="24">
        <v>6.55</v>
      </c>
      <c r="G1109" s="24">
        <v>1.7700000000000005</v>
      </c>
      <c r="H1109" s="21" t="s">
        <v>289</v>
      </c>
      <c r="I1109" s="21">
        <v>1</v>
      </c>
      <c r="J1109" s="21">
        <v>6</v>
      </c>
      <c r="K1109" s="21">
        <v>3</v>
      </c>
      <c r="L1109" s="21">
        <v>2</v>
      </c>
      <c r="M1109" s="21">
        <v>6</v>
      </c>
      <c r="N1109" s="21">
        <v>6</v>
      </c>
      <c r="O1109" s="21">
        <v>2</v>
      </c>
      <c r="P1109" s="24">
        <v>14</v>
      </c>
      <c r="Q1109" s="24">
        <v>11</v>
      </c>
      <c r="R1109" s="24">
        <v>0.56000000000000005</v>
      </c>
      <c r="S1109" s="21" t="s">
        <v>299</v>
      </c>
      <c r="U1109" s="21" t="s">
        <v>287</v>
      </c>
      <c r="V1109" s="21" t="s">
        <v>286</v>
      </c>
      <c r="W1109" s="21">
        <v>11</v>
      </c>
      <c r="X1109" s="21" t="s">
        <v>285</v>
      </c>
      <c r="Y1109" s="21" t="s">
        <v>284</v>
      </c>
      <c r="Z1109" s="21" t="s">
        <v>283</v>
      </c>
      <c r="AA1109" s="21" t="s">
        <v>28</v>
      </c>
      <c r="AB1109" s="21">
        <v>1</v>
      </c>
      <c r="AD1109" s="24">
        <v>8.4700000000000006</v>
      </c>
      <c r="AE1109" s="24">
        <v>7.44</v>
      </c>
    </row>
    <row r="1110" spans="1:33">
      <c r="A1110" s="21" t="s">
        <v>28</v>
      </c>
      <c r="B1110" s="21" t="s">
        <v>291</v>
      </c>
      <c r="C1110" s="25">
        <v>46134.645833333336</v>
      </c>
      <c r="D1110" s="21" t="s">
        <v>107</v>
      </c>
      <c r="E1110" s="24">
        <v>8.32</v>
      </c>
      <c r="F1110" s="24">
        <v>5.55</v>
      </c>
      <c r="G1110" s="24">
        <v>2.7700000000000005</v>
      </c>
      <c r="H1110" s="21" t="s">
        <v>289</v>
      </c>
      <c r="I1110" s="21">
        <v>1</v>
      </c>
      <c r="J1110" s="21">
        <v>6</v>
      </c>
      <c r="K1110" s="21">
        <v>0</v>
      </c>
      <c r="L1110" s="21">
        <v>6</v>
      </c>
      <c r="M1110" s="21">
        <v>0</v>
      </c>
      <c r="P1110" s="24">
        <v>12</v>
      </c>
      <c r="Q1110" s="24">
        <v>0</v>
      </c>
      <c r="R1110" s="24">
        <v>1</v>
      </c>
      <c r="S1110" s="21" t="s">
        <v>59</v>
      </c>
      <c r="U1110" s="21" t="s">
        <v>287</v>
      </c>
      <c r="V1110" s="21" t="s">
        <v>286</v>
      </c>
      <c r="W1110" s="21">
        <v>12</v>
      </c>
      <c r="X1110" s="21" t="s">
        <v>285</v>
      </c>
      <c r="Y1110" s="21" t="s">
        <v>284</v>
      </c>
      <c r="Z1110" s="21" t="s">
        <v>283</v>
      </c>
      <c r="AA1110" s="21" t="s">
        <v>28</v>
      </c>
      <c r="AB1110" s="21">
        <v>1</v>
      </c>
      <c r="AD1110" s="24">
        <v>8.4700000000000006</v>
      </c>
      <c r="AE1110" s="24">
        <v>6.03</v>
      </c>
    </row>
    <row r="1111" spans="1:33">
      <c r="A1111" s="21" t="s">
        <v>28</v>
      </c>
      <c r="B1111" s="21" t="s">
        <v>291</v>
      </c>
      <c r="C1111" s="25">
        <v>46141.57708333333</v>
      </c>
      <c r="D1111" s="21" t="s">
        <v>140</v>
      </c>
      <c r="E1111" s="24">
        <v>8.31</v>
      </c>
      <c r="F1111" s="24">
        <v>5.54</v>
      </c>
      <c r="G1111" s="24">
        <v>2.7700000000000005</v>
      </c>
      <c r="H1111" s="21" t="s">
        <v>289</v>
      </c>
      <c r="I1111" s="21">
        <v>1</v>
      </c>
      <c r="J1111" s="21">
        <v>6</v>
      </c>
      <c r="K1111" s="21">
        <v>1</v>
      </c>
      <c r="L1111" s="21">
        <v>6</v>
      </c>
      <c r="M1111" s="21">
        <v>4</v>
      </c>
      <c r="P1111" s="24">
        <v>12</v>
      </c>
      <c r="Q1111" s="24">
        <v>5</v>
      </c>
      <c r="R1111" s="24">
        <v>0.70588235294117652</v>
      </c>
      <c r="S1111" s="21" t="s">
        <v>29</v>
      </c>
      <c r="T1111" s="21" t="s">
        <v>298</v>
      </c>
      <c r="U1111" s="21" t="s">
        <v>292</v>
      </c>
      <c r="V1111" s="21" t="s">
        <v>286</v>
      </c>
      <c r="W1111" s="21">
        <v>13</v>
      </c>
      <c r="X1111" s="21" t="s">
        <v>285</v>
      </c>
      <c r="Y1111" s="21" t="s">
        <v>284</v>
      </c>
      <c r="Z1111" s="21" t="s">
        <v>283</v>
      </c>
      <c r="AA1111" s="21" t="s">
        <v>28</v>
      </c>
      <c r="AB1111" s="21">
        <v>1</v>
      </c>
      <c r="AD1111" s="24">
        <v>8.4700000000000006</v>
      </c>
      <c r="AE1111" s="24">
        <v>5.74</v>
      </c>
    </row>
    <row r="1112" spans="1:33">
      <c r="A1112" s="21" t="s">
        <v>28</v>
      </c>
      <c r="B1112" s="21" t="s">
        <v>291</v>
      </c>
      <c r="C1112" s="25">
        <v>46141.586111111108</v>
      </c>
      <c r="D1112" s="21" t="s">
        <v>21</v>
      </c>
      <c r="E1112" s="24">
        <v>8.31</v>
      </c>
      <c r="F1112" s="24">
        <v>8.8000000000000007</v>
      </c>
      <c r="G1112" s="24">
        <v>-0.49000000000000021</v>
      </c>
      <c r="H1112" s="21" t="s">
        <v>289</v>
      </c>
      <c r="I1112" s="21">
        <v>1</v>
      </c>
      <c r="J1112" s="21">
        <v>6</v>
      </c>
      <c r="K1112" s="21">
        <v>3</v>
      </c>
      <c r="L1112" s="21">
        <v>7</v>
      </c>
      <c r="M1112" s="21">
        <v>5</v>
      </c>
      <c r="P1112" s="24">
        <v>13</v>
      </c>
      <c r="Q1112" s="24">
        <v>8</v>
      </c>
      <c r="R1112" s="24">
        <v>0.61904761904761907</v>
      </c>
      <c r="S1112" s="21" t="s">
        <v>29</v>
      </c>
      <c r="T1112" s="21" t="s">
        <v>297</v>
      </c>
      <c r="U1112" s="21" t="s">
        <v>292</v>
      </c>
      <c r="V1112" s="21" t="s">
        <v>286</v>
      </c>
      <c r="W1112" s="21">
        <v>14</v>
      </c>
      <c r="X1112" s="21" t="s">
        <v>285</v>
      </c>
      <c r="Y1112" s="21" t="s">
        <v>284</v>
      </c>
      <c r="Z1112" s="21" t="s">
        <v>283</v>
      </c>
      <c r="AA1112" s="21" t="s">
        <v>28</v>
      </c>
      <c r="AB1112" s="21">
        <v>1</v>
      </c>
      <c r="AD1112" s="24">
        <v>8.4700000000000006</v>
      </c>
      <c r="AE1112" s="24">
        <v>8.39</v>
      </c>
    </row>
    <row r="1113" spans="1:33">
      <c r="A1113" s="21" t="s">
        <v>28</v>
      </c>
      <c r="B1113" s="21" t="s">
        <v>291</v>
      </c>
      <c r="C1113" s="25">
        <v>46141.588194444441</v>
      </c>
      <c r="D1113" s="21" t="s">
        <v>37</v>
      </c>
      <c r="E1113" s="24">
        <v>8.31</v>
      </c>
      <c r="F1113" s="24">
        <v>10.16</v>
      </c>
      <c r="G1113" s="24">
        <v>-1.8499999999999996</v>
      </c>
      <c r="H1113" s="21" t="s">
        <v>294</v>
      </c>
      <c r="I1113" s="21">
        <v>0</v>
      </c>
      <c r="J1113" s="21">
        <v>2</v>
      </c>
      <c r="K1113" s="21">
        <v>6</v>
      </c>
      <c r="L1113" s="21">
        <v>2</v>
      </c>
      <c r="M1113" s="21">
        <v>6</v>
      </c>
      <c r="P1113" s="24">
        <v>4</v>
      </c>
      <c r="Q1113" s="24">
        <v>12</v>
      </c>
      <c r="R1113" s="24">
        <v>0.25</v>
      </c>
      <c r="S1113" s="21" t="s">
        <v>29</v>
      </c>
      <c r="T1113" s="21" t="s">
        <v>296</v>
      </c>
      <c r="U1113" s="21" t="s">
        <v>292</v>
      </c>
      <c r="V1113" s="21" t="s">
        <v>286</v>
      </c>
      <c r="W1113" s="21">
        <v>15</v>
      </c>
      <c r="X1113" s="21" t="s">
        <v>285</v>
      </c>
      <c r="Y1113" s="21" t="s">
        <v>284</v>
      </c>
      <c r="Z1113" s="21" t="s">
        <v>283</v>
      </c>
      <c r="AA1113" s="21" t="s">
        <v>28</v>
      </c>
      <c r="AB1113" s="21">
        <v>1</v>
      </c>
      <c r="AD1113" s="24">
        <v>8.4700000000000006</v>
      </c>
      <c r="AE1113" s="24">
        <v>10.19</v>
      </c>
    </row>
    <row r="1114" spans="1:33">
      <c r="A1114" s="21" t="s">
        <v>28</v>
      </c>
      <c r="B1114" s="21" t="s">
        <v>291</v>
      </c>
      <c r="C1114" s="25">
        <v>46141.60833333333</v>
      </c>
      <c r="D1114" s="21" t="s">
        <v>5</v>
      </c>
      <c r="E1114" s="24">
        <v>8.31</v>
      </c>
      <c r="F1114" s="24">
        <v>8.9600000000000009</v>
      </c>
      <c r="G1114" s="24">
        <v>-0.65000000000000036</v>
      </c>
      <c r="H1114" s="21" t="s">
        <v>289</v>
      </c>
      <c r="I1114" s="21">
        <v>1</v>
      </c>
      <c r="J1114" s="21">
        <v>6</v>
      </c>
      <c r="K1114" s="21">
        <v>4</v>
      </c>
      <c r="L1114" s="21">
        <v>6</v>
      </c>
      <c r="M1114" s="21">
        <v>2</v>
      </c>
      <c r="P1114" s="24">
        <v>12</v>
      </c>
      <c r="Q1114" s="24">
        <v>6</v>
      </c>
      <c r="R1114" s="24">
        <v>0.66666666666666663</v>
      </c>
      <c r="S1114" s="21" t="s">
        <v>29</v>
      </c>
      <c r="T1114" s="21" t="s">
        <v>295</v>
      </c>
      <c r="U1114" s="21" t="s">
        <v>292</v>
      </c>
      <c r="V1114" s="21" t="s">
        <v>286</v>
      </c>
      <c r="W1114" s="21">
        <v>16</v>
      </c>
      <c r="X1114" s="21" t="s">
        <v>285</v>
      </c>
      <c r="Y1114" s="21" t="s">
        <v>284</v>
      </c>
      <c r="Z1114" s="21" t="s">
        <v>283</v>
      </c>
      <c r="AA1114" s="21" t="s">
        <v>28</v>
      </c>
      <c r="AB1114" s="21">
        <v>1</v>
      </c>
      <c r="AD1114" s="24">
        <v>8.4700000000000006</v>
      </c>
      <c r="AE1114" s="24">
        <v>7.96</v>
      </c>
    </row>
    <row r="1115" spans="1:33">
      <c r="A1115" s="21" t="s">
        <v>28</v>
      </c>
      <c r="B1115" s="21" t="s">
        <v>291</v>
      </c>
      <c r="C1115" s="25">
        <v>46141.60833333333</v>
      </c>
      <c r="D1115" s="21" t="s">
        <v>18</v>
      </c>
      <c r="E1115" s="24">
        <v>8.31</v>
      </c>
      <c r="F1115" s="24">
        <v>8.18</v>
      </c>
      <c r="G1115" s="24">
        <v>0.13000000000000078</v>
      </c>
      <c r="H1115" s="21" t="s">
        <v>294</v>
      </c>
      <c r="I1115" s="21">
        <v>0</v>
      </c>
      <c r="J1115" s="21">
        <v>6</v>
      </c>
      <c r="K1115" s="21">
        <v>7</v>
      </c>
      <c r="L1115" s="21">
        <v>5</v>
      </c>
      <c r="M1115" s="21">
        <v>7</v>
      </c>
      <c r="P1115" s="24">
        <v>11</v>
      </c>
      <c r="Q1115" s="24">
        <v>14</v>
      </c>
      <c r="R1115" s="24">
        <v>0.45454545454545453</v>
      </c>
      <c r="S1115" s="21" t="s">
        <v>29</v>
      </c>
      <c r="T1115" s="21" t="s">
        <v>293</v>
      </c>
      <c r="U1115" s="21" t="s">
        <v>292</v>
      </c>
      <c r="V1115" s="21" t="s">
        <v>286</v>
      </c>
      <c r="W1115" s="21">
        <v>16</v>
      </c>
      <c r="X1115" s="21" t="s">
        <v>285</v>
      </c>
      <c r="Y1115" s="21" t="s">
        <v>284</v>
      </c>
      <c r="Z1115" s="21" t="s">
        <v>283</v>
      </c>
      <c r="AA1115" s="21" t="s">
        <v>28</v>
      </c>
      <c r="AB1115" s="21">
        <v>1</v>
      </c>
      <c r="AD1115" s="24">
        <v>8.4700000000000006</v>
      </c>
      <c r="AE1115" s="24">
        <v>8.6</v>
      </c>
    </row>
    <row r="1116" spans="1:33">
      <c r="A1116" s="21" t="s">
        <v>28</v>
      </c>
      <c r="B1116" s="21" t="s">
        <v>291</v>
      </c>
      <c r="C1116" s="25">
        <v>46141.625</v>
      </c>
      <c r="D1116" s="21" t="s">
        <v>290</v>
      </c>
      <c r="E1116" s="24">
        <v>8.31</v>
      </c>
      <c r="F1116" s="24">
        <v>6.48</v>
      </c>
      <c r="G1116" s="24">
        <v>1.83</v>
      </c>
      <c r="H1116" s="21" t="s">
        <v>289</v>
      </c>
      <c r="I1116" s="21">
        <v>1</v>
      </c>
      <c r="J1116" s="21">
        <v>6</v>
      </c>
      <c r="K1116" s="21">
        <v>2</v>
      </c>
      <c r="L1116" s="21">
        <v>6</v>
      </c>
      <c r="M1116" s="21">
        <v>1</v>
      </c>
      <c r="P1116" s="24">
        <v>12</v>
      </c>
      <c r="Q1116" s="24">
        <v>3</v>
      </c>
      <c r="R1116" s="24">
        <v>0.8</v>
      </c>
      <c r="S1116" s="21" t="s">
        <v>288</v>
      </c>
      <c r="U1116" s="21" t="s">
        <v>287</v>
      </c>
      <c r="V1116" s="21" t="s">
        <v>286</v>
      </c>
      <c r="W1116" s="21">
        <v>18</v>
      </c>
      <c r="X1116" s="21" t="s">
        <v>285</v>
      </c>
      <c r="Y1116" s="21" t="s">
        <v>284</v>
      </c>
      <c r="Z1116" s="21" t="s">
        <v>283</v>
      </c>
      <c r="AA1116" s="21" t="s">
        <v>28</v>
      </c>
      <c r="AB1116" s="21">
        <v>1</v>
      </c>
      <c r="AD1116" s="24">
        <v>8.4700000000000006</v>
      </c>
      <c r="AE1116" s="24">
        <v>6.48</v>
      </c>
    </row>
    <row r="1117" spans="1:33">
      <c r="C1117" s="25"/>
      <c r="E1117" s="24"/>
      <c r="F1117" s="24"/>
      <c r="G1117" s="24"/>
      <c r="P1117" s="24"/>
      <c r="Q1117" s="24"/>
      <c r="R1117" s="24"/>
      <c r="AD1117" s="24"/>
      <c r="AE1117" s="24"/>
    </row>
    <row r="1118" spans="1:33">
      <c r="C1118" s="25"/>
      <c r="E1118" s="24"/>
      <c r="F1118" s="24"/>
      <c r="G1118" s="24"/>
      <c r="P1118" s="24"/>
      <c r="Q1118" s="24"/>
      <c r="R1118" s="24"/>
      <c r="AD1118" s="24"/>
      <c r="AE1118" s="24"/>
    </row>
    <row r="1119" spans="1:33">
      <c r="C1119" s="25"/>
      <c r="E1119" s="24"/>
      <c r="F1119" s="24"/>
      <c r="G1119" s="24"/>
      <c r="P1119" s="24"/>
      <c r="Q1119" s="24"/>
      <c r="R1119" s="24"/>
      <c r="AD1119" s="24"/>
      <c r="AE1119" s="24"/>
    </row>
    <row r="1120" spans="1:33">
      <c r="C1120" s="25"/>
      <c r="E1120" s="24"/>
      <c r="F1120" s="24"/>
      <c r="G1120" s="24"/>
      <c r="P1120" s="24"/>
      <c r="Q1120" s="24"/>
      <c r="R1120" s="24"/>
      <c r="AD1120" s="24"/>
      <c r="AE1120" s="24"/>
    </row>
    <row r="1121" spans="3:31">
      <c r="C1121" s="25"/>
      <c r="E1121" s="24"/>
      <c r="F1121" s="24"/>
      <c r="G1121" s="24"/>
      <c r="P1121" s="24"/>
      <c r="Q1121" s="24"/>
      <c r="R1121" s="24"/>
      <c r="AD1121" s="24"/>
      <c r="AE1121" s="24"/>
    </row>
    <row r="1122" spans="3:31">
      <c r="C1122" s="25"/>
      <c r="E1122" s="24"/>
      <c r="F1122" s="24"/>
      <c r="G1122" s="24"/>
      <c r="P1122" s="24"/>
      <c r="Q1122" s="24"/>
      <c r="R1122" s="24"/>
      <c r="AD1122" s="24"/>
      <c r="AE1122" s="24"/>
    </row>
    <row r="1123" spans="3:31">
      <c r="C1123" s="25"/>
      <c r="E1123" s="24"/>
      <c r="F1123" s="24"/>
      <c r="G1123" s="24"/>
      <c r="P1123" s="24"/>
      <c r="Q1123" s="24"/>
      <c r="R1123" s="24"/>
      <c r="AD1123" s="24"/>
      <c r="AE1123" s="24"/>
    </row>
    <row r="1124" spans="3:31">
      <c r="C1124" s="25"/>
      <c r="E1124" s="24"/>
      <c r="F1124" s="24"/>
      <c r="G1124" s="24"/>
      <c r="P1124" s="24"/>
      <c r="Q1124" s="24"/>
      <c r="R1124" s="24"/>
      <c r="AD1124" s="24"/>
      <c r="AE1124" s="24"/>
    </row>
    <row r="1125" spans="3:31">
      <c r="C1125" s="25"/>
      <c r="E1125" s="24"/>
      <c r="F1125" s="24"/>
      <c r="G1125" s="24"/>
      <c r="P1125" s="24"/>
      <c r="Q1125" s="24"/>
      <c r="R1125" s="24"/>
      <c r="AD1125" s="24"/>
      <c r="AE1125" s="24"/>
    </row>
  </sheetData>
  <conditionalFormatting sqref="AF2:AF1106">
    <cfRule type="expression" dxfId="4" priority="1">
      <formula>AF2="No"</formula>
    </cfRule>
    <cfRule type="expression" dxfId="3" priority="2">
      <formula>AF2&lt;&gt;"No"</formula>
    </cfRule>
  </conditionalFormatting>
  <conditionalFormatting sqref="AG2:AG1106">
    <cfRule type="expression" dxfId="2" priority="3">
      <formula>AG2="Verified"</formula>
    </cfRule>
    <cfRule type="expression" dxfId="1" priority="4">
      <formula>AG2="Acceptable"</formula>
    </cfRule>
    <cfRule type="expression" dxfId="0" priority="5">
      <formula>OR(AG2="Needs Update",AG2="Missing")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41EF-669C-4FAF-9721-60DF5E885974}">
  <dimension ref="A1:AE116"/>
  <sheetViews>
    <sheetView workbookViewId="0"/>
  </sheetViews>
  <sheetFormatPr defaultColWidth="9.6328125" defaultRowHeight="14.5"/>
  <cols>
    <col min="1" max="1" width="10.1796875" style="1" customWidth="1"/>
    <col min="2" max="2" width="41.26953125" style="1" customWidth="1"/>
    <col min="3" max="3" width="9.6328125" style="1" customWidth="1"/>
    <col min="4" max="4" width="19.6328125" style="1" customWidth="1"/>
    <col min="5" max="11" width="9.6328125" style="1" customWidth="1"/>
    <col min="12" max="12" width="21.08984375" style="1" customWidth="1"/>
    <col min="13" max="19" width="9.6328125" style="1" customWidth="1"/>
    <col min="20" max="20" width="12.90625" style="1" customWidth="1"/>
    <col min="21" max="29" width="9.6328125" style="1" customWidth="1"/>
    <col min="30" max="30" width="12.90625" style="2" customWidth="1"/>
    <col min="31" max="31" width="9.6328125" style="1" customWidth="1"/>
    <col min="32" max="16384" width="9.6328125" style="1"/>
  </cols>
  <sheetData>
    <row r="1" spans="1:31" ht="43.5">
      <c r="A1" s="20" t="s">
        <v>282</v>
      </c>
      <c r="B1" s="14" t="s">
        <v>281</v>
      </c>
      <c r="C1" s="14" t="s">
        <v>257</v>
      </c>
      <c r="D1" s="14" t="s">
        <v>280</v>
      </c>
      <c r="E1" s="14" t="s">
        <v>279</v>
      </c>
      <c r="F1" s="14" t="s">
        <v>278</v>
      </c>
      <c r="G1" s="14" t="s">
        <v>277</v>
      </c>
      <c r="H1" s="14" t="s">
        <v>276</v>
      </c>
      <c r="I1" s="14" t="s">
        <v>275</v>
      </c>
      <c r="J1" s="14" t="s">
        <v>274</v>
      </c>
      <c r="K1" s="14" t="s">
        <v>273</v>
      </c>
      <c r="L1" s="14" t="s">
        <v>272</v>
      </c>
      <c r="M1" s="14" t="s">
        <v>271</v>
      </c>
      <c r="N1" s="14" t="s">
        <v>270</v>
      </c>
      <c r="O1" s="14" t="s">
        <v>269</v>
      </c>
      <c r="P1" s="14" t="s">
        <v>268</v>
      </c>
      <c r="Q1" s="14" t="s">
        <v>267</v>
      </c>
      <c r="R1" s="14" t="s">
        <v>266</v>
      </c>
      <c r="S1" s="14" t="s">
        <v>265</v>
      </c>
      <c r="T1" s="14" t="s">
        <v>264</v>
      </c>
      <c r="U1" s="14" t="s">
        <v>263</v>
      </c>
      <c r="V1" s="14" t="s">
        <v>262</v>
      </c>
      <c r="W1" s="14" t="s">
        <v>261</v>
      </c>
      <c r="X1" s="19" t="s">
        <v>260</v>
      </c>
      <c r="Y1" s="18" t="s">
        <v>259</v>
      </c>
      <c r="Z1" s="17" t="s">
        <v>258</v>
      </c>
      <c r="AA1" s="16" t="s">
        <v>257</v>
      </c>
      <c r="AB1" s="16" t="s">
        <v>256</v>
      </c>
      <c r="AC1" s="16" t="s">
        <v>255</v>
      </c>
      <c r="AD1" s="15" t="s">
        <v>254</v>
      </c>
      <c r="AE1" s="14" t="s">
        <v>253</v>
      </c>
    </row>
    <row r="2" spans="1:31">
      <c r="A2" s="11">
        <v>46092</v>
      </c>
      <c r="B2" s="9" t="s">
        <v>252</v>
      </c>
      <c r="C2" s="7">
        <v>-0.33</v>
      </c>
      <c r="D2" s="9" t="s">
        <v>135</v>
      </c>
      <c r="E2" s="7">
        <v>5</v>
      </c>
      <c r="F2" s="5">
        <v>0</v>
      </c>
      <c r="G2" s="6">
        <v>0.31819999999999998</v>
      </c>
      <c r="H2" s="5">
        <v>0</v>
      </c>
      <c r="I2" s="10">
        <v>1</v>
      </c>
      <c r="J2" s="5">
        <v>1</v>
      </c>
      <c r="K2" s="6">
        <v>0.5</v>
      </c>
      <c r="L2" s="9" t="s">
        <v>251</v>
      </c>
      <c r="M2" s="7">
        <v>5.33</v>
      </c>
      <c r="N2" s="5">
        <v>0</v>
      </c>
      <c r="O2" s="6">
        <v>0.42309999999999998</v>
      </c>
      <c r="P2" s="5">
        <v>1</v>
      </c>
      <c r="Q2" s="10">
        <v>4</v>
      </c>
      <c r="R2" s="5">
        <v>2</v>
      </c>
      <c r="S2" s="6">
        <v>0.4</v>
      </c>
      <c r="T2" s="9" t="s">
        <v>250</v>
      </c>
      <c r="U2" s="5">
        <v>6</v>
      </c>
      <c r="V2" s="5">
        <v>12</v>
      </c>
      <c r="W2" s="8">
        <v>0.33333333333333331</v>
      </c>
      <c r="X2" s="6">
        <v>-0.10489999999999999</v>
      </c>
      <c r="Y2" s="5">
        <v>-1</v>
      </c>
      <c r="Z2" s="5">
        <v>0</v>
      </c>
      <c r="AA2" s="7">
        <v>-0.33000000000000007</v>
      </c>
      <c r="AB2" s="5">
        <v>0</v>
      </c>
      <c r="AC2" s="6">
        <v>9.9999999999999978E-2</v>
      </c>
      <c r="AD2" s="5">
        <v>-1</v>
      </c>
      <c r="AE2" s="4">
        <v>6.1913696060037535E-2</v>
      </c>
    </row>
    <row r="3" spans="1:31">
      <c r="A3" s="11">
        <v>46094</v>
      </c>
      <c r="B3" s="9" t="s">
        <v>245</v>
      </c>
      <c r="C3" s="7">
        <v>-0.98</v>
      </c>
      <c r="D3" s="9" t="s">
        <v>65</v>
      </c>
      <c r="E3" s="7">
        <v>6.11</v>
      </c>
      <c r="F3" s="5">
        <v>1</v>
      </c>
      <c r="G3" s="6">
        <v>0.64290000000000003</v>
      </c>
      <c r="H3" s="5">
        <f t="shared" ref="H3:H34" si="0">IF(G3&lt;0.4,0,IF(G3&lt;=0.6,1,2))</f>
        <v>2</v>
      </c>
      <c r="I3" s="10">
        <v>4</v>
      </c>
      <c r="J3" s="5">
        <v>1</v>
      </c>
      <c r="K3" s="6">
        <f t="shared" ref="K3:K34" si="1">J3/(1+I3)</f>
        <v>0.2</v>
      </c>
      <c r="L3" s="9" t="s">
        <v>61</v>
      </c>
      <c r="M3" s="7">
        <v>7.09</v>
      </c>
      <c r="N3" s="5">
        <v>1</v>
      </c>
      <c r="O3" s="6">
        <v>0.38240000000000002</v>
      </c>
      <c r="P3" s="5">
        <f t="shared" ref="P3:P34" si="2">IF(O3&lt;0.4,0,IF(O3&lt;=0.6,1,2))</f>
        <v>0</v>
      </c>
      <c r="Q3" s="10">
        <v>2</v>
      </c>
      <c r="R3" s="5">
        <v>2</v>
      </c>
      <c r="S3" s="6">
        <f t="shared" ref="S3:S34" si="3">R3/(1+Q3)</f>
        <v>0.66666666666666663</v>
      </c>
      <c r="T3" s="9" t="s">
        <v>249</v>
      </c>
      <c r="U3" s="5">
        <v>14</v>
      </c>
      <c r="V3" s="5">
        <v>14</v>
      </c>
      <c r="W3" s="8">
        <f t="shared" ref="W3:W34" si="4">U3/(U3+V3)</f>
        <v>0.5</v>
      </c>
      <c r="X3" s="6">
        <f t="shared" ref="X3:X34" si="5">G3-O3</f>
        <v>0.26050000000000001</v>
      </c>
      <c r="Y3" s="5">
        <f t="shared" ref="Y3:Y34" si="6">H3-P3</f>
        <v>2</v>
      </c>
      <c r="Z3" s="5">
        <v>0</v>
      </c>
      <c r="AA3" s="7">
        <f t="shared" ref="AA3:AA34" si="7">E3-M3</f>
        <v>-0.97999999999999954</v>
      </c>
      <c r="AB3" s="5">
        <f t="shared" ref="AB3:AB34" si="8">F3-N3</f>
        <v>0</v>
      </c>
      <c r="AC3" s="6">
        <f t="shared" ref="AC3:AC34" si="9">K3-S3</f>
        <v>-0.46666666666666662</v>
      </c>
      <c r="AD3" s="5">
        <f t="shared" ref="AD3:AD34" si="10">SIGN(Y3)</f>
        <v>1</v>
      </c>
      <c r="AE3" s="4">
        <f t="shared" ref="AE3:AE34" si="11">ABS(AA3)/M3</f>
        <v>0.13822284908321572</v>
      </c>
    </row>
    <row r="4" spans="1:31">
      <c r="A4" s="11">
        <v>46094</v>
      </c>
      <c r="B4" s="9" t="s">
        <v>248</v>
      </c>
      <c r="C4" s="7">
        <v>-0.46</v>
      </c>
      <c r="D4" s="9" t="s">
        <v>247</v>
      </c>
      <c r="E4" s="7">
        <v>5.44</v>
      </c>
      <c r="F4" s="5">
        <v>0</v>
      </c>
      <c r="G4" s="6">
        <v>0.29409999999999997</v>
      </c>
      <c r="H4" s="5">
        <f t="shared" si="0"/>
        <v>0</v>
      </c>
      <c r="I4" s="10">
        <v>4</v>
      </c>
      <c r="J4" s="5">
        <v>1</v>
      </c>
      <c r="K4" s="6">
        <f t="shared" si="1"/>
        <v>0.2</v>
      </c>
      <c r="L4" s="9" t="s">
        <v>206</v>
      </c>
      <c r="M4" s="7">
        <v>5.9</v>
      </c>
      <c r="N4" s="5">
        <v>1</v>
      </c>
      <c r="O4" s="6">
        <v>0.70589999999999997</v>
      </c>
      <c r="P4" s="5">
        <f t="shared" si="2"/>
        <v>2</v>
      </c>
      <c r="Q4" s="10">
        <v>3</v>
      </c>
      <c r="R4" s="5">
        <v>3</v>
      </c>
      <c r="S4" s="6">
        <f t="shared" si="3"/>
        <v>0.75</v>
      </c>
      <c r="T4" s="9" t="s">
        <v>246</v>
      </c>
      <c r="U4" s="5">
        <v>10</v>
      </c>
      <c r="V4" s="5">
        <v>15</v>
      </c>
      <c r="W4" s="8">
        <f t="shared" si="4"/>
        <v>0.4</v>
      </c>
      <c r="X4" s="6">
        <f t="shared" si="5"/>
        <v>-0.4118</v>
      </c>
      <c r="Y4" s="5">
        <f t="shared" si="6"/>
        <v>-2</v>
      </c>
      <c r="Z4" s="5">
        <v>0</v>
      </c>
      <c r="AA4" s="7">
        <f t="shared" si="7"/>
        <v>-0.45999999999999996</v>
      </c>
      <c r="AB4" s="5">
        <f t="shared" si="8"/>
        <v>-1</v>
      </c>
      <c r="AC4" s="6">
        <f t="shared" si="9"/>
        <v>-0.55000000000000004</v>
      </c>
      <c r="AD4" s="5">
        <f t="shared" si="10"/>
        <v>-1</v>
      </c>
      <c r="AE4" s="4">
        <f t="shared" si="11"/>
        <v>7.7966101694915246E-2</v>
      </c>
    </row>
    <row r="5" spans="1:31">
      <c r="A5" s="11">
        <v>46094</v>
      </c>
      <c r="B5" s="9" t="s">
        <v>245</v>
      </c>
      <c r="C5" s="7">
        <v>-0.77</v>
      </c>
      <c r="D5" s="9" t="s">
        <v>115</v>
      </c>
      <c r="E5" s="7">
        <v>4.9800000000000004</v>
      </c>
      <c r="F5" s="5">
        <v>1</v>
      </c>
      <c r="G5" s="6">
        <v>0.55559999999999998</v>
      </c>
      <c r="H5" s="5">
        <f t="shared" si="0"/>
        <v>1</v>
      </c>
      <c r="I5" s="10">
        <v>2</v>
      </c>
      <c r="J5" s="5">
        <v>2</v>
      </c>
      <c r="K5" s="6">
        <f t="shared" si="1"/>
        <v>0.66666666666666663</v>
      </c>
      <c r="L5" s="9" t="s">
        <v>131</v>
      </c>
      <c r="M5" s="7">
        <v>5.75</v>
      </c>
      <c r="N5" s="5">
        <v>1</v>
      </c>
      <c r="O5" s="6">
        <v>0.63160000000000005</v>
      </c>
      <c r="P5" s="5">
        <f t="shared" si="2"/>
        <v>2</v>
      </c>
      <c r="Q5" s="10">
        <v>4</v>
      </c>
      <c r="R5" s="5">
        <v>1</v>
      </c>
      <c r="S5" s="6">
        <f t="shared" si="3"/>
        <v>0.2</v>
      </c>
      <c r="T5" s="9" t="s">
        <v>244</v>
      </c>
      <c r="U5" s="5">
        <v>13</v>
      </c>
      <c r="V5" s="5">
        <v>16</v>
      </c>
      <c r="W5" s="8">
        <f t="shared" si="4"/>
        <v>0.44827586206896552</v>
      </c>
      <c r="X5" s="6">
        <f t="shared" si="5"/>
        <v>-7.6000000000000068E-2</v>
      </c>
      <c r="Y5" s="5">
        <f t="shared" si="6"/>
        <v>-1</v>
      </c>
      <c r="Z5" s="5">
        <v>0</v>
      </c>
      <c r="AA5" s="7">
        <f t="shared" si="7"/>
        <v>-0.76999999999999957</v>
      </c>
      <c r="AB5" s="5">
        <f t="shared" si="8"/>
        <v>0</v>
      </c>
      <c r="AC5" s="6">
        <f t="shared" si="9"/>
        <v>0.46666666666666662</v>
      </c>
      <c r="AD5" s="5">
        <f t="shared" si="10"/>
        <v>-1</v>
      </c>
      <c r="AE5" s="4">
        <f t="shared" si="11"/>
        <v>0.1339130434782608</v>
      </c>
    </row>
    <row r="6" spans="1:31">
      <c r="A6" s="11">
        <v>46095</v>
      </c>
      <c r="B6" s="9" t="s">
        <v>241</v>
      </c>
      <c r="C6" s="7">
        <v>-0.56000000000000005</v>
      </c>
      <c r="D6" s="9" t="s">
        <v>243</v>
      </c>
      <c r="E6" s="7">
        <v>8.17</v>
      </c>
      <c r="F6" s="5">
        <v>1</v>
      </c>
      <c r="G6" s="6">
        <v>0.58819999999999995</v>
      </c>
      <c r="H6" s="5">
        <f t="shared" si="0"/>
        <v>1</v>
      </c>
      <c r="I6" s="10">
        <v>14</v>
      </c>
      <c r="J6" s="5">
        <v>0</v>
      </c>
      <c r="K6" s="6">
        <f t="shared" si="1"/>
        <v>0</v>
      </c>
      <c r="L6" s="9" t="s">
        <v>21</v>
      </c>
      <c r="M6" s="7">
        <v>8.73</v>
      </c>
      <c r="N6" s="5">
        <v>0</v>
      </c>
      <c r="O6" s="6">
        <v>0.1111</v>
      </c>
      <c r="P6" s="5">
        <f t="shared" si="2"/>
        <v>0</v>
      </c>
      <c r="Q6" s="10">
        <v>14</v>
      </c>
      <c r="R6" s="5">
        <v>0</v>
      </c>
      <c r="S6" s="6">
        <f t="shared" si="3"/>
        <v>0</v>
      </c>
      <c r="T6" s="9" t="s">
        <v>242</v>
      </c>
      <c r="U6" s="5">
        <v>13</v>
      </c>
      <c r="V6" s="5">
        <v>7</v>
      </c>
      <c r="W6" s="8">
        <f t="shared" si="4"/>
        <v>0.65</v>
      </c>
      <c r="X6" s="6">
        <f t="shared" si="5"/>
        <v>0.47709999999999997</v>
      </c>
      <c r="Y6" s="5">
        <f t="shared" si="6"/>
        <v>1</v>
      </c>
      <c r="Z6" s="5">
        <v>1</v>
      </c>
      <c r="AA6" s="7">
        <f t="shared" si="7"/>
        <v>-0.5600000000000005</v>
      </c>
      <c r="AB6" s="5">
        <f t="shared" si="8"/>
        <v>1</v>
      </c>
      <c r="AC6" s="6">
        <f t="shared" si="9"/>
        <v>0</v>
      </c>
      <c r="AD6" s="5">
        <f t="shared" si="10"/>
        <v>1</v>
      </c>
      <c r="AE6" s="4">
        <f t="shared" si="11"/>
        <v>6.4146620847651825E-2</v>
      </c>
    </row>
    <row r="7" spans="1:31">
      <c r="A7" s="11">
        <v>46095</v>
      </c>
      <c r="B7" s="9" t="s">
        <v>241</v>
      </c>
      <c r="C7" s="7">
        <v>-0.16</v>
      </c>
      <c r="D7" s="9" t="s">
        <v>38</v>
      </c>
      <c r="E7" s="7">
        <v>10.11</v>
      </c>
      <c r="F7" s="5">
        <v>4</v>
      </c>
      <c r="G7" s="6">
        <v>0.83720000000000006</v>
      </c>
      <c r="H7" s="5">
        <f t="shared" si="0"/>
        <v>2</v>
      </c>
      <c r="I7" s="10">
        <v>1</v>
      </c>
      <c r="J7" s="5">
        <v>2</v>
      </c>
      <c r="K7" s="6">
        <f t="shared" si="1"/>
        <v>1</v>
      </c>
      <c r="L7" s="9" t="s">
        <v>78</v>
      </c>
      <c r="M7" s="7">
        <v>10.27</v>
      </c>
      <c r="N7" s="5">
        <v>1</v>
      </c>
      <c r="O7" s="6">
        <v>0.45279999999999998</v>
      </c>
      <c r="P7" s="5">
        <f t="shared" si="2"/>
        <v>1</v>
      </c>
      <c r="Q7" s="10">
        <v>14</v>
      </c>
      <c r="R7" s="5">
        <v>0</v>
      </c>
      <c r="S7" s="6">
        <f t="shared" si="3"/>
        <v>0</v>
      </c>
      <c r="T7" s="9" t="s">
        <v>240</v>
      </c>
      <c r="U7" s="5">
        <v>2</v>
      </c>
      <c r="V7" s="5">
        <v>12</v>
      </c>
      <c r="W7" s="8">
        <f t="shared" si="4"/>
        <v>0.14285714285714285</v>
      </c>
      <c r="X7" s="6">
        <f t="shared" si="5"/>
        <v>0.38440000000000007</v>
      </c>
      <c r="Y7" s="5">
        <f t="shared" si="6"/>
        <v>1</v>
      </c>
      <c r="Z7" s="5">
        <v>0</v>
      </c>
      <c r="AA7" s="7">
        <f t="shared" si="7"/>
        <v>-0.16000000000000014</v>
      </c>
      <c r="AB7" s="5">
        <f t="shared" si="8"/>
        <v>3</v>
      </c>
      <c r="AC7" s="6">
        <f t="shared" si="9"/>
        <v>1</v>
      </c>
      <c r="AD7" s="5">
        <f t="shared" si="10"/>
        <v>1</v>
      </c>
      <c r="AE7" s="4">
        <f t="shared" si="11"/>
        <v>1.5579357351509265E-2</v>
      </c>
    </row>
    <row r="8" spans="1:31">
      <c r="A8" s="11">
        <v>46098</v>
      </c>
      <c r="B8" s="9" t="s">
        <v>239</v>
      </c>
      <c r="C8" s="7">
        <v>-0.86</v>
      </c>
      <c r="D8" s="9" t="s">
        <v>206</v>
      </c>
      <c r="E8" s="7">
        <v>5.95</v>
      </c>
      <c r="F8" s="5">
        <v>2</v>
      </c>
      <c r="G8" s="6">
        <v>0.66</v>
      </c>
      <c r="H8" s="5">
        <f t="shared" si="0"/>
        <v>2</v>
      </c>
      <c r="I8" s="10">
        <v>4</v>
      </c>
      <c r="J8" s="5">
        <v>4</v>
      </c>
      <c r="K8" s="6">
        <f t="shared" si="1"/>
        <v>0.8</v>
      </c>
      <c r="L8" s="9" t="s">
        <v>110</v>
      </c>
      <c r="M8" s="7">
        <v>6.81</v>
      </c>
      <c r="N8" s="5">
        <v>3</v>
      </c>
      <c r="O8" s="6">
        <v>0.67310000000000003</v>
      </c>
      <c r="P8" s="5">
        <f t="shared" si="2"/>
        <v>2</v>
      </c>
      <c r="Q8" s="10">
        <v>6</v>
      </c>
      <c r="R8" s="5">
        <v>1</v>
      </c>
      <c r="S8" s="6">
        <f t="shared" si="3"/>
        <v>0.14285714285714285</v>
      </c>
      <c r="T8" s="9" t="s">
        <v>238</v>
      </c>
      <c r="U8" s="5">
        <v>4</v>
      </c>
      <c r="V8" s="5">
        <v>12</v>
      </c>
      <c r="W8" s="8">
        <f t="shared" si="4"/>
        <v>0.25</v>
      </c>
      <c r="X8" s="6">
        <f t="shared" si="5"/>
        <v>-1.3100000000000001E-2</v>
      </c>
      <c r="Y8" s="5">
        <f t="shared" si="6"/>
        <v>0</v>
      </c>
      <c r="Z8" s="5">
        <v>0</v>
      </c>
      <c r="AA8" s="7">
        <f t="shared" si="7"/>
        <v>-0.85999999999999943</v>
      </c>
      <c r="AB8" s="5">
        <f t="shared" si="8"/>
        <v>-1</v>
      </c>
      <c r="AC8" s="6">
        <f t="shared" si="9"/>
        <v>0.65714285714285725</v>
      </c>
      <c r="AD8" s="5">
        <f t="shared" si="10"/>
        <v>0</v>
      </c>
      <c r="AE8" s="4">
        <f t="shared" si="11"/>
        <v>0.12628487518355352</v>
      </c>
    </row>
    <row r="9" spans="1:31">
      <c r="A9" s="11">
        <v>46099</v>
      </c>
      <c r="B9" s="9" t="s">
        <v>237</v>
      </c>
      <c r="C9" s="7">
        <v>-0.43</v>
      </c>
      <c r="D9" s="9" t="s">
        <v>14</v>
      </c>
      <c r="E9" s="7">
        <v>6.64</v>
      </c>
      <c r="F9" s="5">
        <v>3</v>
      </c>
      <c r="G9" s="6">
        <v>0.8</v>
      </c>
      <c r="H9" s="5">
        <f t="shared" si="0"/>
        <v>2</v>
      </c>
      <c r="I9" s="10">
        <v>1</v>
      </c>
      <c r="J9" s="5">
        <v>3</v>
      </c>
      <c r="K9" s="6">
        <f t="shared" si="1"/>
        <v>1.5</v>
      </c>
      <c r="L9" s="9" t="s">
        <v>61</v>
      </c>
      <c r="M9" s="7">
        <v>7.07</v>
      </c>
      <c r="N9" s="5">
        <v>2</v>
      </c>
      <c r="O9" s="6">
        <v>0.49059999999999998</v>
      </c>
      <c r="P9" s="5">
        <f t="shared" si="2"/>
        <v>1</v>
      </c>
      <c r="Q9" s="10">
        <v>5</v>
      </c>
      <c r="R9" s="5">
        <v>3</v>
      </c>
      <c r="S9" s="6">
        <f t="shared" si="3"/>
        <v>0.5</v>
      </c>
      <c r="T9" s="9" t="s">
        <v>83</v>
      </c>
      <c r="U9" s="5">
        <v>12</v>
      </c>
      <c r="V9" s="5">
        <v>7</v>
      </c>
      <c r="W9" s="8">
        <f t="shared" si="4"/>
        <v>0.63157894736842102</v>
      </c>
      <c r="X9" s="6">
        <f t="shared" si="5"/>
        <v>0.30940000000000006</v>
      </c>
      <c r="Y9" s="5">
        <f t="shared" si="6"/>
        <v>1</v>
      </c>
      <c r="Z9" s="5">
        <v>1</v>
      </c>
      <c r="AA9" s="7">
        <f t="shared" si="7"/>
        <v>-0.4300000000000006</v>
      </c>
      <c r="AB9" s="5">
        <f t="shared" si="8"/>
        <v>1</v>
      </c>
      <c r="AC9" s="6">
        <f t="shared" si="9"/>
        <v>1</v>
      </c>
      <c r="AD9" s="5">
        <f t="shared" si="10"/>
        <v>1</v>
      </c>
      <c r="AE9" s="4">
        <f t="shared" si="11"/>
        <v>6.0820367751060901E-2</v>
      </c>
    </row>
    <row r="10" spans="1:31">
      <c r="A10" s="11">
        <v>46099</v>
      </c>
      <c r="B10" s="9" t="s">
        <v>236</v>
      </c>
      <c r="C10" s="7">
        <v>-0.12</v>
      </c>
      <c r="D10" s="9" t="s">
        <v>235</v>
      </c>
      <c r="E10" s="7">
        <v>7.96</v>
      </c>
      <c r="F10" s="5">
        <v>0</v>
      </c>
      <c r="G10" s="6">
        <v>0.26669999999999999</v>
      </c>
      <c r="H10" s="5">
        <f t="shared" si="0"/>
        <v>0</v>
      </c>
      <c r="I10" s="10">
        <v>8</v>
      </c>
      <c r="J10" s="5">
        <v>1</v>
      </c>
      <c r="K10" s="6">
        <f t="shared" si="1"/>
        <v>0.1111111111111111</v>
      </c>
      <c r="L10" s="9" t="s">
        <v>18</v>
      </c>
      <c r="M10" s="7">
        <v>8.08</v>
      </c>
      <c r="N10" s="5">
        <v>2</v>
      </c>
      <c r="O10" s="6">
        <v>0.58140000000000003</v>
      </c>
      <c r="P10" s="5">
        <f t="shared" si="2"/>
        <v>1</v>
      </c>
      <c r="Q10" s="10">
        <v>5</v>
      </c>
      <c r="R10" s="5">
        <v>1</v>
      </c>
      <c r="S10" s="6">
        <f t="shared" si="3"/>
        <v>0.16666666666666666</v>
      </c>
      <c r="T10" s="9" t="s">
        <v>12</v>
      </c>
      <c r="U10" s="5">
        <v>12</v>
      </c>
      <c r="V10" s="5">
        <v>6</v>
      </c>
      <c r="W10" s="8">
        <f t="shared" si="4"/>
        <v>0.66666666666666663</v>
      </c>
      <c r="X10" s="6">
        <f t="shared" si="5"/>
        <v>-0.31470000000000004</v>
      </c>
      <c r="Y10" s="5">
        <f t="shared" si="6"/>
        <v>-1</v>
      </c>
      <c r="Z10" s="5">
        <v>1</v>
      </c>
      <c r="AA10" s="7">
        <f t="shared" si="7"/>
        <v>-0.12000000000000011</v>
      </c>
      <c r="AB10" s="5">
        <f t="shared" si="8"/>
        <v>-2</v>
      </c>
      <c r="AC10" s="6">
        <f t="shared" si="9"/>
        <v>-5.5555555555555552E-2</v>
      </c>
      <c r="AD10" s="5">
        <f t="shared" si="10"/>
        <v>-1</v>
      </c>
      <c r="AE10" s="4">
        <f t="shared" si="11"/>
        <v>1.4851485148514865E-2</v>
      </c>
    </row>
    <row r="11" spans="1:31">
      <c r="A11" s="11">
        <v>46099</v>
      </c>
      <c r="B11" s="9" t="s">
        <v>232</v>
      </c>
      <c r="C11" s="7">
        <v>-0.05</v>
      </c>
      <c r="D11" s="9" t="s">
        <v>181</v>
      </c>
      <c r="E11" s="7">
        <v>6</v>
      </c>
      <c r="F11" s="5">
        <v>0</v>
      </c>
      <c r="G11" s="6">
        <v>0.5</v>
      </c>
      <c r="H11" s="5">
        <f t="shared" si="0"/>
        <v>1</v>
      </c>
      <c r="I11" s="10">
        <v>1</v>
      </c>
      <c r="J11" s="5">
        <v>4</v>
      </c>
      <c r="K11" s="6">
        <f t="shared" si="1"/>
        <v>2</v>
      </c>
      <c r="L11" s="9" t="s">
        <v>67</v>
      </c>
      <c r="M11" s="7">
        <v>6.05</v>
      </c>
      <c r="N11" s="5">
        <v>1</v>
      </c>
      <c r="O11" s="6">
        <v>0.36840000000000001</v>
      </c>
      <c r="P11" s="5">
        <f t="shared" si="2"/>
        <v>0</v>
      </c>
      <c r="Q11" s="10">
        <v>1</v>
      </c>
      <c r="R11" s="5">
        <v>2</v>
      </c>
      <c r="S11" s="6">
        <f t="shared" si="3"/>
        <v>1</v>
      </c>
      <c r="T11" s="9" t="s">
        <v>22</v>
      </c>
      <c r="U11" s="5">
        <v>12</v>
      </c>
      <c r="V11" s="5">
        <v>2</v>
      </c>
      <c r="W11" s="8">
        <f t="shared" si="4"/>
        <v>0.8571428571428571</v>
      </c>
      <c r="X11" s="6">
        <f t="shared" si="5"/>
        <v>0.13159999999999999</v>
      </c>
      <c r="Y11" s="5">
        <f t="shared" si="6"/>
        <v>1</v>
      </c>
      <c r="Z11" s="5">
        <v>1</v>
      </c>
      <c r="AA11" s="7">
        <f t="shared" si="7"/>
        <v>-4.9999999999999822E-2</v>
      </c>
      <c r="AB11" s="5">
        <f t="shared" si="8"/>
        <v>-1</v>
      </c>
      <c r="AC11" s="6">
        <f t="shared" si="9"/>
        <v>1</v>
      </c>
      <c r="AD11" s="5">
        <f t="shared" si="10"/>
        <v>1</v>
      </c>
      <c r="AE11" s="4">
        <f t="shared" si="11"/>
        <v>8.2644628099173261E-3</v>
      </c>
    </row>
    <row r="12" spans="1:31">
      <c r="A12" s="11">
        <v>46099</v>
      </c>
      <c r="B12" s="9" t="s">
        <v>229</v>
      </c>
      <c r="C12" s="7">
        <v>-0.4</v>
      </c>
      <c r="D12" s="13" t="s">
        <v>234</v>
      </c>
      <c r="E12" s="7">
        <v>4.43</v>
      </c>
      <c r="F12" s="5">
        <v>0</v>
      </c>
      <c r="G12" s="6">
        <v>0</v>
      </c>
      <c r="H12" s="5">
        <f t="shared" si="0"/>
        <v>0</v>
      </c>
      <c r="I12" s="10">
        <v>1</v>
      </c>
      <c r="J12" s="5">
        <v>1</v>
      </c>
      <c r="K12" s="6">
        <f t="shared" si="1"/>
        <v>0.5</v>
      </c>
      <c r="L12" s="9" t="s">
        <v>34</v>
      </c>
      <c r="M12" s="7">
        <v>4.83</v>
      </c>
      <c r="N12" s="5">
        <v>2</v>
      </c>
      <c r="O12" s="6">
        <v>0.96</v>
      </c>
      <c r="P12" s="5">
        <f t="shared" si="2"/>
        <v>2</v>
      </c>
      <c r="Q12" s="10">
        <v>7</v>
      </c>
      <c r="R12" s="5">
        <v>2</v>
      </c>
      <c r="S12" s="6">
        <f t="shared" si="3"/>
        <v>0.25</v>
      </c>
      <c r="T12" s="13" t="s">
        <v>233</v>
      </c>
      <c r="U12" s="5">
        <v>2</v>
      </c>
      <c r="V12" s="5">
        <v>12</v>
      </c>
      <c r="W12" s="8">
        <f t="shared" si="4"/>
        <v>0.14285714285714285</v>
      </c>
      <c r="X12" s="6">
        <f t="shared" si="5"/>
        <v>-0.96</v>
      </c>
      <c r="Y12" s="5">
        <f t="shared" si="6"/>
        <v>-2</v>
      </c>
      <c r="Z12" s="5">
        <v>0</v>
      </c>
      <c r="AA12" s="7">
        <f t="shared" si="7"/>
        <v>-0.40000000000000036</v>
      </c>
      <c r="AB12" s="5">
        <f t="shared" si="8"/>
        <v>-2</v>
      </c>
      <c r="AC12" s="6">
        <f t="shared" si="9"/>
        <v>0.25</v>
      </c>
      <c r="AD12" s="5">
        <f t="shared" si="10"/>
        <v>-1</v>
      </c>
      <c r="AE12" s="4">
        <f t="shared" si="11"/>
        <v>8.2815734989648102E-2</v>
      </c>
    </row>
    <row r="13" spans="1:31">
      <c r="A13" s="11">
        <v>46099</v>
      </c>
      <c r="B13" s="9" t="s">
        <v>232</v>
      </c>
      <c r="C13" s="7">
        <v>-0.79</v>
      </c>
      <c r="D13" s="9" t="s">
        <v>46</v>
      </c>
      <c r="E13" s="7">
        <v>7.32</v>
      </c>
      <c r="F13" s="5">
        <v>0</v>
      </c>
      <c r="G13" s="6">
        <v>0.56599999999999995</v>
      </c>
      <c r="H13" s="5">
        <f t="shared" si="0"/>
        <v>1</v>
      </c>
      <c r="I13" s="10">
        <v>1</v>
      </c>
      <c r="J13" s="5">
        <v>6</v>
      </c>
      <c r="K13" s="6">
        <f t="shared" si="1"/>
        <v>3</v>
      </c>
      <c r="L13" s="9" t="s">
        <v>70</v>
      </c>
      <c r="M13" s="7">
        <v>8.11</v>
      </c>
      <c r="N13" s="5">
        <v>1</v>
      </c>
      <c r="O13" s="6">
        <v>0.54169999999999996</v>
      </c>
      <c r="P13" s="5">
        <f t="shared" si="2"/>
        <v>1</v>
      </c>
      <c r="Q13" s="10">
        <v>1</v>
      </c>
      <c r="R13" s="5">
        <v>1</v>
      </c>
      <c r="S13" s="6">
        <f t="shared" si="3"/>
        <v>0.5</v>
      </c>
      <c r="T13" s="9" t="s">
        <v>196</v>
      </c>
      <c r="U13" s="5">
        <v>12</v>
      </c>
      <c r="V13" s="5">
        <v>3</v>
      </c>
      <c r="W13" s="8">
        <f t="shared" si="4"/>
        <v>0.8</v>
      </c>
      <c r="X13" s="6">
        <f t="shared" si="5"/>
        <v>2.4299999999999988E-2</v>
      </c>
      <c r="Y13" s="5">
        <f t="shared" si="6"/>
        <v>0</v>
      </c>
      <c r="Z13" s="5">
        <v>1</v>
      </c>
      <c r="AA13" s="7">
        <f t="shared" si="7"/>
        <v>-0.78999999999999915</v>
      </c>
      <c r="AB13" s="5">
        <f t="shared" si="8"/>
        <v>-1</v>
      </c>
      <c r="AC13" s="6">
        <f t="shared" si="9"/>
        <v>2.5</v>
      </c>
      <c r="AD13" s="5">
        <f t="shared" si="10"/>
        <v>0</v>
      </c>
      <c r="AE13" s="4">
        <f t="shared" si="11"/>
        <v>9.7410604192355019E-2</v>
      </c>
    </row>
    <row r="14" spans="1:31">
      <c r="A14" s="11">
        <v>46099</v>
      </c>
      <c r="B14" s="9" t="s">
        <v>231</v>
      </c>
      <c r="C14" s="7">
        <v>-0.96</v>
      </c>
      <c r="D14" s="9" t="s">
        <v>184</v>
      </c>
      <c r="E14" s="7">
        <v>4.84</v>
      </c>
      <c r="F14" s="5">
        <v>0</v>
      </c>
      <c r="G14" s="6">
        <v>7.6899999999999996E-2</v>
      </c>
      <c r="H14" s="5">
        <f t="shared" si="0"/>
        <v>0</v>
      </c>
      <c r="I14" s="10">
        <v>7</v>
      </c>
      <c r="J14" s="5">
        <v>1</v>
      </c>
      <c r="K14" s="6">
        <f t="shared" si="1"/>
        <v>0.125</v>
      </c>
      <c r="L14" s="9" t="s">
        <v>131</v>
      </c>
      <c r="M14" s="7">
        <v>5.8</v>
      </c>
      <c r="N14" s="5">
        <v>2</v>
      </c>
      <c r="O14" s="6">
        <v>0.58330000000000004</v>
      </c>
      <c r="P14" s="5">
        <f t="shared" si="2"/>
        <v>1</v>
      </c>
      <c r="Q14" s="10">
        <v>5</v>
      </c>
      <c r="R14" s="5">
        <v>2</v>
      </c>
      <c r="S14" s="6">
        <f t="shared" si="3"/>
        <v>0.33333333333333331</v>
      </c>
      <c r="T14" s="9" t="s">
        <v>230</v>
      </c>
      <c r="U14" s="5">
        <v>5</v>
      </c>
      <c r="V14" s="5">
        <v>13</v>
      </c>
      <c r="W14" s="8">
        <f t="shared" si="4"/>
        <v>0.27777777777777779</v>
      </c>
      <c r="X14" s="6">
        <f t="shared" si="5"/>
        <v>-0.50640000000000007</v>
      </c>
      <c r="Y14" s="5">
        <f t="shared" si="6"/>
        <v>-1</v>
      </c>
      <c r="Z14" s="5">
        <v>0</v>
      </c>
      <c r="AA14" s="7">
        <f t="shared" si="7"/>
        <v>-0.96</v>
      </c>
      <c r="AB14" s="5">
        <f t="shared" si="8"/>
        <v>-2</v>
      </c>
      <c r="AC14" s="6">
        <f t="shared" si="9"/>
        <v>-0.20833333333333331</v>
      </c>
      <c r="AD14" s="5">
        <f t="shared" si="10"/>
        <v>-1</v>
      </c>
      <c r="AE14" s="4">
        <f t="shared" si="11"/>
        <v>0.16551724137931034</v>
      </c>
    </row>
    <row r="15" spans="1:31">
      <c r="A15" s="11">
        <v>46099</v>
      </c>
      <c r="B15" s="9" t="s">
        <v>229</v>
      </c>
      <c r="C15" s="7">
        <v>-0.93</v>
      </c>
      <c r="D15" s="9" t="s">
        <v>28</v>
      </c>
      <c r="E15" s="7">
        <v>7.88</v>
      </c>
      <c r="F15" s="5">
        <v>3</v>
      </c>
      <c r="G15" s="6">
        <v>0.78049999999999997</v>
      </c>
      <c r="H15" s="5">
        <f t="shared" si="0"/>
        <v>2</v>
      </c>
      <c r="I15" s="10">
        <v>7</v>
      </c>
      <c r="J15" s="5">
        <v>2</v>
      </c>
      <c r="K15" s="6">
        <f t="shared" si="1"/>
        <v>0.25</v>
      </c>
      <c r="L15" s="9" t="s">
        <v>228</v>
      </c>
      <c r="M15" s="7">
        <v>8.81</v>
      </c>
      <c r="N15" s="5">
        <v>1</v>
      </c>
      <c r="O15" s="6">
        <v>0.61539999999999995</v>
      </c>
      <c r="P15" s="5">
        <f t="shared" si="2"/>
        <v>2</v>
      </c>
      <c r="Q15" s="10">
        <v>4</v>
      </c>
      <c r="R15" s="5">
        <v>5</v>
      </c>
      <c r="S15" s="6">
        <f t="shared" si="3"/>
        <v>1</v>
      </c>
      <c r="T15" s="9" t="s">
        <v>227</v>
      </c>
      <c r="U15" s="5">
        <v>13</v>
      </c>
      <c r="V15" s="5">
        <v>16</v>
      </c>
      <c r="W15" s="8">
        <f t="shared" si="4"/>
        <v>0.44827586206896552</v>
      </c>
      <c r="X15" s="6">
        <f t="shared" si="5"/>
        <v>0.16510000000000002</v>
      </c>
      <c r="Y15" s="5">
        <f t="shared" si="6"/>
        <v>0</v>
      </c>
      <c r="Z15" s="5">
        <v>0</v>
      </c>
      <c r="AA15" s="7">
        <f t="shared" si="7"/>
        <v>-0.9300000000000006</v>
      </c>
      <c r="AB15" s="5">
        <f t="shared" si="8"/>
        <v>2</v>
      </c>
      <c r="AC15" s="6">
        <f t="shared" si="9"/>
        <v>-0.75</v>
      </c>
      <c r="AD15" s="5">
        <f t="shared" si="10"/>
        <v>0</v>
      </c>
      <c r="AE15" s="4">
        <f t="shared" si="11"/>
        <v>0.10556186152099893</v>
      </c>
    </row>
    <row r="16" spans="1:31">
      <c r="A16" s="11">
        <v>46100</v>
      </c>
      <c r="B16" s="9" t="s">
        <v>225</v>
      </c>
      <c r="C16" s="7">
        <v>-0.26</v>
      </c>
      <c r="D16" s="9" t="s">
        <v>181</v>
      </c>
      <c r="E16" s="7">
        <v>6</v>
      </c>
      <c r="F16" s="5">
        <v>1</v>
      </c>
      <c r="G16" s="6">
        <v>0.58540000000000003</v>
      </c>
      <c r="H16" s="5">
        <f t="shared" si="0"/>
        <v>1</v>
      </c>
      <c r="I16" s="10">
        <v>1</v>
      </c>
      <c r="J16" s="5">
        <v>5</v>
      </c>
      <c r="K16" s="6">
        <f t="shared" si="1"/>
        <v>2.5</v>
      </c>
      <c r="L16" s="9" t="s">
        <v>84</v>
      </c>
      <c r="M16" s="7">
        <v>6.26</v>
      </c>
      <c r="N16" s="5">
        <v>0</v>
      </c>
      <c r="O16" s="6">
        <v>0.44440000000000002</v>
      </c>
      <c r="P16" s="5">
        <f t="shared" si="2"/>
        <v>1</v>
      </c>
      <c r="Q16" s="10">
        <v>8</v>
      </c>
      <c r="R16" s="5">
        <v>3</v>
      </c>
      <c r="S16" s="6">
        <f t="shared" si="3"/>
        <v>0.33333333333333331</v>
      </c>
      <c r="T16" s="9" t="s">
        <v>71</v>
      </c>
      <c r="U16" s="5">
        <v>7</v>
      </c>
      <c r="V16" s="5">
        <v>13</v>
      </c>
      <c r="W16" s="8">
        <f t="shared" si="4"/>
        <v>0.35</v>
      </c>
      <c r="X16" s="6">
        <f t="shared" si="5"/>
        <v>0.14100000000000001</v>
      </c>
      <c r="Y16" s="5">
        <f t="shared" si="6"/>
        <v>0</v>
      </c>
      <c r="Z16" s="5">
        <v>0</v>
      </c>
      <c r="AA16" s="7">
        <f t="shared" si="7"/>
        <v>-0.25999999999999979</v>
      </c>
      <c r="AB16" s="5">
        <f t="shared" si="8"/>
        <v>1</v>
      </c>
      <c r="AC16" s="6">
        <f t="shared" si="9"/>
        <v>2.1666666666666665</v>
      </c>
      <c r="AD16" s="5">
        <f t="shared" si="10"/>
        <v>0</v>
      </c>
      <c r="AE16" s="4">
        <f t="shared" si="11"/>
        <v>4.1533546325878565E-2</v>
      </c>
    </row>
    <row r="17" spans="1:31">
      <c r="A17" s="11">
        <v>46100</v>
      </c>
      <c r="B17" s="9" t="s">
        <v>225</v>
      </c>
      <c r="C17" s="7">
        <v>-0.73</v>
      </c>
      <c r="D17" s="9" t="s">
        <v>65</v>
      </c>
      <c r="E17" s="7">
        <v>6.59</v>
      </c>
      <c r="F17" s="5">
        <v>0</v>
      </c>
      <c r="G17" s="6">
        <v>0.57140000000000002</v>
      </c>
      <c r="H17" s="5">
        <f t="shared" si="0"/>
        <v>1</v>
      </c>
      <c r="I17" s="10">
        <v>6</v>
      </c>
      <c r="J17" s="5">
        <v>2</v>
      </c>
      <c r="K17" s="6">
        <f t="shared" si="1"/>
        <v>0.2857142857142857</v>
      </c>
      <c r="L17" s="9" t="s">
        <v>46</v>
      </c>
      <c r="M17" s="7">
        <v>7.32</v>
      </c>
      <c r="N17" s="5">
        <v>1</v>
      </c>
      <c r="O17" s="6">
        <v>0.61699999999999999</v>
      </c>
      <c r="P17" s="5">
        <f t="shared" si="2"/>
        <v>2</v>
      </c>
      <c r="Q17" s="10">
        <v>1</v>
      </c>
      <c r="R17" s="5">
        <v>7</v>
      </c>
      <c r="S17" s="6">
        <f t="shared" si="3"/>
        <v>3.5</v>
      </c>
      <c r="T17" s="9" t="s">
        <v>226</v>
      </c>
      <c r="U17" s="5">
        <v>12</v>
      </c>
      <c r="V17" s="5">
        <v>5</v>
      </c>
      <c r="W17" s="8">
        <f t="shared" si="4"/>
        <v>0.70588235294117652</v>
      </c>
      <c r="X17" s="6">
        <f t="shared" si="5"/>
        <v>-4.5599999999999974E-2</v>
      </c>
      <c r="Y17" s="5">
        <f t="shared" si="6"/>
        <v>-1</v>
      </c>
      <c r="Z17" s="5">
        <v>1</v>
      </c>
      <c r="AA17" s="7">
        <f t="shared" si="7"/>
        <v>-0.73000000000000043</v>
      </c>
      <c r="AB17" s="5">
        <f t="shared" si="8"/>
        <v>-1</v>
      </c>
      <c r="AC17" s="6">
        <f t="shared" si="9"/>
        <v>-3.2142857142857144</v>
      </c>
      <c r="AD17" s="5">
        <f t="shared" si="10"/>
        <v>-1</v>
      </c>
      <c r="AE17" s="4">
        <f t="shared" si="11"/>
        <v>9.9726775956284208E-2</v>
      </c>
    </row>
    <row r="18" spans="1:31">
      <c r="A18" s="11">
        <v>46100</v>
      </c>
      <c r="B18" s="9" t="s">
        <v>225</v>
      </c>
      <c r="C18" s="7">
        <v>-0.15</v>
      </c>
      <c r="D18" s="9" t="s">
        <v>131</v>
      </c>
      <c r="E18" s="7">
        <v>5.8</v>
      </c>
      <c r="F18" s="5">
        <v>3</v>
      </c>
      <c r="G18" s="6">
        <v>0.62119999999999997</v>
      </c>
      <c r="H18" s="5">
        <f t="shared" si="0"/>
        <v>2</v>
      </c>
      <c r="I18" s="10">
        <v>1</v>
      </c>
      <c r="J18" s="5">
        <v>3</v>
      </c>
      <c r="K18" s="6">
        <f t="shared" si="1"/>
        <v>1.5</v>
      </c>
      <c r="L18" s="9" t="s">
        <v>206</v>
      </c>
      <c r="M18" s="7">
        <v>5.95</v>
      </c>
      <c r="N18" s="5">
        <v>1</v>
      </c>
      <c r="O18" s="6">
        <v>0.57410000000000005</v>
      </c>
      <c r="P18" s="5">
        <f t="shared" si="2"/>
        <v>1</v>
      </c>
      <c r="Q18" s="10">
        <v>1</v>
      </c>
      <c r="R18" s="5">
        <v>6</v>
      </c>
      <c r="S18" s="6">
        <f t="shared" si="3"/>
        <v>3</v>
      </c>
      <c r="T18" s="9" t="s">
        <v>194</v>
      </c>
      <c r="U18" s="5">
        <v>12</v>
      </c>
      <c r="V18" s="5">
        <v>3</v>
      </c>
      <c r="W18" s="8">
        <f t="shared" si="4"/>
        <v>0.8</v>
      </c>
      <c r="X18" s="6">
        <f t="shared" si="5"/>
        <v>4.709999999999992E-2</v>
      </c>
      <c r="Y18" s="5">
        <f t="shared" si="6"/>
        <v>1</v>
      </c>
      <c r="Z18" s="5">
        <v>1</v>
      </c>
      <c r="AA18" s="7">
        <f t="shared" si="7"/>
        <v>-0.15000000000000036</v>
      </c>
      <c r="AB18" s="5">
        <f t="shared" si="8"/>
        <v>2</v>
      </c>
      <c r="AC18" s="6">
        <f t="shared" si="9"/>
        <v>-1.5</v>
      </c>
      <c r="AD18" s="5">
        <f t="shared" si="10"/>
        <v>1</v>
      </c>
      <c r="AE18" s="4">
        <f t="shared" si="11"/>
        <v>2.5210084033613505E-2</v>
      </c>
    </row>
    <row r="19" spans="1:31">
      <c r="A19" s="11">
        <v>46101</v>
      </c>
      <c r="B19" s="9" t="s">
        <v>223</v>
      </c>
      <c r="C19" s="7">
        <v>-0.69</v>
      </c>
      <c r="D19" s="9" t="s">
        <v>57</v>
      </c>
      <c r="E19" s="7">
        <v>4.54</v>
      </c>
      <c r="F19" s="5">
        <v>1</v>
      </c>
      <c r="G19" s="6">
        <v>0.8</v>
      </c>
      <c r="H19" s="5">
        <f t="shared" si="0"/>
        <v>2</v>
      </c>
      <c r="I19" s="10">
        <v>9</v>
      </c>
      <c r="J19" s="5">
        <v>1</v>
      </c>
      <c r="K19" s="6">
        <f t="shared" si="1"/>
        <v>0.1</v>
      </c>
      <c r="L19" s="9" t="s">
        <v>170</v>
      </c>
      <c r="M19" s="7">
        <v>5.23</v>
      </c>
      <c r="N19" s="5">
        <v>0</v>
      </c>
      <c r="O19" s="6">
        <v>0.56899999999999995</v>
      </c>
      <c r="P19" s="5">
        <f t="shared" si="2"/>
        <v>1</v>
      </c>
      <c r="Q19" s="10">
        <v>2</v>
      </c>
      <c r="R19" s="5">
        <v>3</v>
      </c>
      <c r="S19" s="6">
        <f t="shared" si="3"/>
        <v>1</v>
      </c>
      <c r="T19" s="9" t="s">
        <v>224</v>
      </c>
      <c r="U19" s="5">
        <v>8</v>
      </c>
      <c r="V19" s="5">
        <v>16</v>
      </c>
      <c r="W19" s="8">
        <f t="shared" si="4"/>
        <v>0.33333333333333331</v>
      </c>
      <c r="X19" s="6">
        <f t="shared" si="5"/>
        <v>0.23100000000000009</v>
      </c>
      <c r="Y19" s="5">
        <f t="shared" si="6"/>
        <v>1</v>
      </c>
      <c r="Z19" s="5">
        <v>0</v>
      </c>
      <c r="AA19" s="7">
        <f t="shared" si="7"/>
        <v>-0.69000000000000039</v>
      </c>
      <c r="AB19" s="5">
        <f t="shared" si="8"/>
        <v>1</v>
      </c>
      <c r="AC19" s="6">
        <f t="shared" si="9"/>
        <v>-0.9</v>
      </c>
      <c r="AD19" s="5">
        <f t="shared" si="10"/>
        <v>1</v>
      </c>
      <c r="AE19" s="4">
        <f t="shared" si="11"/>
        <v>0.13193116634799243</v>
      </c>
    </row>
    <row r="20" spans="1:31">
      <c r="A20" s="11">
        <v>46101</v>
      </c>
      <c r="B20" s="9" t="s">
        <v>223</v>
      </c>
      <c r="C20" s="7">
        <v>-0.2</v>
      </c>
      <c r="D20" s="9" t="s">
        <v>34</v>
      </c>
      <c r="E20" s="7">
        <v>4.83</v>
      </c>
      <c r="F20" s="5">
        <v>3</v>
      </c>
      <c r="G20" s="6">
        <v>0.92310000000000003</v>
      </c>
      <c r="H20" s="5">
        <f t="shared" si="0"/>
        <v>2</v>
      </c>
      <c r="I20" s="10">
        <v>2</v>
      </c>
      <c r="J20" s="5">
        <v>3</v>
      </c>
      <c r="K20" s="6">
        <f t="shared" si="1"/>
        <v>1</v>
      </c>
      <c r="L20" s="9" t="s">
        <v>115</v>
      </c>
      <c r="M20" s="7">
        <v>5.03</v>
      </c>
      <c r="N20" s="5">
        <v>0</v>
      </c>
      <c r="O20" s="6">
        <v>0.48330000000000001</v>
      </c>
      <c r="P20" s="5">
        <f t="shared" si="2"/>
        <v>1</v>
      </c>
      <c r="Q20" s="10">
        <v>2</v>
      </c>
      <c r="R20" s="5">
        <v>4</v>
      </c>
      <c r="S20" s="6">
        <f t="shared" si="3"/>
        <v>1.3333333333333333</v>
      </c>
      <c r="T20" s="9" t="s">
        <v>222</v>
      </c>
      <c r="U20" s="5">
        <v>12</v>
      </c>
      <c r="V20" s="5">
        <v>12</v>
      </c>
      <c r="W20" s="8">
        <f t="shared" si="4"/>
        <v>0.5</v>
      </c>
      <c r="X20" s="6">
        <f t="shared" si="5"/>
        <v>0.43980000000000002</v>
      </c>
      <c r="Y20" s="5">
        <f t="shared" si="6"/>
        <v>1</v>
      </c>
      <c r="Z20" s="5">
        <v>1</v>
      </c>
      <c r="AA20" s="7">
        <f t="shared" si="7"/>
        <v>-0.20000000000000018</v>
      </c>
      <c r="AB20" s="5">
        <f t="shared" si="8"/>
        <v>3</v>
      </c>
      <c r="AC20" s="6">
        <f t="shared" si="9"/>
        <v>-0.33333333333333326</v>
      </c>
      <c r="AD20" s="5">
        <f t="shared" si="10"/>
        <v>1</v>
      </c>
      <c r="AE20" s="4">
        <f t="shared" si="11"/>
        <v>3.9761431411530851E-2</v>
      </c>
    </row>
    <row r="21" spans="1:31">
      <c r="A21" s="11">
        <v>46105</v>
      </c>
      <c r="B21" s="9" t="s">
        <v>213</v>
      </c>
      <c r="C21" s="7">
        <v>-0.77</v>
      </c>
      <c r="D21" s="9" t="s">
        <v>54</v>
      </c>
      <c r="E21" s="7">
        <v>4.54</v>
      </c>
      <c r="F21" s="5">
        <v>1</v>
      </c>
      <c r="G21" s="6">
        <v>0.37209999999999999</v>
      </c>
      <c r="H21" s="5">
        <f t="shared" si="0"/>
        <v>0</v>
      </c>
      <c r="I21" s="10">
        <v>6</v>
      </c>
      <c r="J21" s="5">
        <v>2</v>
      </c>
      <c r="K21" s="6">
        <f t="shared" si="1"/>
        <v>0.2857142857142857</v>
      </c>
      <c r="L21" s="9" t="s">
        <v>91</v>
      </c>
      <c r="M21" s="7">
        <v>5.31</v>
      </c>
      <c r="N21" s="5">
        <v>0</v>
      </c>
      <c r="O21" s="6">
        <v>0.38329999999999997</v>
      </c>
      <c r="P21" s="5">
        <f t="shared" si="2"/>
        <v>0</v>
      </c>
      <c r="Q21" s="10">
        <v>6</v>
      </c>
      <c r="R21" s="5">
        <v>2</v>
      </c>
      <c r="S21" s="6">
        <f t="shared" si="3"/>
        <v>0.2857142857142857</v>
      </c>
      <c r="T21" s="9" t="s">
        <v>221</v>
      </c>
      <c r="U21" s="5">
        <v>4</v>
      </c>
      <c r="V21" s="5">
        <v>12</v>
      </c>
      <c r="W21" s="8">
        <f t="shared" si="4"/>
        <v>0.25</v>
      </c>
      <c r="X21" s="6">
        <f t="shared" si="5"/>
        <v>-1.1199999999999988E-2</v>
      </c>
      <c r="Y21" s="5">
        <f t="shared" si="6"/>
        <v>0</v>
      </c>
      <c r="Z21" s="5">
        <v>0</v>
      </c>
      <c r="AA21" s="7">
        <f t="shared" si="7"/>
        <v>-0.76999999999999957</v>
      </c>
      <c r="AB21" s="5">
        <f t="shared" si="8"/>
        <v>1</v>
      </c>
      <c r="AC21" s="6">
        <f t="shared" si="9"/>
        <v>0</v>
      </c>
      <c r="AD21" s="5">
        <f t="shared" si="10"/>
        <v>0</v>
      </c>
      <c r="AE21" s="4">
        <f t="shared" si="11"/>
        <v>0.14500941619585681</v>
      </c>
    </row>
    <row r="22" spans="1:31">
      <c r="A22" s="11">
        <v>46105</v>
      </c>
      <c r="B22" s="9" t="s">
        <v>220</v>
      </c>
      <c r="C22" s="7">
        <v>-0.8</v>
      </c>
      <c r="D22" s="9" t="s">
        <v>115</v>
      </c>
      <c r="E22" s="7">
        <v>5.32</v>
      </c>
      <c r="F22" s="5">
        <v>0</v>
      </c>
      <c r="G22" s="6">
        <v>0.42030000000000001</v>
      </c>
      <c r="H22" s="5">
        <f t="shared" si="0"/>
        <v>1</v>
      </c>
      <c r="I22" s="10">
        <v>4</v>
      </c>
      <c r="J22" s="5">
        <v>5</v>
      </c>
      <c r="K22" s="6">
        <f t="shared" si="1"/>
        <v>1</v>
      </c>
      <c r="L22" s="9" t="s">
        <v>165</v>
      </c>
      <c r="M22" s="7">
        <v>6.12</v>
      </c>
      <c r="N22" s="5">
        <v>0</v>
      </c>
      <c r="O22" s="6">
        <v>0.51719999999999999</v>
      </c>
      <c r="P22" s="5">
        <f t="shared" si="2"/>
        <v>1</v>
      </c>
      <c r="Q22" s="10">
        <v>4</v>
      </c>
      <c r="R22" s="5">
        <v>3</v>
      </c>
      <c r="S22" s="6">
        <f t="shared" si="3"/>
        <v>0.6</v>
      </c>
      <c r="T22" s="9" t="s">
        <v>219</v>
      </c>
      <c r="U22" s="5">
        <v>3</v>
      </c>
      <c r="V22" s="5">
        <v>12</v>
      </c>
      <c r="W22" s="8">
        <f t="shared" si="4"/>
        <v>0.2</v>
      </c>
      <c r="X22" s="6">
        <f t="shared" si="5"/>
        <v>-9.6899999999999986E-2</v>
      </c>
      <c r="Y22" s="5">
        <f t="shared" si="6"/>
        <v>0</v>
      </c>
      <c r="Z22" s="5">
        <v>0</v>
      </c>
      <c r="AA22" s="7">
        <f t="shared" si="7"/>
        <v>-0.79999999999999982</v>
      </c>
      <c r="AB22" s="5">
        <f t="shared" si="8"/>
        <v>0</v>
      </c>
      <c r="AC22" s="6">
        <f t="shared" si="9"/>
        <v>0.4</v>
      </c>
      <c r="AD22" s="5">
        <f t="shared" si="10"/>
        <v>0</v>
      </c>
      <c r="AE22" s="4">
        <f t="shared" si="11"/>
        <v>0.13071895424836599</v>
      </c>
    </row>
    <row r="23" spans="1:31">
      <c r="A23" s="11">
        <v>46105</v>
      </c>
      <c r="B23" s="9" t="s">
        <v>215</v>
      </c>
      <c r="C23" s="7">
        <v>-0.12</v>
      </c>
      <c r="D23" s="9" t="s">
        <v>120</v>
      </c>
      <c r="E23" s="7">
        <v>6.99</v>
      </c>
      <c r="F23" s="5">
        <v>1</v>
      </c>
      <c r="G23" s="6">
        <v>0.66669999999999996</v>
      </c>
      <c r="H23" s="5">
        <f t="shared" si="0"/>
        <v>2</v>
      </c>
      <c r="I23" s="10">
        <v>14</v>
      </c>
      <c r="J23" s="5">
        <v>1</v>
      </c>
      <c r="K23" s="6">
        <f t="shared" si="1"/>
        <v>6.6666666666666666E-2</v>
      </c>
      <c r="L23" s="9" t="s">
        <v>103</v>
      </c>
      <c r="M23" s="7">
        <v>7.11</v>
      </c>
      <c r="N23" s="5">
        <v>2</v>
      </c>
      <c r="O23" s="6">
        <v>0.66039999999999999</v>
      </c>
      <c r="P23" s="5">
        <f t="shared" si="2"/>
        <v>2</v>
      </c>
      <c r="Q23" s="10">
        <v>4</v>
      </c>
      <c r="R23" s="5">
        <v>1</v>
      </c>
      <c r="S23" s="6">
        <f t="shared" si="3"/>
        <v>0.2</v>
      </c>
      <c r="T23" s="9" t="s">
        <v>218</v>
      </c>
      <c r="U23" s="5">
        <v>4</v>
      </c>
      <c r="V23" s="5">
        <v>12</v>
      </c>
      <c r="W23" s="8">
        <f t="shared" si="4"/>
        <v>0.25</v>
      </c>
      <c r="X23" s="6">
        <f t="shared" si="5"/>
        <v>6.2999999999999723E-3</v>
      </c>
      <c r="Y23" s="5">
        <f t="shared" si="6"/>
        <v>0</v>
      </c>
      <c r="Z23" s="5">
        <v>0</v>
      </c>
      <c r="AA23" s="7">
        <f t="shared" si="7"/>
        <v>-0.12000000000000011</v>
      </c>
      <c r="AB23" s="5">
        <f t="shared" si="8"/>
        <v>-1</v>
      </c>
      <c r="AC23" s="6">
        <f t="shared" si="9"/>
        <v>-0.13333333333333336</v>
      </c>
      <c r="AD23" s="5">
        <f t="shared" si="10"/>
        <v>0</v>
      </c>
      <c r="AE23" s="4">
        <f t="shared" si="11"/>
        <v>1.6877637130801704E-2</v>
      </c>
    </row>
    <row r="24" spans="1:31">
      <c r="A24" s="11">
        <v>46105</v>
      </c>
      <c r="B24" s="9" t="s">
        <v>217</v>
      </c>
      <c r="C24" s="7">
        <v>-0.88</v>
      </c>
      <c r="D24" s="9" t="s">
        <v>107</v>
      </c>
      <c r="E24" s="7">
        <v>5.7</v>
      </c>
      <c r="F24" s="5">
        <v>1</v>
      </c>
      <c r="G24" s="6">
        <v>0.61699999999999999</v>
      </c>
      <c r="H24" s="5">
        <f t="shared" si="0"/>
        <v>2</v>
      </c>
      <c r="I24" s="10">
        <v>14</v>
      </c>
      <c r="J24" s="5">
        <v>0</v>
      </c>
      <c r="K24" s="6">
        <f t="shared" si="1"/>
        <v>0</v>
      </c>
      <c r="L24" s="9" t="s">
        <v>65</v>
      </c>
      <c r="M24" s="7">
        <v>6.58</v>
      </c>
      <c r="N24" s="5">
        <v>1</v>
      </c>
      <c r="O24" s="6">
        <v>0.64410000000000001</v>
      </c>
      <c r="P24" s="5">
        <f t="shared" si="2"/>
        <v>2</v>
      </c>
      <c r="Q24" s="10">
        <v>5</v>
      </c>
      <c r="R24" s="5">
        <v>2</v>
      </c>
      <c r="S24" s="6">
        <f t="shared" si="3"/>
        <v>0.33333333333333331</v>
      </c>
      <c r="T24" s="9" t="s">
        <v>216</v>
      </c>
      <c r="U24" s="5">
        <v>9</v>
      </c>
      <c r="V24" s="5">
        <v>16</v>
      </c>
      <c r="W24" s="8">
        <f t="shared" si="4"/>
        <v>0.36</v>
      </c>
      <c r="X24" s="6">
        <f t="shared" si="5"/>
        <v>-2.7100000000000013E-2</v>
      </c>
      <c r="Y24" s="5">
        <f t="shared" si="6"/>
        <v>0</v>
      </c>
      <c r="Z24" s="5">
        <v>0</v>
      </c>
      <c r="AA24" s="7">
        <f t="shared" si="7"/>
        <v>-0.87999999999999989</v>
      </c>
      <c r="AB24" s="5">
        <f t="shared" si="8"/>
        <v>0</v>
      </c>
      <c r="AC24" s="6">
        <f t="shared" si="9"/>
        <v>-0.33333333333333331</v>
      </c>
      <c r="AD24" s="5">
        <f t="shared" si="10"/>
        <v>0</v>
      </c>
      <c r="AE24" s="4">
        <f t="shared" si="11"/>
        <v>0.1337386018237082</v>
      </c>
    </row>
    <row r="25" spans="1:31">
      <c r="A25" s="11">
        <v>46105</v>
      </c>
      <c r="B25" s="9" t="s">
        <v>215</v>
      </c>
      <c r="C25" s="7">
        <v>-0.14000000000000001</v>
      </c>
      <c r="D25" s="9" t="s">
        <v>26</v>
      </c>
      <c r="E25" s="7">
        <v>6.79</v>
      </c>
      <c r="F25" s="5">
        <v>1</v>
      </c>
      <c r="G25" s="6">
        <v>0.85709999999999997</v>
      </c>
      <c r="H25" s="5">
        <f t="shared" si="0"/>
        <v>2</v>
      </c>
      <c r="I25" s="10">
        <v>4</v>
      </c>
      <c r="J25" s="5">
        <v>1</v>
      </c>
      <c r="K25" s="6">
        <f t="shared" si="1"/>
        <v>0.2</v>
      </c>
      <c r="L25" s="9" t="s">
        <v>129</v>
      </c>
      <c r="M25" s="7">
        <v>6.93</v>
      </c>
      <c r="N25" s="5">
        <v>1</v>
      </c>
      <c r="O25" s="6">
        <v>1</v>
      </c>
      <c r="P25" s="5">
        <f t="shared" si="2"/>
        <v>2</v>
      </c>
      <c r="Q25" s="10">
        <v>14</v>
      </c>
      <c r="R25" s="5">
        <v>1</v>
      </c>
      <c r="S25" s="6">
        <f t="shared" si="3"/>
        <v>6.6666666666666666E-2</v>
      </c>
      <c r="T25" s="9" t="s">
        <v>214</v>
      </c>
      <c r="U25" s="5">
        <v>14</v>
      </c>
      <c r="V25" s="5">
        <v>10</v>
      </c>
      <c r="W25" s="8">
        <f t="shared" si="4"/>
        <v>0.58333333333333337</v>
      </c>
      <c r="X25" s="6">
        <f t="shared" si="5"/>
        <v>-0.14290000000000003</v>
      </c>
      <c r="Y25" s="5">
        <f t="shared" si="6"/>
        <v>0</v>
      </c>
      <c r="Z25" s="5">
        <v>1</v>
      </c>
      <c r="AA25" s="7">
        <f t="shared" si="7"/>
        <v>-0.13999999999999968</v>
      </c>
      <c r="AB25" s="5">
        <f t="shared" si="8"/>
        <v>0</v>
      </c>
      <c r="AC25" s="6">
        <f t="shared" si="9"/>
        <v>0.13333333333333336</v>
      </c>
      <c r="AD25" s="5">
        <f t="shared" si="10"/>
        <v>0</v>
      </c>
      <c r="AE25" s="4">
        <f t="shared" si="11"/>
        <v>2.0202020202020155E-2</v>
      </c>
    </row>
    <row r="26" spans="1:31">
      <c r="A26" s="11">
        <v>46105</v>
      </c>
      <c r="B26" s="9" t="s">
        <v>213</v>
      </c>
      <c r="C26" s="7">
        <v>-0.55000000000000004</v>
      </c>
      <c r="D26" s="9" t="s">
        <v>90</v>
      </c>
      <c r="E26" s="7">
        <v>5.82</v>
      </c>
      <c r="F26" s="5">
        <v>1</v>
      </c>
      <c r="G26" s="6">
        <v>0.85709999999999997</v>
      </c>
      <c r="H26" s="5">
        <f t="shared" si="0"/>
        <v>2</v>
      </c>
      <c r="I26" s="10">
        <v>6</v>
      </c>
      <c r="J26" s="5">
        <v>1</v>
      </c>
      <c r="K26" s="6">
        <f t="shared" si="1"/>
        <v>0.14285714285714285</v>
      </c>
      <c r="L26" s="9" t="s">
        <v>121</v>
      </c>
      <c r="M26" s="7">
        <v>6.37</v>
      </c>
      <c r="N26" s="5">
        <v>0</v>
      </c>
      <c r="O26" s="6">
        <v>0.39019999999999999</v>
      </c>
      <c r="P26" s="5">
        <f t="shared" si="2"/>
        <v>0</v>
      </c>
      <c r="Q26" s="10">
        <v>6</v>
      </c>
      <c r="R26" s="5">
        <v>2</v>
      </c>
      <c r="S26" s="6">
        <f t="shared" si="3"/>
        <v>0.2857142857142857</v>
      </c>
      <c r="T26" s="9" t="s">
        <v>212</v>
      </c>
      <c r="U26" s="5">
        <v>17</v>
      </c>
      <c r="V26" s="5">
        <v>12</v>
      </c>
      <c r="W26" s="8">
        <f t="shared" si="4"/>
        <v>0.58620689655172409</v>
      </c>
      <c r="X26" s="6">
        <f t="shared" si="5"/>
        <v>0.46689999999999998</v>
      </c>
      <c r="Y26" s="5">
        <f t="shared" si="6"/>
        <v>2</v>
      </c>
      <c r="Z26" s="5">
        <v>1</v>
      </c>
      <c r="AA26" s="7">
        <f t="shared" si="7"/>
        <v>-0.54999999999999982</v>
      </c>
      <c r="AB26" s="5">
        <f t="shared" si="8"/>
        <v>1</v>
      </c>
      <c r="AC26" s="6">
        <f t="shared" si="9"/>
        <v>-0.14285714285714285</v>
      </c>
      <c r="AD26" s="5">
        <f t="shared" si="10"/>
        <v>1</v>
      </c>
      <c r="AE26" s="4">
        <f t="shared" si="11"/>
        <v>8.6342229199372025E-2</v>
      </c>
    </row>
    <row r="27" spans="1:31">
      <c r="A27" s="11">
        <v>46106</v>
      </c>
      <c r="B27" s="9" t="s">
        <v>211</v>
      </c>
      <c r="C27" s="7">
        <v>-0.14000000000000001</v>
      </c>
      <c r="D27" s="9" t="s">
        <v>110</v>
      </c>
      <c r="E27" s="7">
        <v>6.85</v>
      </c>
      <c r="F27" s="5">
        <v>4</v>
      </c>
      <c r="G27" s="6">
        <v>0.72550000000000003</v>
      </c>
      <c r="H27" s="5">
        <f t="shared" si="0"/>
        <v>2</v>
      </c>
      <c r="I27" s="10">
        <v>8</v>
      </c>
      <c r="J27" s="5">
        <v>2</v>
      </c>
      <c r="K27" s="6">
        <f t="shared" si="1"/>
        <v>0.22222222222222221</v>
      </c>
      <c r="L27" s="9" t="s">
        <v>120</v>
      </c>
      <c r="M27" s="7">
        <v>6.99</v>
      </c>
      <c r="N27" s="5">
        <v>0</v>
      </c>
      <c r="O27" s="6">
        <v>0.52170000000000005</v>
      </c>
      <c r="P27" s="5">
        <f t="shared" si="2"/>
        <v>1</v>
      </c>
      <c r="Q27" s="10">
        <v>1</v>
      </c>
      <c r="R27" s="5">
        <v>1</v>
      </c>
      <c r="S27" s="6">
        <f t="shared" si="3"/>
        <v>0.5</v>
      </c>
      <c r="T27" s="9" t="s">
        <v>210</v>
      </c>
      <c r="U27" s="5">
        <v>13</v>
      </c>
      <c r="V27" s="5">
        <v>8</v>
      </c>
      <c r="W27" s="8">
        <f t="shared" si="4"/>
        <v>0.61904761904761907</v>
      </c>
      <c r="X27" s="6">
        <f t="shared" si="5"/>
        <v>0.20379999999999998</v>
      </c>
      <c r="Y27" s="5">
        <f t="shared" si="6"/>
        <v>1</v>
      </c>
      <c r="Z27" s="5">
        <v>1</v>
      </c>
      <c r="AA27" s="7">
        <f t="shared" si="7"/>
        <v>-0.14000000000000057</v>
      </c>
      <c r="AB27" s="5">
        <f t="shared" si="8"/>
        <v>4</v>
      </c>
      <c r="AC27" s="6">
        <f t="shared" si="9"/>
        <v>-0.27777777777777779</v>
      </c>
      <c r="AD27" s="5">
        <f t="shared" si="10"/>
        <v>1</v>
      </c>
      <c r="AE27" s="4">
        <f t="shared" si="11"/>
        <v>2.0028612303290495E-2</v>
      </c>
    </row>
    <row r="28" spans="1:31">
      <c r="A28" s="11">
        <v>46106</v>
      </c>
      <c r="B28" s="9" t="s">
        <v>207</v>
      </c>
      <c r="C28" s="7">
        <v>-0.49</v>
      </c>
      <c r="D28" s="9" t="s">
        <v>181</v>
      </c>
      <c r="E28" s="7">
        <v>6.09</v>
      </c>
      <c r="F28" s="5">
        <v>0</v>
      </c>
      <c r="G28" s="6">
        <v>0.44440000000000002</v>
      </c>
      <c r="H28" s="5">
        <f t="shared" si="0"/>
        <v>1</v>
      </c>
      <c r="I28" s="10">
        <v>1</v>
      </c>
      <c r="J28" s="5">
        <v>5</v>
      </c>
      <c r="K28" s="6">
        <f t="shared" si="1"/>
        <v>2.5</v>
      </c>
      <c r="L28" s="9" t="s">
        <v>128</v>
      </c>
      <c r="M28" s="7">
        <v>6.58</v>
      </c>
      <c r="N28" s="5">
        <v>1</v>
      </c>
      <c r="O28" s="6">
        <v>0.43180000000000002</v>
      </c>
      <c r="P28" s="5">
        <f t="shared" si="2"/>
        <v>1</v>
      </c>
      <c r="Q28" s="10">
        <v>1</v>
      </c>
      <c r="R28" s="5">
        <v>3</v>
      </c>
      <c r="S28" s="6">
        <f t="shared" si="3"/>
        <v>1.5</v>
      </c>
      <c r="T28" s="9" t="s">
        <v>22</v>
      </c>
      <c r="U28" s="5">
        <v>2</v>
      </c>
      <c r="V28" s="5">
        <v>12</v>
      </c>
      <c r="W28" s="8">
        <f t="shared" si="4"/>
        <v>0.14285714285714285</v>
      </c>
      <c r="X28" s="6">
        <f t="shared" si="5"/>
        <v>1.26E-2</v>
      </c>
      <c r="Y28" s="5">
        <f t="shared" si="6"/>
        <v>0</v>
      </c>
      <c r="Z28" s="5">
        <v>0</v>
      </c>
      <c r="AA28" s="7">
        <f t="shared" si="7"/>
        <v>-0.49000000000000021</v>
      </c>
      <c r="AB28" s="5">
        <f t="shared" si="8"/>
        <v>-1</v>
      </c>
      <c r="AC28" s="6">
        <f t="shared" si="9"/>
        <v>1</v>
      </c>
      <c r="AD28" s="5">
        <f t="shared" si="10"/>
        <v>0</v>
      </c>
      <c r="AE28" s="4">
        <f t="shared" si="11"/>
        <v>7.4468085106383017E-2</v>
      </c>
    </row>
    <row r="29" spans="1:31">
      <c r="A29" s="11">
        <v>46106</v>
      </c>
      <c r="B29" s="9" t="s">
        <v>209</v>
      </c>
      <c r="C29" s="7">
        <v>-0.14000000000000001</v>
      </c>
      <c r="D29" s="9" t="s">
        <v>65</v>
      </c>
      <c r="E29" s="7">
        <v>6.58</v>
      </c>
      <c r="F29" s="5">
        <v>2</v>
      </c>
      <c r="G29" s="6">
        <v>0.6</v>
      </c>
      <c r="H29" s="5">
        <f t="shared" si="0"/>
        <v>1</v>
      </c>
      <c r="I29" s="10">
        <v>1</v>
      </c>
      <c r="J29" s="5">
        <v>3</v>
      </c>
      <c r="K29" s="6">
        <f t="shared" si="1"/>
        <v>1.5</v>
      </c>
      <c r="L29" s="9" t="s">
        <v>14</v>
      </c>
      <c r="M29" s="7">
        <v>6.72</v>
      </c>
      <c r="N29" s="5">
        <v>4</v>
      </c>
      <c r="O29" s="6">
        <v>0.70589999999999997</v>
      </c>
      <c r="P29" s="5">
        <f t="shared" si="2"/>
        <v>2</v>
      </c>
      <c r="Q29" s="10">
        <v>7</v>
      </c>
      <c r="R29" s="5">
        <v>4</v>
      </c>
      <c r="S29" s="6">
        <f t="shared" si="3"/>
        <v>0.5</v>
      </c>
      <c r="T29" s="9" t="s">
        <v>208</v>
      </c>
      <c r="U29" s="5">
        <v>18</v>
      </c>
      <c r="V29" s="5">
        <v>14</v>
      </c>
      <c r="W29" s="8">
        <f t="shared" si="4"/>
        <v>0.5625</v>
      </c>
      <c r="X29" s="6">
        <f t="shared" si="5"/>
        <v>-0.10589999999999999</v>
      </c>
      <c r="Y29" s="5">
        <f t="shared" si="6"/>
        <v>-1</v>
      </c>
      <c r="Z29" s="5">
        <v>1</v>
      </c>
      <c r="AA29" s="7">
        <f t="shared" si="7"/>
        <v>-0.13999999999999968</v>
      </c>
      <c r="AB29" s="5">
        <f t="shared" si="8"/>
        <v>-2</v>
      </c>
      <c r="AC29" s="6">
        <f t="shared" si="9"/>
        <v>1</v>
      </c>
      <c r="AD29" s="5">
        <f t="shared" si="10"/>
        <v>-1</v>
      </c>
      <c r="AE29" s="4">
        <f t="shared" si="11"/>
        <v>2.0833333333333287E-2</v>
      </c>
    </row>
    <row r="30" spans="1:31">
      <c r="A30" s="11">
        <v>46106</v>
      </c>
      <c r="B30" s="9" t="s">
        <v>207</v>
      </c>
      <c r="C30" s="7">
        <v>-0.41</v>
      </c>
      <c r="D30" s="9" t="s">
        <v>206</v>
      </c>
      <c r="E30" s="7">
        <v>5.96</v>
      </c>
      <c r="F30" s="5">
        <v>0</v>
      </c>
      <c r="G30" s="6">
        <v>0.39019999999999999</v>
      </c>
      <c r="H30" s="5">
        <f t="shared" si="0"/>
        <v>0</v>
      </c>
      <c r="I30" s="10">
        <v>1</v>
      </c>
      <c r="J30" s="5">
        <v>5</v>
      </c>
      <c r="K30" s="6">
        <f t="shared" si="1"/>
        <v>2.5</v>
      </c>
      <c r="L30" s="9" t="s">
        <v>121</v>
      </c>
      <c r="M30" s="7">
        <v>6.37</v>
      </c>
      <c r="N30" s="5">
        <v>0</v>
      </c>
      <c r="O30" s="6">
        <v>0.4</v>
      </c>
      <c r="P30" s="5">
        <f t="shared" si="2"/>
        <v>1</v>
      </c>
      <c r="Q30" s="10">
        <v>1</v>
      </c>
      <c r="R30" s="5">
        <v>3</v>
      </c>
      <c r="S30" s="6">
        <f t="shared" si="3"/>
        <v>1.5</v>
      </c>
      <c r="T30" s="9" t="s">
        <v>205</v>
      </c>
      <c r="U30" s="5">
        <v>15</v>
      </c>
      <c r="V30" s="5">
        <v>16</v>
      </c>
      <c r="W30" s="8">
        <f t="shared" si="4"/>
        <v>0.4838709677419355</v>
      </c>
      <c r="X30" s="6">
        <f t="shared" si="5"/>
        <v>-9.8000000000000309E-3</v>
      </c>
      <c r="Y30" s="5">
        <f t="shared" si="6"/>
        <v>-1</v>
      </c>
      <c r="Z30" s="5">
        <v>0</v>
      </c>
      <c r="AA30" s="7">
        <f t="shared" si="7"/>
        <v>-0.41000000000000014</v>
      </c>
      <c r="AB30" s="5">
        <f t="shared" si="8"/>
        <v>0</v>
      </c>
      <c r="AC30" s="6">
        <f t="shared" si="9"/>
        <v>1</v>
      </c>
      <c r="AD30" s="5">
        <f t="shared" si="10"/>
        <v>-1</v>
      </c>
      <c r="AE30" s="4">
        <f t="shared" si="11"/>
        <v>6.4364207221350098E-2</v>
      </c>
    </row>
    <row r="31" spans="1:31">
      <c r="A31" s="11">
        <v>46106</v>
      </c>
      <c r="B31" s="9" t="s">
        <v>204</v>
      </c>
      <c r="C31" s="7">
        <v>-1</v>
      </c>
      <c r="D31" s="9" t="s">
        <v>203</v>
      </c>
      <c r="E31" s="7">
        <v>4.9800000000000004</v>
      </c>
      <c r="F31" s="5">
        <v>0</v>
      </c>
      <c r="G31" s="6">
        <v>0.35139999999999999</v>
      </c>
      <c r="H31" s="5">
        <f t="shared" si="0"/>
        <v>0</v>
      </c>
      <c r="I31" s="10">
        <v>5</v>
      </c>
      <c r="J31" s="5">
        <v>2</v>
      </c>
      <c r="K31" s="6">
        <f t="shared" si="1"/>
        <v>0.33333333333333331</v>
      </c>
      <c r="L31" s="9" t="s">
        <v>134</v>
      </c>
      <c r="M31" s="7">
        <v>5.98</v>
      </c>
      <c r="N31" s="5">
        <v>1</v>
      </c>
      <c r="O31" s="6">
        <v>0.5625</v>
      </c>
      <c r="P31" s="5">
        <f t="shared" si="2"/>
        <v>1</v>
      </c>
      <c r="Q31" s="10">
        <v>1</v>
      </c>
      <c r="R31" s="5">
        <v>3</v>
      </c>
      <c r="S31" s="6">
        <f t="shared" si="3"/>
        <v>1.5</v>
      </c>
      <c r="T31" s="9" t="s">
        <v>43</v>
      </c>
      <c r="U31" s="5">
        <v>5</v>
      </c>
      <c r="V31" s="5">
        <v>12</v>
      </c>
      <c r="W31" s="8">
        <f t="shared" si="4"/>
        <v>0.29411764705882354</v>
      </c>
      <c r="X31" s="6">
        <f t="shared" si="5"/>
        <v>-0.21110000000000001</v>
      </c>
      <c r="Y31" s="5">
        <f t="shared" si="6"/>
        <v>-1</v>
      </c>
      <c r="Z31" s="5">
        <v>0</v>
      </c>
      <c r="AA31" s="7">
        <f t="shared" si="7"/>
        <v>-1</v>
      </c>
      <c r="AB31" s="5">
        <f t="shared" si="8"/>
        <v>-1</v>
      </c>
      <c r="AC31" s="6">
        <f t="shared" si="9"/>
        <v>-1.1666666666666667</v>
      </c>
      <c r="AD31" s="5">
        <f t="shared" si="10"/>
        <v>-1</v>
      </c>
      <c r="AE31" s="4">
        <f t="shared" si="11"/>
        <v>0.16722408026755853</v>
      </c>
    </row>
    <row r="32" spans="1:31">
      <c r="A32" s="11">
        <v>46107</v>
      </c>
      <c r="B32" s="9" t="s">
        <v>202</v>
      </c>
      <c r="C32" s="7">
        <v>-0.21</v>
      </c>
      <c r="D32" s="9" t="s">
        <v>2</v>
      </c>
      <c r="E32" s="7">
        <v>7.68</v>
      </c>
      <c r="F32" s="5">
        <v>0</v>
      </c>
      <c r="G32" s="6">
        <v>0.6724</v>
      </c>
      <c r="H32" s="5">
        <f t="shared" si="0"/>
        <v>2</v>
      </c>
      <c r="I32" s="10">
        <v>1</v>
      </c>
      <c r="J32" s="5">
        <v>4</v>
      </c>
      <c r="K32" s="6">
        <f t="shared" si="1"/>
        <v>2</v>
      </c>
      <c r="L32" s="9" t="s">
        <v>1</v>
      </c>
      <c r="M32" s="7">
        <v>7.89</v>
      </c>
      <c r="N32" s="5">
        <v>1</v>
      </c>
      <c r="O32" s="6">
        <v>0.66669999999999996</v>
      </c>
      <c r="P32" s="5">
        <f t="shared" si="2"/>
        <v>2</v>
      </c>
      <c r="Q32" s="10">
        <v>1</v>
      </c>
      <c r="R32" s="5">
        <v>5</v>
      </c>
      <c r="S32" s="6">
        <f t="shared" si="3"/>
        <v>2.5</v>
      </c>
      <c r="T32" s="9" t="s">
        <v>201</v>
      </c>
      <c r="U32" s="5">
        <v>9</v>
      </c>
      <c r="V32" s="5">
        <v>13</v>
      </c>
      <c r="W32" s="8">
        <f t="shared" si="4"/>
        <v>0.40909090909090912</v>
      </c>
      <c r="X32" s="6">
        <f t="shared" si="5"/>
        <v>5.7000000000000384E-3</v>
      </c>
      <c r="Y32" s="5">
        <f t="shared" si="6"/>
        <v>0</v>
      </c>
      <c r="Z32" s="5">
        <v>0</v>
      </c>
      <c r="AA32" s="7">
        <f t="shared" si="7"/>
        <v>-0.20999999999999996</v>
      </c>
      <c r="AB32" s="5">
        <f t="shared" si="8"/>
        <v>-1</v>
      </c>
      <c r="AC32" s="6">
        <f t="shared" si="9"/>
        <v>-0.5</v>
      </c>
      <c r="AD32" s="5">
        <f t="shared" si="10"/>
        <v>0</v>
      </c>
      <c r="AE32" s="4">
        <f t="shared" si="11"/>
        <v>2.6615969581749045E-2</v>
      </c>
    </row>
    <row r="33" spans="1:31">
      <c r="A33" s="11">
        <v>46107</v>
      </c>
      <c r="B33" s="9" t="s">
        <v>198</v>
      </c>
      <c r="C33" s="7">
        <v>-0.49</v>
      </c>
      <c r="D33" s="9" t="s">
        <v>120</v>
      </c>
      <c r="E33" s="7">
        <v>6.99</v>
      </c>
      <c r="F33" s="5">
        <v>0</v>
      </c>
      <c r="G33" s="6">
        <v>0.48</v>
      </c>
      <c r="H33" s="5">
        <f t="shared" si="0"/>
        <v>1</v>
      </c>
      <c r="I33" s="10">
        <v>1</v>
      </c>
      <c r="J33" s="5">
        <v>2</v>
      </c>
      <c r="K33" s="6">
        <f t="shared" si="1"/>
        <v>1</v>
      </c>
      <c r="L33" s="9" t="s">
        <v>9</v>
      </c>
      <c r="M33" s="7">
        <v>7.48</v>
      </c>
      <c r="N33" s="5">
        <v>5</v>
      </c>
      <c r="O33" s="6">
        <v>0.85709999999999997</v>
      </c>
      <c r="P33" s="5">
        <f t="shared" si="2"/>
        <v>2</v>
      </c>
      <c r="Q33" s="10">
        <v>1</v>
      </c>
      <c r="R33" s="5">
        <v>5</v>
      </c>
      <c r="S33" s="6">
        <f t="shared" si="3"/>
        <v>2.5</v>
      </c>
      <c r="T33" s="9" t="s">
        <v>189</v>
      </c>
      <c r="U33" s="5">
        <v>1</v>
      </c>
      <c r="V33" s="5">
        <v>12</v>
      </c>
      <c r="W33" s="8">
        <f t="shared" si="4"/>
        <v>7.6923076923076927E-2</v>
      </c>
      <c r="X33" s="6">
        <f t="shared" si="5"/>
        <v>-0.37709999999999999</v>
      </c>
      <c r="Y33" s="5">
        <f t="shared" si="6"/>
        <v>-1</v>
      </c>
      <c r="Z33" s="5">
        <v>0</v>
      </c>
      <c r="AA33" s="7">
        <f t="shared" si="7"/>
        <v>-0.49000000000000021</v>
      </c>
      <c r="AB33" s="5">
        <f t="shared" si="8"/>
        <v>-5</v>
      </c>
      <c r="AC33" s="6">
        <f t="shared" si="9"/>
        <v>-1.5</v>
      </c>
      <c r="AD33" s="5">
        <f t="shared" si="10"/>
        <v>-1</v>
      </c>
      <c r="AE33" s="4">
        <f t="shared" si="11"/>
        <v>6.5508021390374357E-2</v>
      </c>
    </row>
    <row r="34" spans="1:31">
      <c r="A34" s="11">
        <v>46107</v>
      </c>
      <c r="B34" s="9" t="s">
        <v>200</v>
      </c>
      <c r="C34" s="7">
        <v>-0.53</v>
      </c>
      <c r="D34" s="9" t="s">
        <v>26</v>
      </c>
      <c r="E34" s="7">
        <v>6.79</v>
      </c>
      <c r="F34" s="5">
        <v>2</v>
      </c>
      <c r="G34" s="6">
        <v>0.68420000000000003</v>
      </c>
      <c r="H34" s="5">
        <f t="shared" si="0"/>
        <v>2</v>
      </c>
      <c r="I34" s="10">
        <v>2</v>
      </c>
      <c r="J34" s="5">
        <v>2</v>
      </c>
      <c r="K34" s="6">
        <f t="shared" si="1"/>
        <v>0.66666666666666663</v>
      </c>
      <c r="L34" s="9" t="s">
        <v>97</v>
      </c>
      <c r="M34" s="7">
        <v>7.32</v>
      </c>
      <c r="N34" s="5">
        <v>1</v>
      </c>
      <c r="O34" s="6">
        <v>0.72219999999999995</v>
      </c>
      <c r="P34" s="5">
        <f t="shared" si="2"/>
        <v>2</v>
      </c>
      <c r="Q34" s="10">
        <v>14</v>
      </c>
      <c r="R34" s="5">
        <v>0</v>
      </c>
      <c r="S34" s="6">
        <f t="shared" si="3"/>
        <v>0</v>
      </c>
      <c r="T34" s="9" t="s">
        <v>199</v>
      </c>
      <c r="U34" s="5">
        <v>14</v>
      </c>
      <c r="V34" s="5">
        <v>11</v>
      </c>
      <c r="W34" s="8">
        <f t="shared" si="4"/>
        <v>0.56000000000000005</v>
      </c>
      <c r="X34" s="6">
        <f t="shared" si="5"/>
        <v>-3.7999999999999923E-2</v>
      </c>
      <c r="Y34" s="5">
        <f t="shared" si="6"/>
        <v>0</v>
      </c>
      <c r="Z34" s="5">
        <v>1</v>
      </c>
      <c r="AA34" s="7">
        <f t="shared" si="7"/>
        <v>-0.53000000000000025</v>
      </c>
      <c r="AB34" s="5">
        <f t="shared" si="8"/>
        <v>1</v>
      </c>
      <c r="AC34" s="6">
        <f t="shared" si="9"/>
        <v>0.66666666666666663</v>
      </c>
      <c r="AD34" s="5">
        <f t="shared" si="10"/>
        <v>0</v>
      </c>
      <c r="AE34" s="4">
        <f t="shared" si="11"/>
        <v>7.2404371584699478E-2</v>
      </c>
    </row>
    <row r="35" spans="1:31">
      <c r="A35" s="11">
        <v>46107</v>
      </c>
      <c r="B35" s="9" t="s">
        <v>198</v>
      </c>
      <c r="C35" s="7">
        <v>-0.42</v>
      </c>
      <c r="D35" s="9" t="s">
        <v>40</v>
      </c>
      <c r="E35" s="7">
        <v>9.61</v>
      </c>
      <c r="F35" s="5">
        <v>2</v>
      </c>
      <c r="G35" s="6">
        <v>0.78259999999999996</v>
      </c>
      <c r="H35" s="5">
        <f t="shared" ref="H35:H66" si="12">IF(G35&lt;0.4,0,IF(G35&lt;=0.6,1,2))</f>
        <v>2</v>
      </c>
      <c r="I35" s="10">
        <v>1</v>
      </c>
      <c r="J35" s="5">
        <v>9</v>
      </c>
      <c r="K35" s="6">
        <f t="shared" ref="K35:K66" si="13">J35/(1+I35)</f>
        <v>4.5</v>
      </c>
      <c r="L35" s="9" t="s">
        <v>37</v>
      </c>
      <c r="M35" s="7">
        <v>10.029999999999999</v>
      </c>
      <c r="N35" s="5">
        <v>6</v>
      </c>
      <c r="O35" s="6">
        <v>0.75</v>
      </c>
      <c r="P35" s="5">
        <f t="shared" ref="P35:P66" si="14">IF(O35&lt;0.4,0,IF(O35&lt;=0.6,1,2))</f>
        <v>2</v>
      </c>
      <c r="Q35" s="10">
        <v>1</v>
      </c>
      <c r="R35" s="5">
        <v>5</v>
      </c>
      <c r="S35" s="6">
        <f t="shared" ref="S35:S66" si="15">R35/(1+Q35)</f>
        <v>2.5</v>
      </c>
      <c r="T35" s="9" t="s">
        <v>197</v>
      </c>
      <c r="U35" s="5">
        <v>11</v>
      </c>
      <c r="V35" s="5">
        <v>11</v>
      </c>
      <c r="W35" s="8">
        <f t="shared" ref="W35:W66" si="16">U35/(U35+V35)</f>
        <v>0.5</v>
      </c>
      <c r="X35" s="6">
        <f t="shared" ref="X35:X66" si="17">G35-O35</f>
        <v>3.2599999999999962E-2</v>
      </c>
      <c r="Y35" s="5">
        <f t="shared" ref="Y35:Y66" si="18">H35-P35</f>
        <v>0</v>
      </c>
      <c r="Z35" s="5">
        <v>0</v>
      </c>
      <c r="AA35" s="7">
        <f t="shared" ref="AA35:AA66" si="19">E35-M35</f>
        <v>-0.41999999999999993</v>
      </c>
      <c r="AB35" s="5">
        <f t="shared" ref="AB35:AB66" si="20">F35-N35</f>
        <v>-4</v>
      </c>
      <c r="AC35" s="6">
        <f t="shared" ref="AC35:AC66" si="21">K35-S35</f>
        <v>2</v>
      </c>
      <c r="AD35" s="5">
        <f t="shared" ref="AD35:AD66" si="22">SIGN(Y35)</f>
        <v>0</v>
      </c>
      <c r="AE35" s="4">
        <f t="shared" ref="AE35:AE66" si="23">ABS(AA35)/M35</f>
        <v>4.187437686939182E-2</v>
      </c>
    </row>
    <row r="36" spans="1:31">
      <c r="A36" s="11">
        <v>46108</v>
      </c>
      <c r="B36" s="9" t="s">
        <v>190</v>
      </c>
      <c r="C36" s="7">
        <v>-0.21</v>
      </c>
      <c r="D36" s="9" t="s">
        <v>128</v>
      </c>
      <c r="E36" s="7">
        <v>6.58</v>
      </c>
      <c r="F36" s="5">
        <v>2</v>
      </c>
      <c r="G36" s="6">
        <v>0.65910000000000002</v>
      </c>
      <c r="H36" s="5">
        <f t="shared" si="12"/>
        <v>2</v>
      </c>
      <c r="I36" s="10">
        <v>2</v>
      </c>
      <c r="J36" s="5">
        <v>4</v>
      </c>
      <c r="K36" s="6">
        <f t="shared" si="13"/>
        <v>1.3333333333333333</v>
      </c>
      <c r="L36" s="9" t="s">
        <v>26</v>
      </c>
      <c r="M36" s="7">
        <v>6.79</v>
      </c>
      <c r="N36" s="5">
        <v>3</v>
      </c>
      <c r="O36" s="6">
        <v>0.63490000000000002</v>
      </c>
      <c r="P36" s="5">
        <f t="shared" si="14"/>
        <v>2</v>
      </c>
      <c r="Q36" s="10">
        <v>1</v>
      </c>
      <c r="R36" s="5">
        <v>3</v>
      </c>
      <c r="S36" s="6">
        <f t="shared" si="15"/>
        <v>1.5</v>
      </c>
      <c r="T36" s="9" t="s">
        <v>196</v>
      </c>
      <c r="U36" s="5">
        <v>3</v>
      </c>
      <c r="V36" s="5">
        <v>12</v>
      </c>
      <c r="W36" s="8">
        <f t="shared" si="16"/>
        <v>0.2</v>
      </c>
      <c r="X36" s="6">
        <f t="shared" si="17"/>
        <v>2.4199999999999999E-2</v>
      </c>
      <c r="Y36" s="5">
        <f t="shared" si="18"/>
        <v>0</v>
      </c>
      <c r="Z36" s="5">
        <v>0</v>
      </c>
      <c r="AA36" s="7">
        <f t="shared" si="19"/>
        <v>-0.20999999999999996</v>
      </c>
      <c r="AB36" s="5">
        <f t="shared" si="20"/>
        <v>-1</v>
      </c>
      <c r="AC36" s="6">
        <f t="shared" si="21"/>
        <v>-0.16666666666666674</v>
      </c>
      <c r="AD36" s="5">
        <f t="shared" si="22"/>
        <v>0</v>
      </c>
      <c r="AE36" s="4">
        <f t="shared" si="23"/>
        <v>3.0927835051546386E-2</v>
      </c>
    </row>
    <row r="37" spans="1:31">
      <c r="A37" s="11">
        <v>46108</v>
      </c>
      <c r="B37" s="9" t="s">
        <v>195</v>
      </c>
      <c r="C37" s="7">
        <v>-0.87</v>
      </c>
      <c r="D37" s="9" t="s">
        <v>134</v>
      </c>
      <c r="E37" s="7">
        <v>5.98</v>
      </c>
      <c r="F37" s="5">
        <v>2</v>
      </c>
      <c r="G37" s="6">
        <v>0.6</v>
      </c>
      <c r="H37" s="5">
        <f t="shared" si="12"/>
        <v>1</v>
      </c>
      <c r="I37" s="10">
        <v>2</v>
      </c>
      <c r="J37" s="5">
        <v>4</v>
      </c>
      <c r="K37" s="6">
        <f t="shared" si="13"/>
        <v>1.3333333333333333</v>
      </c>
      <c r="L37" s="9" t="s">
        <v>110</v>
      </c>
      <c r="M37" s="7">
        <v>6.85</v>
      </c>
      <c r="N37" s="5">
        <v>5</v>
      </c>
      <c r="O37" s="6">
        <v>0.74</v>
      </c>
      <c r="P37" s="5">
        <f t="shared" si="14"/>
        <v>2</v>
      </c>
      <c r="Q37" s="10">
        <v>2</v>
      </c>
      <c r="R37" s="5">
        <v>2</v>
      </c>
      <c r="S37" s="6">
        <f t="shared" si="15"/>
        <v>0.66666666666666663</v>
      </c>
      <c r="T37" s="9" t="s">
        <v>194</v>
      </c>
      <c r="U37" s="5">
        <v>3</v>
      </c>
      <c r="V37" s="5">
        <v>12</v>
      </c>
      <c r="W37" s="8">
        <f t="shared" si="16"/>
        <v>0.2</v>
      </c>
      <c r="X37" s="6">
        <f t="shared" si="17"/>
        <v>-0.14000000000000001</v>
      </c>
      <c r="Y37" s="5">
        <f t="shared" si="18"/>
        <v>-1</v>
      </c>
      <c r="Z37" s="5">
        <v>0</v>
      </c>
      <c r="AA37" s="7">
        <f t="shared" si="19"/>
        <v>-0.86999999999999922</v>
      </c>
      <c r="AB37" s="5">
        <f t="shared" si="20"/>
        <v>-3</v>
      </c>
      <c r="AC37" s="6">
        <f t="shared" si="21"/>
        <v>0.66666666666666663</v>
      </c>
      <c r="AD37" s="5">
        <f t="shared" si="22"/>
        <v>-1</v>
      </c>
      <c r="AE37" s="4">
        <f t="shared" si="23"/>
        <v>0.1270072992700729</v>
      </c>
    </row>
    <row r="38" spans="1:31">
      <c r="A38" s="11">
        <v>46108</v>
      </c>
      <c r="B38" s="9" t="s">
        <v>11</v>
      </c>
      <c r="C38" s="7">
        <v>-0.33</v>
      </c>
      <c r="D38" s="9" t="s">
        <v>10</v>
      </c>
      <c r="E38" s="7">
        <v>7.15</v>
      </c>
      <c r="F38" s="5">
        <v>4</v>
      </c>
      <c r="G38" s="6">
        <v>0.6613</v>
      </c>
      <c r="H38" s="5">
        <f t="shared" si="12"/>
        <v>2</v>
      </c>
      <c r="I38" s="10">
        <v>1</v>
      </c>
      <c r="J38" s="5">
        <v>5</v>
      </c>
      <c r="K38" s="6">
        <f t="shared" si="13"/>
        <v>2.5</v>
      </c>
      <c r="L38" s="9" t="s">
        <v>9</v>
      </c>
      <c r="M38" s="7">
        <v>7.48</v>
      </c>
      <c r="N38" s="5">
        <v>6</v>
      </c>
      <c r="O38" s="6">
        <v>0.94740000000000002</v>
      </c>
      <c r="P38" s="5">
        <f t="shared" si="14"/>
        <v>2</v>
      </c>
      <c r="Q38" s="10">
        <v>1</v>
      </c>
      <c r="R38" s="5">
        <v>6</v>
      </c>
      <c r="S38" s="6">
        <f t="shared" si="15"/>
        <v>3</v>
      </c>
      <c r="T38" s="9" t="s">
        <v>193</v>
      </c>
      <c r="U38" s="5">
        <v>13</v>
      </c>
      <c r="V38" s="5">
        <v>15</v>
      </c>
      <c r="W38" s="8">
        <f t="shared" si="16"/>
        <v>0.4642857142857143</v>
      </c>
      <c r="X38" s="6">
        <f t="shared" si="17"/>
        <v>-0.28610000000000002</v>
      </c>
      <c r="Y38" s="5">
        <f t="shared" si="18"/>
        <v>0</v>
      </c>
      <c r="Z38" s="5">
        <v>1</v>
      </c>
      <c r="AA38" s="7">
        <f t="shared" si="19"/>
        <v>-0.33000000000000007</v>
      </c>
      <c r="AB38" s="5">
        <f t="shared" si="20"/>
        <v>-2</v>
      </c>
      <c r="AC38" s="6">
        <f t="shared" si="21"/>
        <v>-0.5</v>
      </c>
      <c r="AD38" s="5">
        <f t="shared" si="22"/>
        <v>0</v>
      </c>
      <c r="AE38" s="4">
        <f t="shared" si="23"/>
        <v>4.4117647058823539E-2</v>
      </c>
    </row>
    <row r="39" spans="1:31">
      <c r="A39" s="11">
        <v>46108</v>
      </c>
      <c r="B39" s="9" t="s">
        <v>192</v>
      </c>
      <c r="C39" s="7">
        <v>-0.83</v>
      </c>
      <c r="D39" s="9" t="s">
        <v>34</v>
      </c>
      <c r="E39" s="7">
        <v>4.97</v>
      </c>
      <c r="F39" s="5">
        <v>4</v>
      </c>
      <c r="G39" s="6">
        <v>0.72</v>
      </c>
      <c r="H39" s="5">
        <f t="shared" si="12"/>
        <v>2</v>
      </c>
      <c r="I39" s="10">
        <v>7</v>
      </c>
      <c r="J39" s="5">
        <v>2</v>
      </c>
      <c r="K39" s="6">
        <f t="shared" si="13"/>
        <v>0.25</v>
      </c>
      <c r="L39" s="9" t="s">
        <v>131</v>
      </c>
      <c r="M39" s="7">
        <v>5.8</v>
      </c>
      <c r="N39" s="5">
        <v>0</v>
      </c>
      <c r="O39" s="6">
        <v>0.62790000000000001</v>
      </c>
      <c r="P39" s="5">
        <f t="shared" si="14"/>
        <v>2</v>
      </c>
      <c r="Q39" s="10">
        <v>2</v>
      </c>
      <c r="R39" s="5">
        <v>5</v>
      </c>
      <c r="S39" s="6">
        <f t="shared" si="15"/>
        <v>1.6666666666666667</v>
      </c>
      <c r="T39" s="9" t="s">
        <v>191</v>
      </c>
      <c r="U39" s="5">
        <v>5</v>
      </c>
      <c r="V39" s="5">
        <v>12</v>
      </c>
      <c r="W39" s="8">
        <f t="shared" si="16"/>
        <v>0.29411764705882354</v>
      </c>
      <c r="X39" s="6">
        <f t="shared" si="17"/>
        <v>9.209999999999996E-2</v>
      </c>
      <c r="Y39" s="5">
        <f t="shared" si="18"/>
        <v>0</v>
      </c>
      <c r="Z39" s="5">
        <v>0</v>
      </c>
      <c r="AA39" s="7">
        <f t="shared" si="19"/>
        <v>-0.83000000000000007</v>
      </c>
      <c r="AB39" s="5">
        <f t="shared" si="20"/>
        <v>4</v>
      </c>
      <c r="AC39" s="6">
        <f t="shared" si="21"/>
        <v>-1.4166666666666667</v>
      </c>
      <c r="AD39" s="5">
        <f t="shared" si="22"/>
        <v>0</v>
      </c>
      <c r="AE39" s="4">
        <f t="shared" si="23"/>
        <v>0.14310344827586208</v>
      </c>
    </row>
    <row r="40" spans="1:31">
      <c r="A40" s="11">
        <v>46108</v>
      </c>
      <c r="B40" s="9" t="s">
        <v>190</v>
      </c>
      <c r="C40" s="7">
        <v>-0.74</v>
      </c>
      <c r="D40" s="9" t="s">
        <v>121</v>
      </c>
      <c r="E40" s="7">
        <v>6.37</v>
      </c>
      <c r="F40" s="5">
        <v>1</v>
      </c>
      <c r="G40" s="6">
        <v>0.42109999999999997</v>
      </c>
      <c r="H40" s="5">
        <f t="shared" si="12"/>
        <v>1</v>
      </c>
      <c r="I40" s="10">
        <v>2</v>
      </c>
      <c r="J40" s="5">
        <v>4</v>
      </c>
      <c r="K40" s="6">
        <f t="shared" si="13"/>
        <v>1.3333333333333333</v>
      </c>
      <c r="L40" s="9" t="s">
        <v>103</v>
      </c>
      <c r="M40" s="7">
        <v>7.11</v>
      </c>
      <c r="N40" s="5">
        <v>4</v>
      </c>
      <c r="O40" s="6">
        <v>0.77080000000000004</v>
      </c>
      <c r="P40" s="5">
        <f t="shared" si="14"/>
        <v>2</v>
      </c>
      <c r="Q40" s="10">
        <v>1</v>
      </c>
      <c r="R40" s="5">
        <v>3</v>
      </c>
      <c r="S40" s="6">
        <f t="shared" si="15"/>
        <v>1.5</v>
      </c>
      <c r="T40" s="9" t="s">
        <v>189</v>
      </c>
      <c r="U40" s="5">
        <v>1</v>
      </c>
      <c r="V40" s="5">
        <v>12</v>
      </c>
      <c r="W40" s="8">
        <f t="shared" si="16"/>
        <v>7.6923076923076927E-2</v>
      </c>
      <c r="X40" s="6">
        <f t="shared" si="17"/>
        <v>-0.34970000000000007</v>
      </c>
      <c r="Y40" s="5">
        <f t="shared" si="18"/>
        <v>-1</v>
      </c>
      <c r="Z40" s="5">
        <v>0</v>
      </c>
      <c r="AA40" s="7">
        <f t="shared" si="19"/>
        <v>-0.74000000000000021</v>
      </c>
      <c r="AB40" s="5">
        <f t="shared" si="20"/>
        <v>-3</v>
      </c>
      <c r="AC40" s="6">
        <f t="shared" si="21"/>
        <v>-0.16666666666666674</v>
      </c>
      <c r="AD40" s="5">
        <f t="shared" si="22"/>
        <v>-1</v>
      </c>
      <c r="AE40" s="4">
        <f t="shared" si="23"/>
        <v>0.10407876230661044</v>
      </c>
    </row>
    <row r="41" spans="1:31">
      <c r="A41" s="11">
        <v>46111</v>
      </c>
      <c r="B41" s="9" t="s">
        <v>188</v>
      </c>
      <c r="C41" s="7">
        <v>-0.22</v>
      </c>
      <c r="D41" s="9" t="s">
        <v>124</v>
      </c>
      <c r="E41" s="7">
        <v>6.19</v>
      </c>
      <c r="F41" s="5">
        <v>0</v>
      </c>
      <c r="G41" s="6">
        <v>0.55559999999999998</v>
      </c>
      <c r="H41" s="5">
        <f t="shared" si="12"/>
        <v>1</v>
      </c>
      <c r="I41" s="10">
        <v>4</v>
      </c>
      <c r="J41" s="5">
        <v>3</v>
      </c>
      <c r="K41" s="6">
        <f t="shared" si="13"/>
        <v>0.6</v>
      </c>
      <c r="L41" s="9" t="s">
        <v>61</v>
      </c>
      <c r="M41" s="7">
        <v>6.41</v>
      </c>
      <c r="N41" s="5">
        <v>2</v>
      </c>
      <c r="O41" s="6">
        <v>0.65959999999999996</v>
      </c>
      <c r="P41" s="5">
        <f t="shared" si="14"/>
        <v>2</v>
      </c>
      <c r="Q41" s="10">
        <v>6</v>
      </c>
      <c r="R41" s="5">
        <v>3</v>
      </c>
      <c r="S41" s="6">
        <f t="shared" si="15"/>
        <v>0.42857142857142855</v>
      </c>
      <c r="T41" s="9" t="s">
        <v>187</v>
      </c>
      <c r="U41" s="5">
        <v>4</v>
      </c>
      <c r="V41" s="5">
        <v>12</v>
      </c>
      <c r="W41" s="8">
        <f t="shared" si="16"/>
        <v>0.25</v>
      </c>
      <c r="X41" s="6">
        <f t="shared" si="17"/>
        <v>-0.10399999999999998</v>
      </c>
      <c r="Y41" s="5">
        <f t="shared" si="18"/>
        <v>-1</v>
      </c>
      <c r="Z41" s="5">
        <v>0</v>
      </c>
      <c r="AA41" s="7">
        <f t="shared" si="19"/>
        <v>-0.21999999999999975</v>
      </c>
      <c r="AB41" s="5">
        <f t="shared" si="20"/>
        <v>-2</v>
      </c>
      <c r="AC41" s="6">
        <f t="shared" si="21"/>
        <v>0.17142857142857143</v>
      </c>
      <c r="AD41" s="5">
        <f t="shared" si="22"/>
        <v>-1</v>
      </c>
      <c r="AE41" s="4">
        <f t="shared" si="23"/>
        <v>3.4321372854914156E-2</v>
      </c>
    </row>
    <row r="42" spans="1:31">
      <c r="A42" s="11">
        <v>46111</v>
      </c>
      <c r="B42" s="9" t="s">
        <v>186</v>
      </c>
      <c r="C42" s="7">
        <v>-0.67</v>
      </c>
      <c r="D42" s="9" t="s">
        <v>165</v>
      </c>
      <c r="E42" s="7">
        <v>6.12</v>
      </c>
      <c r="F42" s="5">
        <v>1</v>
      </c>
      <c r="G42" s="6">
        <v>0.64059999999999995</v>
      </c>
      <c r="H42" s="5">
        <f t="shared" si="12"/>
        <v>2</v>
      </c>
      <c r="I42" s="10">
        <v>5</v>
      </c>
      <c r="J42" s="5">
        <v>4</v>
      </c>
      <c r="K42" s="6">
        <f t="shared" si="13"/>
        <v>0.66666666666666663</v>
      </c>
      <c r="L42" s="9" t="s">
        <v>65</v>
      </c>
      <c r="M42" s="7">
        <v>6.79</v>
      </c>
      <c r="N42" s="5">
        <v>0</v>
      </c>
      <c r="O42" s="6">
        <v>0.52049999999999996</v>
      </c>
      <c r="P42" s="5">
        <f t="shared" si="14"/>
        <v>1</v>
      </c>
      <c r="Q42" s="10">
        <v>3</v>
      </c>
      <c r="R42" s="5">
        <v>4</v>
      </c>
      <c r="S42" s="6">
        <f t="shared" si="15"/>
        <v>1</v>
      </c>
      <c r="T42" s="9" t="s">
        <v>99</v>
      </c>
      <c r="U42" s="5">
        <v>2</v>
      </c>
      <c r="V42" s="5">
        <v>12</v>
      </c>
      <c r="W42" s="8">
        <f t="shared" si="16"/>
        <v>0.14285714285714285</v>
      </c>
      <c r="X42" s="6">
        <f t="shared" si="17"/>
        <v>0.12009999999999998</v>
      </c>
      <c r="Y42" s="5">
        <f t="shared" si="18"/>
        <v>1</v>
      </c>
      <c r="Z42" s="5">
        <v>0</v>
      </c>
      <c r="AA42" s="7">
        <f t="shared" si="19"/>
        <v>-0.66999999999999993</v>
      </c>
      <c r="AB42" s="5">
        <f t="shared" si="20"/>
        <v>1</v>
      </c>
      <c r="AC42" s="6">
        <f t="shared" si="21"/>
        <v>-0.33333333333333337</v>
      </c>
      <c r="AD42" s="5">
        <f t="shared" si="22"/>
        <v>1</v>
      </c>
      <c r="AE42" s="4">
        <f t="shared" si="23"/>
        <v>9.8674521354933709E-2</v>
      </c>
    </row>
    <row r="43" spans="1:31">
      <c r="A43" s="11">
        <v>46111</v>
      </c>
      <c r="B43" s="9" t="s">
        <v>185</v>
      </c>
      <c r="C43" s="7">
        <v>-0.88</v>
      </c>
      <c r="D43" s="9" t="s">
        <v>184</v>
      </c>
      <c r="E43" s="7">
        <v>4.84</v>
      </c>
      <c r="F43" s="5">
        <v>0</v>
      </c>
      <c r="G43" s="6">
        <v>0.19350000000000001</v>
      </c>
      <c r="H43" s="5">
        <f t="shared" si="12"/>
        <v>0</v>
      </c>
      <c r="I43" s="10">
        <v>12</v>
      </c>
      <c r="J43" s="5">
        <v>1</v>
      </c>
      <c r="K43" s="6">
        <f t="shared" si="13"/>
        <v>7.6923076923076927E-2</v>
      </c>
      <c r="L43" s="9" t="s">
        <v>107</v>
      </c>
      <c r="M43" s="7">
        <v>5.72</v>
      </c>
      <c r="N43" s="5">
        <v>1</v>
      </c>
      <c r="O43" s="6">
        <v>0.62260000000000004</v>
      </c>
      <c r="P43" s="5">
        <f t="shared" si="14"/>
        <v>2</v>
      </c>
      <c r="Q43" s="10">
        <v>5</v>
      </c>
      <c r="R43" s="5">
        <v>2</v>
      </c>
      <c r="S43" s="6">
        <f t="shared" si="15"/>
        <v>0.33333333333333331</v>
      </c>
      <c r="T43" s="9" t="s">
        <v>183</v>
      </c>
      <c r="U43" s="5">
        <v>3</v>
      </c>
      <c r="V43" s="5">
        <v>12</v>
      </c>
      <c r="W43" s="8">
        <f t="shared" si="16"/>
        <v>0.2</v>
      </c>
      <c r="X43" s="6">
        <f t="shared" si="17"/>
        <v>-0.42910000000000004</v>
      </c>
      <c r="Y43" s="5">
        <f t="shared" si="18"/>
        <v>-2</v>
      </c>
      <c r="Z43" s="5">
        <v>0</v>
      </c>
      <c r="AA43" s="7">
        <f t="shared" si="19"/>
        <v>-0.87999999999999989</v>
      </c>
      <c r="AB43" s="5">
        <f t="shared" si="20"/>
        <v>-1</v>
      </c>
      <c r="AC43" s="6">
        <f t="shared" si="21"/>
        <v>-0.25641025641025639</v>
      </c>
      <c r="AD43" s="5">
        <f t="shared" si="22"/>
        <v>-1</v>
      </c>
      <c r="AE43" s="4">
        <f t="shared" si="23"/>
        <v>0.15384615384615383</v>
      </c>
    </row>
    <row r="44" spans="1:31">
      <c r="A44" s="11">
        <v>46111</v>
      </c>
      <c r="B44" s="9" t="s">
        <v>182</v>
      </c>
      <c r="C44" s="7">
        <v>-7.0000000000000007E-2</v>
      </c>
      <c r="D44" s="9" t="s">
        <v>181</v>
      </c>
      <c r="E44" s="7">
        <v>6.08</v>
      </c>
      <c r="F44" s="5">
        <v>0</v>
      </c>
      <c r="G44" s="6">
        <v>0.3846</v>
      </c>
      <c r="H44" s="5">
        <f t="shared" si="12"/>
        <v>0</v>
      </c>
      <c r="I44" s="10">
        <v>5</v>
      </c>
      <c r="J44" s="5">
        <v>6</v>
      </c>
      <c r="K44" s="6">
        <f t="shared" si="13"/>
        <v>1</v>
      </c>
      <c r="L44" s="9" t="s">
        <v>90</v>
      </c>
      <c r="M44" s="7">
        <v>6.15</v>
      </c>
      <c r="N44" s="5">
        <v>2</v>
      </c>
      <c r="O44" s="6">
        <v>0.6744</v>
      </c>
      <c r="P44" s="5">
        <f t="shared" si="14"/>
        <v>2</v>
      </c>
      <c r="Q44" s="10">
        <v>6</v>
      </c>
      <c r="R44" s="5">
        <v>2</v>
      </c>
      <c r="S44" s="6">
        <f t="shared" si="15"/>
        <v>0.2857142857142857</v>
      </c>
      <c r="T44" s="9" t="s">
        <v>180</v>
      </c>
      <c r="U44" s="5">
        <v>9</v>
      </c>
      <c r="V44" s="5">
        <v>13</v>
      </c>
      <c r="W44" s="8">
        <f t="shared" si="16"/>
        <v>0.40909090909090912</v>
      </c>
      <c r="X44" s="6">
        <f t="shared" si="17"/>
        <v>-0.2898</v>
      </c>
      <c r="Y44" s="5">
        <f t="shared" si="18"/>
        <v>-2</v>
      </c>
      <c r="Z44" s="5">
        <v>0</v>
      </c>
      <c r="AA44" s="7">
        <f t="shared" si="19"/>
        <v>-7.0000000000000284E-2</v>
      </c>
      <c r="AB44" s="5">
        <f t="shared" si="20"/>
        <v>-2</v>
      </c>
      <c r="AC44" s="6">
        <f t="shared" si="21"/>
        <v>0.7142857142857143</v>
      </c>
      <c r="AD44" s="5">
        <f t="shared" si="22"/>
        <v>-1</v>
      </c>
      <c r="AE44" s="4">
        <f t="shared" si="23"/>
        <v>1.1382113821138257E-2</v>
      </c>
    </row>
    <row r="45" spans="1:31">
      <c r="A45" s="11">
        <v>46112</v>
      </c>
      <c r="B45" s="9" t="s">
        <v>179</v>
      </c>
      <c r="C45" s="7">
        <v>-0.01</v>
      </c>
      <c r="D45" s="9" t="s">
        <v>143</v>
      </c>
      <c r="E45" s="7">
        <v>6.4</v>
      </c>
      <c r="F45" s="5">
        <v>0</v>
      </c>
      <c r="G45" s="6">
        <v>0.52239999999999998</v>
      </c>
      <c r="H45" s="5">
        <f t="shared" si="12"/>
        <v>1</v>
      </c>
      <c r="I45" s="10">
        <v>1</v>
      </c>
      <c r="J45" s="5">
        <v>3</v>
      </c>
      <c r="K45" s="6">
        <f t="shared" si="13"/>
        <v>1.5</v>
      </c>
      <c r="L45" s="9" t="s">
        <v>61</v>
      </c>
      <c r="M45" s="7">
        <v>6.41</v>
      </c>
      <c r="N45" s="5">
        <v>3</v>
      </c>
      <c r="O45" s="6">
        <v>0.81820000000000004</v>
      </c>
      <c r="P45" s="5">
        <f t="shared" si="14"/>
        <v>2</v>
      </c>
      <c r="Q45" s="10">
        <v>1</v>
      </c>
      <c r="R45" s="5">
        <v>4</v>
      </c>
      <c r="S45" s="6">
        <f t="shared" si="15"/>
        <v>2</v>
      </c>
      <c r="T45" s="9" t="s">
        <v>178</v>
      </c>
      <c r="U45" s="5">
        <v>13</v>
      </c>
      <c r="V45" s="5">
        <v>9</v>
      </c>
      <c r="W45" s="8">
        <f t="shared" si="16"/>
        <v>0.59090909090909094</v>
      </c>
      <c r="X45" s="6">
        <f t="shared" si="17"/>
        <v>-0.29580000000000006</v>
      </c>
      <c r="Y45" s="5">
        <f t="shared" si="18"/>
        <v>-1</v>
      </c>
      <c r="Z45" s="5">
        <v>1</v>
      </c>
      <c r="AA45" s="7">
        <f t="shared" si="19"/>
        <v>-9.9999999999997868E-3</v>
      </c>
      <c r="AB45" s="5">
        <f t="shared" si="20"/>
        <v>-3</v>
      </c>
      <c r="AC45" s="6">
        <f t="shared" si="21"/>
        <v>-0.5</v>
      </c>
      <c r="AD45" s="5">
        <f t="shared" si="22"/>
        <v>-1</v>
      </c>
      <c r="AE45" s="4">
        <f t="shared" si="23"/>
        <v>1.5600624024960665E-3</v>
      </c>
    </row>
    <row r="46" spans="1:31">
      <c r="A46" s="11">
        <v>46112</v>
      </c>
      <c r="B46" s="9" t="s">
        <v>177</v>
      </c>
      <c r="C46" s="7">
        <v>-0.67</v>
      </c>
      <c r="D46" s="13" t="s">
        <v>141</v>
      </c>
      <c r="E46" s="7">
        <v>5.65</v>
      </c>
      <c r="F46" s="5">
        <v>1</v>
      </c>
      <c r="G46" s="6">
        <v>0.47620000000000001</v>
      </c>
      <c r="H46" s="5">
        <f t="shared" si="12"/>
        <v>1</v>
      </c>
      <c r="I46" s="10">
        <v>6</v>
      </c>
      <c r="J46" s="5">
        <v>5</v>
      </c>
      <c r="K46" s="6">
        <f t="shared" si="13"/>
        <v>0.7142857142857143</v>
      </c>
      <c r="L46" s="13" t="s">
        <v>176</v>
      </c>
      <c r="M46" s="7">
        <v>6.32</v>
      </c>
      <c r="N46" s="5">
        <v>0</v>
      </c>
      <c r="O46" s="6">
        <v>0</v>
      </c>
      <c r="P46" s="5">
        <f t="shared" si="14"/>
        <v>0</v>
      </c>
      <c r="Q46" s="10">
        <v>1</v>
      </c>
      <c r="R46" s="5">
        <v>1</v>
      </c>
      <c r="S46" s="6">
        <f t="shared" si="15"/>
        <v>0.5</v>
      </c>
      <c r="T46" s="9" t="s">
        <v>175</v>
      </c>
      <c r="U46" s="5">
        <v>12</v>
      </c>
      <c r="V46" s="5">
        <v>0</v>
      </c>
      <c r="W46" s="8">
        <f t="shared" si="16"/>
        <v>1</v>
      </c>
      <c r="X46" s="6">
        <f t="shared" si="17"/>
        <v>0.47620000000000001</v>
      </c>
      <c r="Y46" s="5">
        <f t="shared" si="18"/>
        <v>1</v>
      </c>
      <c r="Z46" s="5">
        <v>1</v>
      </c>
      <c r="AA46" s="7">
        <f t="shared" si="19"/>
        <v>-0.66999999999999993</v>
      </c>
      <c r="AB46" s="5">
        <f t="shared" si="20"/>
        <v>1</v>
      </c>
      <c r="AC46" s="6">
        <f t="shared" si="21"/>
        <v>0.2142857142857143</v>
      </c>
      <c r="AD46" s="5">
        <f t="shared" si="22"/>
        <v>1</v>
      </c>
      <c r="AE46" s="4">
        <f t="shared" si="23"/>
        <v>0.10601265822784808</v>
      </c>
    </row>
    <row r="47" spans="1:31">
      <c r="A47" s="11">
        <v>46113</v>
      </c>
      <c r="B47" s="9" t="s">
        <v>174</v>
      </c>
      <c r="C47" s="7">
        <v>-0.62</v>
      </c>
      <c r="D47" s="9" t="s">
        <v>121</v>
      </c>
      <c r="E47" s="7">
        <v>6.26</v>
      </c>
      <c r="F47" s="5">
        <v>1</v>
      </c>
      <c r="G47" s="6">
        <v>0.51790000000000003</v>
      </c>
      <c r="H47" s="5">
        <f t="shared" si="12"/>
        <v>1</v>
      </c>
      <c r="I47" s="10">
        <v>2</v>
      </c>
      <c r="J47" s="5">
        <v>5</v>
      </c>
      <c r="K47" s="6">
        <f t="shared" si="13"/>
        <v>1.6666666666666667</v>
      </c>
      <c r="L47" s="9" t="s">
        <v>110</v>
      </c>
      <c r="M47" s="7">
        <v>6.88</v>
      </c>
      <c r="N47" s="5">
        <v>6</v>
      </c>
      <c r="O47" s="6">
        <v>0.71150000000000002</v>
      </c>
      <c r="P47" s="5">
        <f t="shared" si="14"/>
        <v>2</v>
      </c>
      <c r="Q47" s="10">
        <v>5</v>
      </c>
      <c r="R47" s="5">
        <v>2</v>
      </c>
      <c r="S47" s="6">
        <f t="shared" si="15"/>
        <v>0.33333333333333331</v>
      </c>
      <c r="T47" s="9" t="s">
        <v>173</v>
      </c>
      <c r="U47" s="5">
        <v>5</v>
      </c>
      <c r="V47" s="5">
        <v>13</v>
      </c>
      <c r="W47" s="8">
        <f t="shared" si="16"/>
        <v>0.27777777777777779</v>
      </c>
      <c r="X47" s="6">
        <f t="shared" si="17"/>
        <v>-0.19359999999999999</v>
      </c>
      <c r="Y47" s="5">
        <f t="shared" si="18"/>
        <v>-1</v>
      </c>
      <c r="Z47" s="5">
        <v>0</v>
      </c>
      <c r="AA47" s="7">
        <f t="shared" si="19"/>
        <v>-0.62000000000000011</v>
      </c>
      <c r="AB47" s="5">
        <f t="shared" si="20"/>
        <v>-5</v>
      </c>
      <c r="AC47" s="6">
        <f t="shared" si="21"/>
        <v>1.3333333333333335</v>
      </c>
      <c r="AD47" s="5">
        <f t="shared" si="22"/>
        <v>-1</v>
      </c>
      <c r="AE47" s="4">
        <f t="shared" si="23"/>
        <v>9.0116279069767463E-2</v>
      </c>
    </row>
    <row r="48" spans="1:31">
      <c r="A48" s="11">
        <v>46118</v>
      </c>
      <c r="B48" s="9" t="s">
        <v>172</v>
      </c>
      <c r="C48" s="7">
        <v>-0.17</v>
      </c>
      <c r="D48" s="9" t="s">
        <v>171</v>
      </c>
      <c r="E48" s="7">
        <v>5.28</v>
      </c>
      <c r="F48" s="5">
        <v>0</v>
      </c>
      <c r="G48" s="6">
        <v>0.46150000000000002</v>
      </c>
      <c r="H48" s="5">
        <f t="shared" si="12"/>
        <v>1</v>
      </c>
      <c r="I48" s="10">
        <v>7</v>
      </c>
      <c r="J48" s="5">
        <v>2</v>
      </c>
      <c r="K48" s="6">
        <f t="shared" si="13"/>
        <v>0.25</v>
      </c>
      <c r="L48" s="9" t="s">
        <v>170</v>
      </c>
      <c r="M48" s="7">
        <v>5.45</v>
      </c>
      <c r="N48" s="5">
        <v>0</v>
      </c>
      <c r="O48" s="6">
        <v>0.62260000000000004</v>
      </c>
      <c r="P48" s="5">
        <f t="shared" si="14"/>
        <v>2</v>
      </c>
      <c r="Q48" s="10">
        <v>6</v>
      </c>
      <c r="R48" s="5">
        <v>2</v>
      </c>
      <c r="S48" s="6">
        <f t="shared" si="15"/>
        <v>0.2857142857142857</v>
      </c>
      <c r="T48" s="9" t="s">
        <v>169</v>
      </c>
      <c r="U48" s="5">
        <v>3</v>
      </c>
      <c r="V48" s="5">
        <v>12</v>
      </c>
      <c r="W48" s="8">
        <f t="shared" si="16"/>
        <v>0.2</v>
      </c>
      <c r="X48" s="6">
        <f t="shared" si="17"/>
        <v>-0.16110000000000002</v>
      </c>
      <c r="Y48" s="5">
        <f t="shared" si="18"/>
        <v>-1</v>
      </c>
      <c r="Z48" s="5">
        <v>0</v>
      </c>
      <c r="AA48" s="7">
        <f t="shared" si="19"/>
        <v>-0.16999999999999993</v>
      </c>
      <c r="AB48" s="5">
        <f t="shared" si="20"/>
        <v>0</v>
      </c>
      <c r="AC48" s="6">
        <f t="shared" si="21"/>
        <v>-3.5714285714285698E-2</v>
      </c>
      <c r="AD48" s="5">
        <f t="shared" si="22"/>
        <v>-1</v>
      </c>
      <c r="AE48" s="4">
        <f t="shared" si="23"/>
        <v>3.11926605504587E-2</v>
      </c>
    </row>
    <row r="49" spans="1:31">
      <c r="A49" s="11">
        <v>46118</v>
      </c>
      <c r="B49" s="9" t="s">
        <v>168</v>
      </c>
      <c r="C49" s="7">
        <v>-0.26</v>
      </c>
      <c r="D49" s="9" t="s">
        <v>103</v>
      </c>
      <c r="E49" s="7">
        <v>7.18</v>
      </c>
      <c r="F49" s="5">
        <v>6</v>
      </c>
      <c r="G49" s="6">
        <v>0.67310000000000003</v>
      </c>
      <c r="H49" s="5">
        <f t="shared" si="12"/>
        <v>2</v>
      </c>
      <c r="I49" s="10">
        <v>2</v>
      </c>
      <c r="J49" s="5">
        <v>6</v>
      </c>
      <c r="K49" s="6">
        <f t="shared" si="13"/>
        <v>2</v>
      </c>
      <c r="L49" s="9" t="s">
        <v>138</v>
      </c>
      <c r="M49" s="7">
        <v>7.44</v>
      </c>
      <c r="N49" s="5">
        <v>3</v>
      </c>
      <c r="O49" s="6">
        <v>0.97299999999999998</v>
      </c>
      <c r="P49" s="5">
        <f t="shared" si="14"/>
        <v>2</v>
      </c>
      <c r="Q49" s="10">
        <v>13</v>
      </c>
      <c r="R49" s="5">
        <v>1</v>
      </c>
      <c r="S49" s="6">
        <f t="shared" si="15"/>
        <v>7.1428571428571425E-2</v>
      </c>
      <c r="T49" s="9" t="s">
        <v>167</v>
      </c>
      <c r="U49" s="5">
        <v>8</v>
      </c>
      <c r="V49" s="5">
        <v>11</v>
      </c>
      <c r="W49" s="8">
        <f t="shared" si="16"/>
        <v>0.42105263157894735</v>
      </c>
      <c r="X49" s="6">
        <f t="shared" si="17"/>
        <v>-0.29989999999999994</v>
      </c>
      <c r="Y49" s="5">
        <f t="shared" si="18"/>
        <v>0</v>
      </c>
      <c r="Z49" s="5">
        <v>0</v>
      </c>
      <c r="AA49" s="7">
        <f t="shared" si="19"/>
        <v>-0.26000000000000068</v>
      </c>
      <c r="AB49" s="5">
        <f t="shared" si="20"/>
        <v>3</v>
      </c>
      <c r="AC49" s="6">
        <f t="shared" si="21"/>
        <v>1.9285714285714286</v>
      </c>
      <c r="AD49" s="5">
        <f t="shared" si="22"/>
        <v>0</v>
      </c>
      <c r="AE49" s="4">
        <f t="shared" si="23"/>
        <v>3.4946236559139872E-2</v>
      </c>
    </row>
    <row r="50" spans="1:31">
      <c r="A50" s="11">
        <v>46118</v>
      </c>
      <c r="B50" s="9" t="s">
        <v>166</v>
      </c>
      <c r="C50" s="7">
        <v>-0.64</v>
      </c>
      <c r="D50" s="9" t="s">
        <v>165</v>
      </c>
      <c r="E50" s="7">
        <v>6.11</v>
      </c>
      <c r="F50" s="5">
        <v>0</v>
      </c>
      <c r="G50" s="6">
        <v>0.56520000000000004</v>
      </c>
      <c r="H50" s="5">
        <f t="shared" si="12"/>
        <v>1</v>
      </c>
      <c r="I50" s="10">
        <v>7</v>
      </c>
      <c r="J50" s="5">
        <v>3</v>
      </c>
      <c r="K50" s="6">
        <f t="shared" si="13"/>
        <v>0.375</v>
      </c>
      <c r="L50" s="9" t="s">
        <v>14</v>
      </c>
      <c r="M50" s="7">
        <v>6.75</v>
      </c>
      <c r="N50" s="5">
        <v>0</v>
      </c>
      <c r="O50" s="6">
        <v>0.3115</v>
      </c>
      <c r="P50" s="5">
        <f t="shared" si="14"/>
        <v>0</v>
      </c>
      <c r="Q50" s="10">
        <v>10</v>
      </c>
      <c r="R50" s="5">
        <v>3</v>
      </c>
      <c r="S50" s="6">
        <f t="shared" si="15"/>
        <v>0.27272727272727271</v>
      </c>
      <c r="T50" s="9" t="s">
        <v>0</v>
      </c>
      <c r="U50" s="5">
        <v>2</v>
      </c>
      <c r="V50" s="5">
        <v>12</v>
      </c>
      <c r="W50" s="8">
        <f t="shared" si="16"/>
        <v>0.14285714285714285</v>
      </c>
      <c r="X50" s="6">
        <f t="shared" si="17"/>
        <v>0.25370000000000004</v>
      </c>
      <c r="Y50" s="5">
        <f t="shared" si="18"/>
        <v>1</v>
      </c>
      <c r="Z50" s="5">
        <v>0</v>
      </c>
      <c r="AA50" s="7">
        <f t="shared" si="19"/>
        <v>-0.63999999999999968</v>
      </c>
      <c r="AB50" s="5">
        <f t="shared" si="20"/>
        <v>0</v>
      </c>
      <c r="AC50" s="6">
        <f t="shared" si="21"/>
        <v>0.10227272727272729</v>
      </c>
      <c r="AD50" s="5">
        <f t="shared" si="22"/>
        <v>1</v>
      </c>
      <c r="AE50" s="4">
        <f t="shared" si="23"/>
        <v>9.4814814814814768E-2</v>
      </c>
    </row>
    <row r="51" spans="1:31">
      <c r="A51" s="11">
        <v>46119</v>
      </c>
      <c r="B51" s="9" t="s">
        <v>164</v>
      </c>
      <c r="C51" s="7">
        <v>-0.28000000000000003</v>
      </c>
      <c r="D51" s="9" t="s">
        <v>163</v>
      </c>
      <c r="E51" s="7">
        <v>4.3499999999999996</v>
      </c>
      <c r="F51" s="5">
        <v>0</v>
      </c>
      <c r="G51" s="6">
        <v>0.2</v>
      </c>
      <c r="H51" s="5">
        <f t="shared" si="12"/>
        <v>0</v>
      </c>
      <c r="I51" s="10">
        <v>8</v>
      </c>
      <c r="J51" s="5">
        <v>2</v>
      </c>
      <c r="K51" s="6">
        <f t="shared" si="13"/>
        <v>0.22222222222222221</v>
      </c>
      <c r="L51" s="9" t="s">
        <v>54</v>
      </c>
      <c r="M51" s="7">
        <v>4.63</v>
      </c>
      <c r="N51" s="5">
        <v>0</v>
      </c>
      <c r="O51" s="6">
        <v>0.1628</v>
      </c>
      <c r="P51" s="5">
        <f t="shared" si="14"/>
        <v>0</v>
      </c>
      <c r="Q51" s="10">
        <v>8</v>
      </c>
      <c r="R51" s="5">
        <v>3</v>
      </c>
      <c r="S51" s="6">
        <f t="shared" si="15"/>
        <v>0.33333333333333331</v>
      </c>
      <c r="T51" s="9" t="s">
        <v>162</v>
      </c>
      <c r="U51" s="5">
        <v>6</v>
      </c>
      <c r="V51" s="5">
        <v>12</v>
      </c>
      <c r="W51" s="8">
        <f t="shared" si="16"/>
        <v>0.33333333333333331</v>
      </c>
      <c r="X51" s="6">
        <f t="shared" si="17"/>
        <v>3.7200000000000011E-2</v>
      </c>
      <c r="Y51" s="5">
        <f t="shared" si="18"/>
        <v>0</v>
      </c>
      <c r="Z51" s="5">
        <v>0</v>
      </c>
      <c r="AA51" s="7">
        <f t="shared" si="19"/>
        <v>-0.28000000000000025</v>
      </c>
      <c r="AB51" s="5">
        <f t="shared" si="20"/>
        <v>0</v>
      </c>
      <c r="AC51" s="6">
        <f t="shared" si="21"/>
        <v>-0.1111111111111111</v>
      </c>
      <c r="AD51" s="5">
        <f t="shared" si="22"/>
        <v>0</v>
      </c>
      <c r="AE51" s="4">
        <f t="shared" si="23"/>
        <v>6.0475161987041094E-2</v>
      </c>
    </row>
    <row r="52" spans="1:31">
      <c r="A52" s="11">
        <v>46119</v>
      </c>
      <c r="B52" s="9" t="s">
        <v>161</v>
      </c>
      <c r="C52" s="7">
        <v>-7.0000000000000007E-2</v>
      </c>
      <c r="D52" s="9" t="s">
        <v>140</v>
      </c>
      <c r="E52" s="7">
        <v>5.61</v>
      </c>
      <c r="F52" s="5">
        <v>0</v>
      </c>
      <c r="G52" s="6">
        <v>0.57779999999999998</v>
      </c>
      <c r="H52" s="5">
        <f t="shared" si="12"/>
        <v>1</v>
      </c>
      <c r="I52" s="10">
        <v>13</v>
      </c>
      <c r="J52" s="5">
        <v>2</v>
      </c>
      <c r="K52" s="6">
        <f t="shared" si="13"/>
        <v>0.14285714285714285</v>
      </c>
      <c r="L52" s="9" t="s">
        <v>91</v>
      </c>
      <c r="M52" s="7">
        <v>5.68</v>
      </c>
      <c r="N52" s="5">
        <v>0</v>
      </c>
      <c r="O52" s="6">
        <v>0.60470000000000002</v>
      </c>
      <c r="P52" s="5">
        <f t="shared" si="14"/>
        <v>2</v>
      </c>
      <c r="Q52" s="10">
        <v>6</v>
      </c>
      <c r="R52" s="5">
        <v>7</v>
      </c>
      <c r="S52" s="6">
        <f t="shared" si="15"/>
        <v>1</v>
      </c>
      <c r="T52" s="9" t="s">
        <v>127</v>
      </c>
      <c r="U52" s="5">
        <v>2</v>
      </c>
      <c r="V52" s="5">
        <v>12</v>
      </c>
      <c r="W52" s="8">
        <f t="shared" si="16"/>
        <v>0.14285714285714285</v>
      </c>
      <c r="X52" s="6">
        <f t="shared" si="17"/>
        <v>-2.6900000000000035E-2</v>
      </c>
      <c r="Y52" s="5">
        <f t="shared" si="18"/>
        <v>-1</v>
      </c>
      <c r="Z52" s="5">
        <v>0</v>
      </c>
      <c r="AA52" s="7">
        <f t="shared" si="19"/>
        <v>-6.9999999999999396E-2</v>
      </c>
      <c r="AB52" s="5">
        <f t="shared" si="20"/>
        <v>0</v>
      </c>
      <c r="AC52" s="6">
        <f t="shared" si="21"/>
        <v>-0.85714285714285721</v>
      </c>
      <c r="AD52" s="5">
        <f t="shared" si="22"/>
        <v>-1</v>
      </c>
      <c r="AE52" s="4">
        <f t="shared" si="23"/>
        <v>1.2323943661971726E-2</v>
      </c>
    </row>
    <row r="53" spans="1:31">
      <c r="A53" s="11">
        <v>46119</v>
      </c>
      <c r="B53" s="9" t="s">
        <v>160</v>
      </c>
      <c r="C53" s="7">
        <v>-0.41</v>
      </c>
      <c r="D53" s="9" t="s">
        <v>42</v>
      </c>
      <c r="E53" s="7">
        <v>8</v>
      </c>
      <c r="F53" s="5">
        <v>4</v>
      </c>
      <c r="G53" s="6">
        <v>0.85709999999999997</v>
      </c>
      <c r="H53" s="5">
        <f t="shared" si="12"/>
        <v>2</v>
      </c>
      <c r="I53" s="10">
        <v>11</v>
      </c>
      <c r="J53" s="5">
        <v>3</v>
      </c>
      <c r="K53" s="6">
        <f t="shared" si="13"/>
        <v>0.25</v>
      </c>
      <c r="L53" s="9" t="s">
        <v>145</v>
      </c>
      <c r="M53" s="7">
        <v>8.41</v>
      </c>
      <c r="N53" s="5">
        <v>0</v>
      </c>
      <c r="O53" s="6">
        <v>0.51849999999999996</v>
      </c>
      <c r="P53" s="5">
        <f t="shared" si="14"/>
        <v>1</v>
      </c>
      <c r="Q53" s="10">
        <v>14</v>
      </c>
      <c r="R53" s="5">
        <v>0</v>
      </c>
      <c r="S53" s="6">
        <f t="shared" si="15"/>
        <v>0</v>
      </c>
      <c r="T53" s="9" t="s">
        <v>159</v>
      </c>
      <c r="U53" s="5">
        <v>1</v>
      </c>
      <c r="V53" s="5">
        <v>12</v>
      </c>
      <c r="W53" s="8">
        <f t="shared" si="16"/>
        <v>7.6923076923076927E-2</v>
      </c>
      <c r="X53" s="6">
        <f t="shared" si="17"/>
        <v>0.33860000000000001</v>
      </c>
      <c r="Y53" s="5">
        <f t="shared" si="18"/>
        <v>1</v>
      </c>
      <c r="Z53" s="5">
        <v>0</v>
      </c>
      <c r="AA53" s="7">
        <f t="shared" si="19"/>
        <v>-0.41000000000000014</v>
      </c>
      <c r="AB53" s="5">
        <f t="shared" si="20"/>
        <v>4</v>
      </c>
      <c r="AC53" s="6">
        <f t="shared" si="21"/>
        <v>0.25</v>
      </c>
      <c r="AD53" s="5">
        <f t="shared" si="22"/>
        <v>1</v>
      </c>
      <c r="AE53" s="4">
        <f t="shared" si="23"/>
        <v>4.8751486325802632E-2</v>
      </c>
    </row>
    <row r="54" spans="1:31">
      <c r="A54" s="11">
        <v>46119</v>
      </c>
      <c r="B54" s="9" t="s">
        <v>158</v>
      </c>
      <c r="C54" s="7">
        <v>-0.8</v>
      </c>
      <c r="D54" s="9" t="s">
        <v>107</v>
      </c>
      <c r="E54" s="7">
        <v>5.68</v>
      </c>
      <c r="F54" s="5">
        <v>3</v>
      </c>
      <c r="G54" s="6">
        <v>0.77780000000000005</v>
      </c>
      <c r="H54" s="5">
        <f t="shared" si="12"/>
        <v>2</v>
      </c>
      <c r="I54" s="10">
        <v>8</v>
      </c>
      <c r="J54" s="5">
        <v>4</v>
      </c>
      <c r="K54" s="6">
        <f t="shared" si="13"/>
        <v>0.44444444444444442</v>
      </c>
      <c r="L54" s="9" t="s">
        <v>143</v>
      </c>
      <c r="M54" s="7">
        <v>6.48</v>
      </c>
      <c r="N54" s="5">
        <v>1</v>
      </c>
      <c r="O54" s="6">
        <v>0.47370000000000001</v>
      </c>
      <c r="P54" s="5">
        <f t="shared" si="14"/>
        <v>1</v>
      </c>
      <c r="Q54" s="10">
        <v>7</v>
      </c>
      <c r="R54" s="5">
        <v>3</v>
      </c>
      <c r="S54" s="6">
        <f t="shared" si="15"/>
        <v>0.375</v>
      </c>
      <c r="T54" s="9" t="s">
        <v>157</v>
      </c>
      <c r="U54" s="5">
        <v>3</v>
      </c>
      <c r="V54" s="5">
        <v>12</v>
      </c>
      <c r="W54" s="8">
        <f t="shared" si="16"/>
        <v>0.2</v>
      </c>
      <c r="X54" s="6">
        <f t="shared" si="17"/>
        <v>0.30410000000000004</v>
      </c>
      <c r="Y54" s="5">
        <f t="shared" si="18"/>
        <v>1</v>
      </c>
      <c r="Z54" s="5">
        <v>0</v>
      </c>
      <c r="AA54" s="7">
        <f t="shared" si="19"/>
        <v>-0.80000000000000071</v>
      </c>
      <c r="AB54" s="5">
        <f t="shared" si="20"/>
        <v>2</v>
      </c>
      <c r="AC54" s="6">
        <f t="shared" si="21"/>
        <v>6.944444444444442E-2</v>
      </c>
      <c r="AD54" s="5">
        <f t="shared" si="22"/>
        <v>1</v>
      </c>
      <c r="AE54" s="4">
        <f t="shared" si="23"/>
        <v>0.12345679012345689</v>
      </c>
    </row>
    <row r="55" spans="1:31">
      <c r="A55" s="11">
        <v>46120</v>
      </c>
      <c r="B55" s="9" t="s">
        <v>156</v>
      </c>
      <c r="C55" s="7">
        <v>-7.0000000000000007E-2</v>
      </c>
      <c r="D55" s="9" t="s">
        <v>155</v>
      </c>
      <c r="E55" s="7">
        <v>4.6900000000000004</v>
      </c>
      <c r="F55" s="5">
        <v>0</v>
      </c>
      <c r="G55" s="6">
        <v>0.23400000000000001</v>
      </c>
      <c r="H55" s="5">
        <f t="shared" si="12"/>
        <v>0</v>
      </c>
      <c r="I55" s="10">
        <v>2</v>
      </c>
      <c r="J55" s="5">
        <v>3</v>
      </c>
      <c r="K55" s="6">
        <f t="shared" si="13"/>
        <v>1</v>
      </c>
      <c r="L55" s="9" t="s">
        <v>57</v>
      </c>
      <c r="M55" s="7">
        <v>4.76</v>
      </c>
      <c r="N55" s="5">
        <v>0</v>
      </c>
      <c r="O55" s="6">
        <v>0.4667</v>
      </c>
      <c r="P55" s="5">
        <f t="shared" si="14"/>
        <v>1</v>
      </c>
      <c r="Q55" s="10">
        <v>12</v>
      </c>
      <c r="R55" s="5">
        <v>1</v>
      </c>
      <c r="S55" s="6">
        <f t="shared" si="15"/>
        <v>7.6923076923076927E-2</v>
      </c>
      <c r="T55" s="9" t="s">
        <v>45</v>
      </c>
      <c r="U55" s="5">
        <v>1</v>
      </c>
      <c r="V55" s="5">
        <v>12</v>
      </c>
      <c r="W55" s="8">
        <f t="shared" si="16"/>
        <v>7.6923076923076927E-2</v>
      </c>
      <c r="X55" s="6">
        <f t="shared" si="17"/>
        <v>-0.23269999999999999</v>
      </c>
      <c r="Y55" s="5">
        <f t="shared" si="18"/>
        <v>-1</v>
      </c>
      <c r="Z55" s="5">
        <v>0</v>
      </c>
      <c r="AA55" s="7">
        <f t="shared" si="19"/>
        <v>-6.9999999999999396E-2</v>
      </c>
      <c r="AB55" s="5">
        <f t="shared" si="20"/>
        <v>0</v>
      </c>
      <c r="AC55" s="6">
        <f t="shared" si="21"/>
        <v>0.92307692307692313</v>
      </c>
      <c r="AD55" s="5">
        <f t="shared" si="22"/>
        <v>-1</v>
      </c>
      <c r="AE55" s="4">
        <f t="shared" si="23"/>
        <v>1.470588235294105E-2</v>
      </c>
    </row>
    <row r="56" spans="1:31">
      <c r="A56" s="11">
        <v>46121</v>
      </c>
      <c r="B56" s="9" t="s">
        <v>148</v>
      </c>
      <c r="C56" s="7">
        <v>-0.03</v>
      </c>
      <c r="D56" s="9" t="s">
        <v>128</v>
      </c>
      <c r="E56" s="7">
        <v>6.69</v>
      </c>
      <c r="F56" s="5">
        <v>1</v>
      </c>
      <c r="G56" s="6">
        <v>0.5</v>
      </c>
      <c r="H56" s="5">
        <f t="shared" si="12"/>
        <v>1</v>
      </c>
      <c r="I56" s="10">
        <v>2</v>
      </c>
      <c r="J56" s="5">
        <v>6</v>
      </c>
      <c r="K56" s="6">
        <f t="shared" si="13"/>
        <v>2</v>
      </c>
      <c r="L56" s="9" t="s">
        <v>154</v>
      </c>
      <c r="M56" s="7">
        <v>6.72</v>
      </c>
      <c r="N56" s="5">
        <v>0</v>
      </c>
      <c r="O56" s="6">
        <v>0.3125</v>
      </c>
      <c r="P56" s="5">
        <f t="shared" si="14"/>
        <v>0</v>
      </c>
      <c r="Q56" s="10">
        <v>1</v>
      </c>
      <c r="R56" s="5">
        <v>1</v>
      </c>
      <c r="S56" s="6">
        <f t="shared" si="15"/>
        <v>0.5</v>
      </c>
      <c r="T56" s="9" t="s">
        <v>153</v>
      </c>
      <c r="U56" s="5">
        <v>14</v>
      </c>
      <c r="V56" s="5">
        <v>12</v>
      </c>
      <c r="W56" s="8">
        <f t="shared" si="16"/>
        <v>0.53846153846153844</v>
      </c>
      <c r="X56" s="6">
        <f t="shared" si="17"/>
        <v>0.1875</v>
      </c>
      <c r="Y56" s="5">
        <f t="shared" si="18"/>
        <v>1</v>
      </c>
      <c r="Z56" s="5">
        <v>1</v>
      </c>
      <c r="AA56" s="7">
        <f t="shared" si="19"/>
        <v>-2.9999999999999361E-2</v>
      </c>
      <c r="AB56" s="5">
        <f t="shared" si="20"/>
        <v>1</v>
      </c>
      <c r="AC56" s="6">
        <f t="shared" si="21"/>
        <v>1.5</v>
      </c>
      <c r="AD56" s="5">
        <f t="shared" si="22"/>
        <v>1</v>
      </c>
      <c r="AE56" s="4">
        <f t="shared" si="23"/>
        <v>4.4642857142856195E-3</v>
      </c>
    </row>
    <row r="57" spans="1:31">
      <c r="A57" s="11">
        <v>46121</v>
      </c>
      <c r="B57" s="9" t="s">
        <v>152</v>
      </c>
      <c r="C57" s="7">
        <v>-0.95</v>
      </c>
      <c r="D57" s="9" t="s">
        <v>124</v>
      </c>
      <c r="E57" s="7">
        <v>6.19</v>
      </c>
      <c r="F57" s="5">
        <v>0</v>
      </c>
      <c r="G57" s="6">
        <v>0.36959999999999998</v>
      </c>
      <c r="H57" s="5">
        <f t="shared" si="12"/>
        <v>0</v>
      </c>
      <c r="I57" s="10">
        <v>10</v>
      </c>
      <c r="J57" s="5">
        <v>2</v>
      </c>
      <c r="K57" s="6">
        <f t="shared" si="13"/>
        <v>0.18181818181818182</v>
      </c>
      <c r="L57" s="9" t="s">
        <v>65</v>
      </c>
      <c r="M57" s="7">
        <v>7.14</v>
      </c>
      <c r="N57" s="5">
        <v>2</v>
      </c>
      <c r="O57" s="6">
        <v>0.66669999999999996</v>
      </c>
      <c r="P57" s="5">
        <f t="shared" si="14"/>
        <v>2</v>
      </c>
      <c r="Q57" s="10">
        <v>2</v>
      </c>
      <c r="R57" s="5">
        <v>3</v>
      </c>
      <c r="S57" s="6">
        <f t="shared" si="15"/>
        <v>1</v>
      </c>
      <c r="T57" s="9" t="s">
        <v>151</v>
      </c>
      <c r="U57" s="5">
        <v>6</v>
      </c>
      <c r="V57" s="5">
        <v>12</v>
      </c>
      <c r="W57" s="8">
        <f t="shared" si="16"/>
        <v>0.33333333333333331</v>
      </c>
      <c r="X57" s="6">
        <f t="shared" si="17"/>
        <v>-0.29709999999999998</v>
      </c>
      <c r="Y57" s="5">
        <f t="shared" si="18"/>
        <v>-2</v>
      </c>
      <c r="Z57" s="5">
        <v>0</v>
      </c>
      <c r="AA57" s="7">
        <f t="shared" si="19"/>
        <v>-0.94999999999999929</v>
      </c>
      <c r="AB57" s="5">
        <f t="shared" si="20"/>
        <v>-2</v>
      </c>
      <c r="AC57" s="6">
        <f t="shared" si="21"/>
        <v>-0.81818181818181812</v>
      </c>
      <c r="AD57" s="5">
        <f t="shared" si="22"/>
        <v>-1</v>
      </c>
      <c r="AE57" s="4">
        <f t="shared" si="23"/>
        <v>0.13305322128851532</v>
      </c>
    </row>
    <row r="58" spans="1:31">
      <c r="A58" s="11">
        <v>46121</v>
      </c>
      <c r="B58" s="9" t="s">
        <v>146</v>
      </c>
      <c r="C58" s="7">
        <v>-0.54</v>
      </c>
      <c r="D58" s="9" t="s">
        <v>150</v>
      </c>
      <c r="E58" s="7">
        <v>4.54</v>
      </c>
      <c r="F58" s="5">
        <v>0</v>
      </c>
      <c r="G58" s="6">
        <v>0.6</v>
      </c>
      <c r="H58" s="5">
        <f t="shared" si="12"/>
        <v>1</v>
      </c>
      <c r="I58" s="10">
        <v>2</v>
      </c>
      <c r="J58" s="5">
        <v>1</v>
      </c>
      <c r="K58" s="6">
        <f t="shared" si="13"/>
        <v>0.33333333333333331</v>
      </c>
      <c r="L58" s="9" t="s">
        <v>34</v>
      </c>
      <c r="M58" s="7">
        <v>5.08</v>
      </c>
      <c r="N58" s="5">
        <v>1</v>
      </c>
      <c r="O58" s="6">
        <v>0.50880000000000003</v>
      </c>
      <c r="P58" s="5">
        <f t="shared" si="14"/>
        <v>1</v>
      </c>
      <c r="Q58" s="10">
        <v>1</v>
      </c>
      <c r="R58" s="5">
        <v>2</v>
      </c>
      <c r="S58" s="6">
        <f t="shared" si="15"/>
        <v>1</v>
      </c>
      <c r="T58" s="9" t="s">
        <v>149</v>
      </c>
      <c r="U58" s="5">
        <v>8</v>
      </c>
      <c r="V58" s="5">
        <v>13</v>
      </c>
      <c r="W58" s="8">
        <f t="shared" si="16"/>
        <v>0.38095238095238093</v>
      </c>
      <c r="X58" s="6">
        <f t="shared" si="17"/>
        <v>9.1199999999999948E-2</v>
      </c>
      <c r="Y58" s="5">
        <f t="shared" si="18"/>
        <v>0</v>
      </c>
      <c r="Z58" s="5">
        <v>0</v>
      </c>
      <c r="AA58" s="7">
        <f t="shared" si="19"/>
        <v>-0.54</v>
      </c>
      <c r="AB58" s="5">
        <f t="shared" si="20"/>
        <v>-1</v>
      </c>
      <c r="AC58" s="6">
        <f t="shared" si="21"/>
        <v>-0.66666666666666674</v>
      </c>
      <c r="AD58" s="5">
        <f t="shared" si="22"/>
        <v>0</v>
      </c>
      <c r="AE58" s="4">
        <f t="shared" si="23"/>
        <v>0.1062992125984252</v>
      </c>
    </row>
    <row r="59" spans="1:31">
      <c r="A59" s="11">
        <v>46121</v>
      </c>
      <c r="B59" s="9" t="s">
        <v>148</v>
      </c>
      <c r="C59" s="7">
        <v>-0.59</v>
      </c>
      <c r="D59" s="9" t="s">
        <v>147</v>
      </c>
      <c r="E59" s="7">
        <v>5.5</v>
      </c>
      <c r="F59" s="5">
        <v>1</v>
      </c>
      <c r="G59" s="6">
        <v>0.55559999999999998</v>
      </c>
      <c r="H59" s="5">
        <f t="shared" si="12"/>
        <v>1</v>
      </c>
      <c r="I59" s="10">
        <v>1</v>
      </c>
      <c r="J59" s="5">
        <v>1</v>
      </c>
      <c r="K59" s="6">
        <f t="shared" si="13"/>
        <v>0.5</v>
      </c>
      <c r="L59" s="9" t="s">
        <v>121</v>
      </c>
      <c r="M59" s="7">
        <v>6.09</v>
      </c>
      <c r="N59" s="5">
        <v>1</v>
      </c>
      <c r="O59" s="6">
        <v>0.63039999999999996</v>
      </c>
      <c r="P59" s="5">
        <f t="shared" si="14"/>
        <v>2</v>
      </c>
      <c r="Q59" s="10">
        <v>2</v>
      </c>
      <c r="R59" s="5">
        <v>4</v>
      </c>
      <c r="S59" s="6">
        <f t="shared" si="15"/>
        <v>1.3333333333333333</v>
      </c>
      <c r="T59" s="9" t="s">
        <v>0</v>
      </c>
      <c r="U59" s="5">
        <v>2</v>
      </c>
      <c r="V59" s="5">
        <v>12</v>
      </c>
      <c r="W59" s="8">
        <f t="shared" si="16"/>
        <v>0.14285714285714285</v>
      </c>
      <c r="X59" s="6">
        <f t="shared" si="17"/>
        <v>-7.4799999999999978E-2</v>
      </c>
      <c r="Y59" s="5">
        <f t="shared" si="18"/>
        <v>-1</v>
      </c>
      <c r="Z59" s="5">
        <v>0</v>
      </c>
      <c r="AA59" s="7">
        <f t="shared" si="19"/>
        <v>-0.58999999999999986</v>
      </c>
      <c r="AB59" s="5">
        <f t="shared" si="20"/>
        <v>0</v>
      </c>
      <c r="AC59" s="6">
        <f t="shared" si="21"/>
        <v>-0.83333333333333326</v>
      </c>
      <c r="AD59" s="5">
        <f t="shared" si="22"/>
        <v>-1</v>
      </c>
      <c r="AE59" s="4">
        <f t="shared" si="23"/>
        <v>9.6880131362889962E-2</v>
      </c>
    </row>
    <row r="60" spans="1:31">
      <c r="A60" s="11">
        <v>46121</v>
      </c>
      <c r="B60" s="9" t="s">
        <v>146</v>
      </c>
      <c r="C60" s="7">
        <v>-0.35</v>
      </c>
      <c r="D60" s="9" t="s">
        <v>28</v>
      </c>
      <c r="E60" s="7">
        <v>8.06</v>
      </c>
      <c r="F60" s="5">
        <v>2</v>
      </c>
      <c r="G60" s="6">
        <v>0.67920000000000003</v>
      </c>
      <c r="H60" s="5">
        <f t="shared" si="12"/>
        <v>2</v>
      </c>
      <c r="I60" s="10">
        <v>1</v>
      </c>
      <c r="J60" s="5">
        <v>4</v>
      </c>
      <c r="K60" s="6">
        <f t="shared" si="13"/>
        <v>2</v>
      </c>
      <c r="L60" s="9" t="s">
        <v>145</v>
      </c>
      <c r="M60" s="7">
        <v>8.41</v>
      </c>
      <c r="N60" s="5">
        <v>1</v>
      </c>
      <c r="O60" s="6">
        <v>0.66669999999999996</v>
      </c>
      <c r="P60" s="5">
        <f t="shared" si="14"/>
        <v>2</v>
      </c>
      <c r="Q60" s="10">
        <v>2</v>
      </c>
      <c r="R60" s="5">
        <v>1</v>
      </c>
      <c r="S60" s="6">
        <f t="shared" si="15"/>
        <v>0.33333333333333331</v>
      </c>
      <c r="T60" s="9" t="s">
        <v>144</v>
      </c>
      <c r="U60" s="5">
        <v>12</v>
      </c>
      <c r="V60" s="5">
        <v>7</v>
      </c>
      <c r="W60" s="8">
        <f t="shared" si="16"/>
        <v>0.63157894736842102</v>
      </c>
      <c r="X60" s="6">
        <f t="shared" si="17"/>
        <v>1.2500000000000067E-2</v>
      </c>
      <c r="Y60" s="5">
        <f t="shared" si="18"/>
        <v>0</v>
      </c>
      <c r="Z60" s="5">
        <v>1</v>
      </c>
      <c r="AA60" s="7">
        <f t="shared" si="19"/>
        <v>-0.34999999999999964</v>
      </c>
      <c r="AB60" s="5">
        <f t="shared" si="20"/>
        <v>1</v>
      </c>
      <c r="AC60" s="6">
        <f t="shared" si="21"/>
        <v>1.6666666666666667</v>
      </c>
      <c r="AD60" s="5">
        <f t="shared" si="22"/>
        <v>0</v>
      </c>
      <c r="AE60" s="4">
        <f t="shared" si="23"/>
        <v>4.1617122473246095E-2</v>
      </c>
    </row>
    <row r="61" spans="1:31">
      <c r="A61" s="11">
        <v>46122</v>
      </c>
      <c r="B61" s="9" t="s">
        <v>132</v>
      </c>
      <c r="C61" s="7">
        <v>-0.66</v>
      </c>
      <c r="D61" s="9" t="s">
        <v>143</v>
      </c>
      <c r="E61" s="7">
        <v>6.48</v>
      </c>
      <c r="F61" s="5">
        <v>3</v>
      </c>
      <c r="G61" s="6">
        <v>0.75509999999999999</v>
      </c>
      <c r="H61" s="5">
        <f t="shared" si="12"/>
        <v>2</v>
      </c>
      <c r="I61" s="10">
        <v>1</v>
      </c>
      <c r="J61" s="5">
        <v>4</v>
      </c>
      <c r="K61" s="6">
        <f t="shared" si="13"/>
        <v>2</v>
      </c>
      <c r="L61" s="9" t="s">
        <v>65</v>
      </c>
      <c r="M61" s="7">
        <v>7.14</v>
      </c>
      <c r="N61" s="5">
        <v>3</v>
      </c>
      <c r="O61" s="6">
        <v>0.81820000000000004</v>
      </c>
      <c r="P61" s="5">
        <f t="shared" si="14"/>
        <v>2</v>
      </c>
      <c r="Q61" s="10">
        <v>1</v>
      </c>
      <c r="R61" s="5">
        <v>4</v>
      </c>
      <c r="S61" s="6">
        <f t="shared" si="15"/>
        <v>2</v>
      </c>
      <c r="T61" s="9" t="s">
        <v>142</v>
      </c>
      <c r="U61" s="5">
        <v>5</v>
      </c>
      <c r="V61" s="5">
        <v>12</v>
      </c>
      <c r="W61" s="8">
        <f t="shared" si="16"/>
        <v>0.29411764705882354</v>
      </c>
      <c r="X61" s="6">
        <f t="shared" si="17"/>
        <v>-6.3100000000000045E-2</v>
      </c>
      <c r="Y61" s="5">
        <f t="shared" si="18"/>
        <v>0</v>
      </c>
      <c r="Z61" s="5">
        <v>0</v>
      </c>
      <c r="AA61" s="7">
        <f t="shared" si="19"/>
        <v>-0.65999999999999925</v>
      </c>
      <c r="AB61" s="5">
        <f t="shared" si="20"/>
        <v>0</v>
      </c>
      <c r="AC61" s="6">
        <f t="shared" si="21"/>
        <v>0</v>
      </c>
      <c r="AD61" s="5">
        <f t="shared" si="22"/>
        <v>0</v>
      </c>
      <c r="AE61" s="4">
        <f t="shared" si="23"/>
        <v>9.243697478991586E-2</v>
      </c>
    </row>
    <row r="62" spans="1:31">
      <c r="A62" s="11">
        <v>46122</v>
      </c>
      <c r="B62" s="9" t="s">
        <v>136</v>
      </c>
      <c r="C62" s="7">
        <v>-0.06</v>
      </c>
      <c r="D62" s="9" t="s">
        <v>141</v>
      </c>
      <c r="E62" s="7">
        <v>5.68</v>
      </c>
      <c r="F62" s="5">
        <v>0</v>
      </c>
      <c r="G62" s="6">
        <v>0.28849999999999998</v>
      </c>
      <c r="H62" s="5">
        <f t="shared" si="12"/>
        <v>0</v>
      </c>
      <c r="I62" s="10">
        <v>1</v>
      </c>
      <c r="J62" s="5">
        <v>4</v>
      </c>
      <c r="K62" s="6">
        <f t="shared" si="13"/>
        <v>2</v>
      </c>
      <c r="L62" s="9" t="s">
        <v>140</v>
      </c>
      <c r="M62" s="7">
        <v>5.74</v>
      </c>
      <c r="N62" s="5">
        <v>0</v>
      </c>
      <c r="O62" s="6">
        <v>0.41860000000000003</v>
      </c>
      <c r="P62" s="5">
        <f t="shared" si="14"/>
        <v>1</v>
      </c>
      <c r="Q62" s="10">
        <v>3</v>
      </c>
      <c r="R62" s="5">
        <v>1</v>
      </c>
      <c r="S62" s="6">
        <f t="shared" si="15"/>
        <v>0.25</v>
      </c>
      <c r="T62" s="9" t="s">
        <v>71</v>
      </c>
      <c r="U62" s="5">
        <v>13</v>
      </c>
      <c r="V62" s="5">
        <v>7</v>
      </c>
      <c r="W62" s="8">
        <f t="shared" si="16"/>
        <v>0.65</v>
      </c>
      <c r="X62" s="6">
        <f t="shared" si="17"/>
        <v>-0.13010000000000005</v>
      </c>
      <c r="Y62" s="5">
        <f t="shared" si="18"/>
        <v>-1</v>
      </c>
      <c r="Z62" s="5">
        <v>1</v>
      </c>
      <c r="AA62" s="7">
        <f t="shared" si="19"/>
        <v>-6.0000000000000497E-2</v>
      </c>
      <c r="AB62" s="5">
        <f t="shared" si="20"/>
        <v>0</v>
      </c>
      <c r="AC62" s="6">
        <f t="shared" si="21"/>
        <v>1.75</v>
      </c>
      <c r="AD62" s="5">
        <f t="shared" si="22"/>
        <v>-1</v>
      </c>
      <c r="AE62" s="4">
        <f t="shared" si="23"/>
        <v>1.0452961672473953E-2</v>
      </c>
    </row>
    <row r="63" spans="1:31">
      <c r="A63" s="11">
        <v>46122</v>
      </c>
      <c r="B63" s="9" t="s">
        <v>139</v>
      </c>
      <c r="C63" s="7">
        <v>-0.08</v>
      </c>
      <c r="D63" s="9" t="s">
        <v>138</v>
      </c>
      <c r="E63" s="7">
        <v>7.44</v>
      </c>
      <c r="F63" s="5">
        <v>5</v>
      </c>
      <c r="G63" s="6">
        <v>0.77780000000000005</v>
      </c>
      <c r="H63" s="5">
        <f t="shared" si="12"/>
        <v>2</v>
      </c>
      <c r="I63" s="10">
        <v>3</v>
      </c>
      <c r="J63" s="5">
        <v>2</v>
      </c>
      <c r="K63" s="6">
        <f t="shared" si="13"/>
        <v>0.5</v>
      </c>
      <c r="L63" s="9" t="s">
        <v>9</v>
      </c>
      <c r="M63" s="7">
        <v>7.52</v>
      </c>
      <c r="N63" s="5">
        <v>0</v>
      </c>
      <c r="O63" s="6">
        <v>0.73580000000000001</v>
      </c>
      <c r="P63" s="5">
        <f t="shared" si="14"/>
        <v>2</v>
      </c>
      <c r="Q63" s="10">
        <v>14</v>
      </c>
      <c r="R63" s="5">
        <v>1</v>
      </c>
      <c r="S63" s="6">
        <f t="shared" si="15"/>
        <v>6.6666666666666666E-2</v>
      </c>
      <c r="T63" s="9" t="s">
        <v>137</v>
      </c>
      <c r="U63" s="5">
        <v>5</v>
      </c>
      <c r="V63" s="5">
        <v>12</v>
      </c>
      <c r="W63" s="8">
        <f t="shared" si="16"/>
        <v>0.29411764705882354</v>
      </c>
      <c r="X63" s="6">
        <f t="shared" si="17"/>
        <v>4.2000000000000037E-2</v>
      </c>
      <c r="Y63" s="5">
        <f t="shared" si="18"/>
        <v>0</v>
      </c>
      <c r="Z63" s="5">
        <v>0</v>
      </c>
      <c r="AA63" s="7">
        <f t="shared" si="19"/>
        <v>-7.9999999999999183E-2</v>
      </c>
      <c r="AB63" s="5">
        <f t="shared" si="20"/>
        <v>5</v>
      </c>
      <c r="AC63" s="6">
        <f t="shared" si="21"/>
        <v>0.43333333333333335</v>
      </c>
      <c r="AD63" s="5">
        <f t="shared" si="22"/>
        <v>0</v>
      </c>
      <c r="AE63" s="4">
        <f t="shared" si="23"/>
        <v>1.0638297872340318E-2</v>
      </c>
    </row>
    <row r="64" spans="1:31">
      <c r="A64" s="11">
        <v>46122</v>
      </c>
      <c r="B64" s="9" t="s">
        <v>136</v>
      </c>
      <c r="C64" s="7">
        <v>-0.98</v>
      </c>
      <c r="D64" s="9" t="s">
        <v>135</v>
      </c>
      <c r="E64" s="7">
        <v>5</v>
      </c>
      <c r="F64" s="5">
        <v>0</v>
      </c>
      <c r="G64" s="6">
        <v>7.6899999999999996E-2</v>
      </c>
      <c r="H64" s="5">
        <f t="shared" si="12"/>
        <v>0</v>
      </c>
      <c r="I64" s="10">
        <v>1</v>
      </c>
      <c r="J64" s="5">
        <v>4</v>
      </c>
      <c r="K64" s="6">
        <f t="shared" si="13"/>
        <v>2</v>
      </c>
      <c r="L64" s="9" t="s">
        <v>134</v>
      </c>
      <c r="M64" s="7">
        <v>5.98</v>
      </c>
      <c r="N64" s="5">
        <v>0</v>
      </c>
      <c r="O64" s="6">
        <v>0.41510000000000002</v>
      </c>
      <c r="P64" s="5">
        <f t="shared" si="14"/>
        <v>1</v>
      </c>
      <c r="Q64" s="10">
        <v>3</v>
      </c>
      <c r="R64" s="5">
        <v>3</v>
      </c>
      <c r="S64" s="6">
        <f t="shared" si="15"/>
        <v>0.75</v>
      </c>
      <c r="T64" s="9" t="s">
        <v>133</v>
      </c>
      <c r="U64" s="5">
        <v>11</v>
      </c>
      <c r="V64" s="5">
        <v>15</v>
      </c>
      <c r="W64" s="8">
        <f t="shared" si="16"/>
        <v>0.42307692307692307</v>
      </c>
      <c r="X64" s="6">
        <f t="shared" si="17"/>
        <v>-0.33820000000000006</v>
      </c>
      <c r="Y64" s="5">
        <f t="shared" si="18"/>
        <v>-1</v>
      </c>
      <c r="Z64" s="5">
        <v>0</v>
      </c>
      <c r="AA64" s="7">
        <f t="shared" si="19"/>
        <v>-0.98000000000000043</v>
      </c>
      <c r="AB64" s="5">
        <f t="shared" si="20"/>
        <v>0</v>
      </c>
      <c r="AC64" s="6">
        <f t="shared" si="21"/>
        <v>1.25</v>
      </c>
      <c r="AD64" s="5">
        <f t="shared" si="22"/>
        <v>-1</v>
      </c>
      <c r="AE64" s="4">
        <f t="shared" si="23"/>
        <v>0.16387959866220742</v>
      </c>
    </row>
    <row r="65" spans="1:31">
      <c r="A65" s="11">
        <v>46122</v>
      </c>
      <c r="B65" s="9" t="s">
        <v>132</v>
      </c>
      <c r="C65" s="7">
        <v>-0.89</v>
      </c>
      <c r="D65" s="9" t="s">
        <v>131</v>
      </c>
      <c r="E65" s="7">
        <v>5.9</v>
      </c>
      <c r="F65" s="5">
        <v>2</v>
      </c>
      <c r="G65" s="6">
        <v>0.58699999999999997</v>
      </c>
      <c r="H65" s="5">
        <f t="shared" si="12"/>
        <v>1</v>
      </c>
      <c r="I65" s="10">
        <v>3</v>
      </c>
      <c r="J65" s="5">
        <v>2</v>
      </c>
      <c r="K65" s="6">
        <f t="shared" si="13"/>
        <v>0.5</v>
      </c>
      <c r="L65" s="9" t="s">
        <v>23</v>
      </c>
      <c r="M65" s="7">
        <v>6.79</v>
      </c>
      <c r="N65" s="5">
        <v>7</v>
      </c>
      <c r="O65" s="6">
        <v>0.83720000000000006</v>
      </c>
      <c r="P65" s="5">
        <f t="shared" si="14"/>
        <v>2</v>
      </c>
      <c r="Q65" s="10">
        <v>1</v>
      </c>
      <c r="R65" s="5">
        <v>4</v>
      </c>
      <c r="S65" s="6">
        <f t="shared" si="15"/>
        <v>2</v>
      </c>
      <c r="T65" s="9" t="s">
        <v>130</v>
      </c>
      <c r="U65" s="5">
        <v>6</v>
      </c>
      <c r="V65" s="5">
        <v>13</v>
      </c>
      <c r="W65" s="8">
        <f t="shared" si="16"/>
        <v>0.31578947368421051</v>
      </c>
      <c r="X65" s="6">
        <f t="shared" si="17"/>
        <v>-0.25020000000000009</v>
      </c>
      <c r="Y65" s="5">
        <f t="shared" si="18"/>
        <v>-1</v>
      </c>
      <c r="Z65" s="5">
        <v>0</v>
      </c>
      <c r="AA65" s="7">
        <f t="shared" si="19"/>
        <v>-0.88999999999999968</v>
      </c>
      <c r="AB65" s="5">
        <f t="shared" si="20"/>
        <v>-5</v>
      </c>
      <c r="AC65" s="6">
        <f t="shared" si="21"/>
        <v>-1.5</v>
      </c>
      <c r="AD65" s="5">
        <f t="shared" si="22"/>
        <v>-1</v>
      </c>
      <c r="AE65" s="4">
        <f t="shared" si="23"/>
        <v>0.13107511045655371</v>
      </c>
    </row>
    <row r="66" spans="1:31">
      <c r="A66" s="11">
        <v>46125</v>
      </c>
      <c r="B66" s="9" t="s">
        <v>122</v>
      </c>
      <c r="C66" s="7">
        <v>-0.06</v>
      </c>
      <c r="D66" s="9" t="s">
        <v>129</v>
      </c>
      <c r="E66" s="7">
        <v>6.71</v>
      </c>
      <c r="F66" s="5">
        <v>2</v>
      </c>
      <c r="G66" s="6">
        <v>0.61399999999999999</v>
      </c>
      <c r="H66" s="5">
        <f t="shared" si="12"/>
        <v>2</v>
      </c>
      <c r="I66" s="10">
        <v>14</v>
      </c>
      <c r="J66" s="5">
        <v>0</v>
      </c>
      <c r="K66" s="6">
        <f t="shared" si="13"/>
        <v>0</v>
      </c>
      <c r="L66" s="9" t="s">
        <v>128</v>
      </c>
      <c r="M66" s="7">
        <v>6.77</v>
      </c>
      <c r="N66" s="5">
        <v>2</v>
      </c>
      <c r="O66" s="6">
        <v>0.31430000000000002</v>
      </c>
      <c r="P66" s="5">
        <f t="shared" si="14"/>
        <v>0</v>
      </c>
      <c r="Q66" s="10">
        <v>2</v>
      </c>
      <c r="R66" s="5">
        <v>9</v>
      </c>
      <c r="S66" s="6">
        <f t="shared" si="15"/>
        <v>3</v>
      </c>
      <c r="T66" s="9" t="s">
        <v>127</v>
      </c>
      <c r="U66" s="5">
        <v>12</v>
      </c>
      <c r="V66" s="5">
        <v>2</v>
      </c>
      <c r="W66" s="8">
        <f t="shared" si="16"/>
        <v>0.8571428571428571</v>
      </c>
      <c r="X66" s="6">
        <f t="shared" si="17"/>
        <v>0.29969999999999997</v>
      </c>
      <c r="Y66" s="5">
        <f t="shared" si="18"/>
        <v>2</v>
      </c>
      <c r="Z66" s="5">
        <v>1</v>
      </c>
      <c r="AA66" s="7">
        <f t="shared" si="19"/>
        <v>-5.9999999999999609E-2</v>
      </c>
      <c r="AB66" s="5">
        <f t="shared" si="20"/>
        <v>0</v>
      </c>
      <c r="AC66" s="6">
        <f t="shared" si="21"/>
        <v>-3</v>
      </c>
      <c r="AD66" s="5">
        <f t="shared" si="22"/>
        <v>1</v>
      </c>
      <c r="AE66" s="4">
        <f t="shared" si="23"/>
        <v>8.8626292466764574E-3</v>
      </c>
    </row>
    <row r="67" spans="1:31">
      <c r="A67" s="11">
        <v>46125</v>
      </c>
      <c r="B67" s="9" t="s">
        <v>118</v>
      </c>
      <c r="C67" s="7">
        <v>-0.34</v>
      </c>
      <c r="D67" s="9" t="s">
        <v>110</v>
      </c>
      <c r="E67" s="7">
        <v>6.87</v>
      </c>
      <c r="F67" s="5">
        <v>0</v>
      </c>
      <c r="G67" s="6">
        <v>0.64710000000000001</v>
      </c>
      <c r="H67" s="5">
        <f t="shared" ref="H67:H98" si="24">IF(G67&lt;0.4,0,IF(G67&lt;=0.6,1,2))</f>
        <v>2</v>
      </c>
      <c r="I67" s="10">
        <v>5</v>
      </c>
      <c r="J67" s="5">
        <v>2</v>
      </c>
      <c r="K67" s="6">
        <f t="shared" ref="K67:K98" si="25">J67/(1+I67)</f>
        <v>0.33333333333333331</v>
      </c>
      <c r="L67" s="9" t="s">
        <v>103</v>
      </c>
      <c r="M67" s="7">
        <v>7.21</v>
      </c>
      <c r="N67" s="5">
        <v>0</v>
      </c>
      <c r="O67" s="6">
        <v>0.36730000000000002</v>
      </c>
      <c r="P67" s="5">
        <f t="shared" ref="P67:P98" si="26">IF(O67&lt;0.4,0,IF(O67&lt;=0.6,1,2))</f>
        <v>0</v>
      </c>
      <c r="Q67" s="10">
        <v>2</v>
      </c>
      <c r="R67" s="5">
        <v>6</v>
      </c>
      <c r="S67" s="6">
        <f t="shared" ref="S67:S98" si="27">R67/(1+Q67)</f>
        <v>2</v>
      </c>
      <c r="T67" s="9" t="s">
        <v>126</v>
      </c>
      <c r="U67" s="5">
        <v>16</v>
      </c>
      <c r="V67" s="5">
        <v>15</v>
      </c>
      <c r="W67" s="8">
        <f t="shared" ref="W67:W98" si="28">U67/(U67+V67)</f>
        <v>0.5161290322580645</v>
      </c>
      <c r="X67" s="6">
        <f t="shared" ref="X67:X98" si="29">G67-O67</f>
        <v>0.27979999999999999</v>
      </c>
      <c r="Y67" s="5">
        <f t="shared" ref="Y67:Y98" si="30">H67-P67</f>
        <v>2</v>
      </c>
      <c r="Z67" s="5">
        <v>1</v>
      </c>
      <c r="AA67" s="7">
        <f t="shared" ref="AA67:AA98" si="31">E67-M67</f>
        <v>-0.33999999999999986</v>
      </c>
      <c r="AB67" s="5">
        <f t="shared" ref="AB67:AB98" si="32">F67-N67</f>
        <v>0</v>
      </c>
      <c r="AC67" s="6">
        <f t="shared" ref="AC67:AC98" si="33">K67-S67</f>
        <v>-1.6666666666666667</v>
      </c>
      <c r="AD67" s="5">
        <f t="shared" ref="AD67:AD98" si="34">SIGN(Y67)</f>
        <v>1</v>
      </c>
      <c r="AE67" s="4">
        <f t="shared" ref="AE67:AE98" si="35">ABS(AA67)/M67</f>
        <v>4.7156726768377233E-2</v>
      </c>
    </row>
    <row r="68" spans="1:31">
      <c r="A68" s="11">
        <v>46125</v>
      </c>
      <c r="B68" s="9" t="s">
        <v>125</v>
      </c>
      <c r="C68" s="7">
        <v>-0.56000000000000005</v>
      </c>
      <c r="D68" s="9" t="s">
        <v>107</v>
      </c>
      <c r="E68" s="7">
        <v>5.63</v>
      </c>
      <c r="F68" s="5">
        <v>0</v>
      </c>
      <c r="G68" s="6">
        <v>0.40739999999999998</v>
      </c>
      <c r="H68" s="5">
        <f t="shared" si="24"/>
        <v>1</v>
      </c>
      <c r="I68" s="10">
        <v>5</v>
      </c>
      <c r="J68" s="5">
        <v>4</v>
      </c>
      <c r="K68" s="6">
        <f t="shared" si="25"/>
        <v>0.66666666666666663</v>
      </c>
      <c r="L68" s="9" t="s">
        <v>124</v>
      </c>
      <c r="M68" s="7">
        <v>6.19</v>
      </c>
      <c r="N68" s="5">
        <v>0</v>
      </c>
      <c r="O68" s="6">
        <v>0.23400000000000001</v>
      </c>
      <c r="P68" s="5">
        <f t="shared" si="26"/>
        <v>0</v>
      </c>
      <c r="Q68" s="10">
        <v>4</v>
      </c>
      <c r="R68" s="5">
        <v>2</v>
      </c>
      <c r="S68" s="6">
        <f t="shared" si="27"/>
        <v>0.4</v>
      </c>
      <c r="T68" s="9" t="s">
        <v>123</v>
      </c>
      <c r="U68" s="5">
        <v>15</v>
      </c>
      <c r="V68" s="5">
        <v>18</v>
      </c>
      <c r="W68" s="8">
        <f t="shared" si="28"/>
        <v>0.45454545454545453</v>
      </c>
      <c r="X68" s="6">
        <f t="shared" si="29"/>
        <v>0.17339999999999997</v>
      </c>
      <c r="Y68" s="5">
        <f t="shared" si="30"/>
        <v>1</v>
      </c>
      <c r="Z68" s="5">
        <v>1</v>
      </c>
      <c r="AA68" s="7">
        <f t="shared" si="31"/>
        <v>-0.5600000000000005</v>
      </c>
      <c r="AB68" s="5">
        <f t="shared" si="32"/>
        <v>0</v>
      </c>
      <c r="AC68" s="6">
        <f t="shared" si="33"/>
        <v>0.26666666666666661</v>
      </c>
      <c r="AD68" s="5">
        <f t="shared" si="34"/>
        <v>1</v>
      </c>
      <c r="AE68" s="4">
        <f t="shared" si="35"/>
        <v>9.0468497576736751E-2</v>
      </c>
    </row>
    <row r="69" spans="1:31">
      <c r="A69" s="11">
        <v>46125</v>
      </c>
      <c r="B69" s="9" t="s">
        <v>122</v>
      </c>
      <c r="C69" s="7">
        <v>-0.37</v>
      </c>
      <c r="D69" s="9" t="s">
        <v>121</v>
      </c>
      <c r="E69" s="7">
        <v>6.1</v>
      </c>
      <c r="F69" s="5">
        <v>2</v>
      </c>
      <c r="G69" s="6">
        <v>0.60419999999999996</v>
      </c>
      <c r="H69" s="5">
        <f t="shared" si="24"/>
        <v>2</v>
      </c>
      <c r="I69" s="10">
        <v>4</v>
      </c>
      <c r="J69" s="5">
        <v>4</v>
      </c>
      <c r="K69" s="6">
        <f t="shared" si="25"/>
        <v>0.8</v>
      </c>
      <c r="L69" s="9" t="s">
        <v>120</v>
      </c>
      <c r="M69" s="7">
        <v>6.47</v>
      </c>
      <c r="N69" s="5">
        <v>0</v>
      </c>
      <c r="O69" s="6">
        <v>0.26</v>
      </c>
      <c r="P69" s="5">
        <f t="shared" si="26"/>
        <v>0</v>
      </c>
      <c r="Q69" s="10">
        <v>14</v>
      </c>
      <c r="R69" s="5">
        <v>0</v>
      </c>
      <c r="S69" s="6">
        <f t="shared" si="27"/>
        <v>0</v>
      </c>
      <c r="T69" s="9" t="s">
        <v>119</v>
      </c>
      <c r="U69" s="5">
        <v>4</v>
      </c>
      <c r="V69" s="5">
        <v>12</v>
      </c>
      <c r="W69" s="8">
        <f t="shared" si="28"/>
        <v>0.25</v>
      </c>
      <c r="X69" s="6">
        <f t="shared" si="29"/>
        <v>0.34419999999999995</v>
      </c>
      <c r="Y69" s="5">
        <f t="shared" si="30"/>
        <v>2</v>
      </c>
      <c r="Z69" s="5">
        <v>0</v>
      </c>
      <c r="AA69" s="7">
        <f t="shared" si="31"/>
        <v>-0.37000000000000011</v>
      </c>
      <c r="AB69" s="5">
        <f t="shared" si="32"/>
        <v>2</v>
      </c>
      <c r="AC69" s="6">
        <f t="shared" si="33"/>
        <v>0.8</v>
      </c>
      <c r="AD69" s="5">
        <f t="shared" si="34"/>
        <v>1</v>
      </c>
      <c r="AE69" s="4">
        <f t="shared" si="35"/>
        <v>5.7187017001545611E-2</v>
      </c>
    </row>
    <row r="70" spans="1:31">
      <c r="A70" s="11">
        <v>46125</v>
      </c>
      <c r="B70" s="9" t="s">
        <v>118</v>
      </c>
      <c r="C70" s="7">
        <v>-0.49</v>
      </c>
      <c r="D70" s="9" t="s">
        <v>26</v>
      </c>
      <c r="E70" s="7">
        <v>7.49</v>
      </c>
      <c r="F70" s="5">
        <v>0</v>
      </c>
      <c r="G70" s="6">
        <v>0.65959999999999996</v>
      </c>
      <c r="H70" s="5">
        <f t="shared" si="24"/>
        <v>2</v>
      </c>
      <c r="I70" s="10">
        <v>7</v>
      </c>
      <c r="J70" s="5">
        <v>2</v>
      </c>
      <c r="K70" s="6">
        <f t="shared" si="25"/>
        <v>0.25</v>
      </c>
      <c r="L70" s="9" t="s">
        <v>117</v>
      </c>
      <c r="M70" s="7">
        <v>7.98</v>
      </c>
      <c r="N70" s="5">
        <v>1</v>
      </c>
      <c r="O70" s="6">
        <v>0.78259999999999996</v>
      </c>
      <c r="P70" s="5">
        <f t="shared" si="26"/>
        <v>2</v>
      </c>
      <c r="Q70" s="10">
        <v>4</v>
      </c>
      <c r="R70" s="5">
        <v>4</v>
      </c>
      <c r="S70" s="6">
        <f t="shared" si="27"/>
        <v>0.8</v>
      </c>
      <c r="T70" s="9" t="s">
        <v>116</v>
      </c>
      <c r="U70" s="5">
        <v>5</v>
      </c>
      <c r="V70" s="5">
        <v>12</v>
      </c>
      <c r="W70" s="8">
        <f t="shared" si="28"/>
        <v>0.29411764705882354</v>
      </c>
      <c r="X70" s="6">
        <f t="shared" si="29"/>
        <v>-0.123</v>
      </c>
      <c r="Y70" s="5">
        <f t="shared" si="30"/>
        <v>0</v>
      </c>
      <c r="Z70" s="5">
        <v>0</v>
      </c>
      <c r="AA70" s="7">
        <f t="shared" si="31"/>
        <v>-0.49000000000000021</v>
      </c>
      <c r="AB70" s="5">
        <f t="shared" si="32"/>
        <v>-1</v>
      </c>
      <c r="AC70" s="6">
        <f t="shared" si="33"/>
        <v>-0.55000000000000004</v>
      </c>
      <c r="AD70" s="5">
        <f t="shared" si="34"/>
        <v>0</v>
      </c>
      <c r="AE70" s="4">
        <f t="shared" si="35"/>
        <v>6.1403508771929849E-2</v>
      </c>
    </row>
    <row r="71" spans="1:31">
      <c r="A71" s="11">
        <v>46126</v>
      </c>
      <c r="B71" s="9" t="s">
        <v>108</v>
      </c>
      <c r="C71" s="7">
        <v>-0.54</v>
      </c>
      <c r="D71" s="9" t="s">
        <v>58</v>
      </c>
      <c r="E71" s="7">
        <v>4.79</v>
      </c>
      <c r="F71" s="5">
        <v>0</v>
      </c>
      <c r="G71" s="6">
        <v>0.47439999999999999</v>
      </c>
      <c r="H71" s="5">
        <f t="shared" si="24"/>
        <v>1</v>
      </c>
      <c r="I71" s="10">
        <v>6</v>
      </c>
      <c r="J71" s="5">
        <v>2</v>
      </c>
      <c r="K71" s="6">
        <f t="shared" si="25"/>
        <v>0.2857142857142857</v>
      </c>
      <c r="L71" s="9" t="s">
        <v>115</v>
      </c>
      <c r="M71" s="7">
        <v>5.33</v>
      </c>
      <c r="N71" s="5">
        <v>0</v>
      </c>
      <c r="O71" s="6">
        <v>0.67859999999999998</v>
      </c>
      <c r="P71" s="5">
        <f t="shared" si="26"/>
        <v>2</v>
      </c>
      <c r="Q71" s="10">
        <v>5</v>
      </c>
      <c r="R71" s="5">
        <v>4</v>
      </c>
      <c r="S71" s="6">
        <f t="shared" si="27"/>
        <v>0.66666666666666663</v>
      </c>
      <c r="T71" s="9" t="s">
        <v>31</v>
      </c>
      <c r="U71" s="5">
        <v>6</v>
      </c>
      <c r="V71" s="5">
        <v>12</v>
      </c>
      <c r="W71" s="8">
        <f t="shared" si="28"/>
        <v>0.33333333333333331</v>
      </c>
      <c r="X71" s="6">
        <f t="shared" si="29"/>
        <v>-0.20419999999999999</v>
      </c>
      <c r="Y71" s="5">
        <f t="shared" si="30"/>
        <v>-1</v>
      </c>
      <c r="Z71" s="5">
        <v>0</v>
      </c>
      <c r="AA71" s="7">
        <f t="shared" si="31"/>
        <v>-0.54</v>
      </c>
      <c r="AB71" s="5">
        <f t="shared" si="32"/>
        <v>0</v>
      </c>
      <c r="AC71" s="6">
        <f t="shared" si="33"/>
        <v>-0.38095238095238093</v>
      </c>
      <c r="AD71" s="5">
        <f t="shared" si="34"/>
        <v>-1</v>
      </c>
      <c r="AE71" s="4">
        <f t="shared" si="35"/>
        <v>0.10131332082551596</v>
      </c>
    </row>
    <row r="72" spans="1:31">
      <c r="A72" s="11">
        <v>46126</v>
      </c>
      <c r="B72" s="9" t="s">
        <v>105</v>
      </c>
      <c r="C72" s="7">
        <v>-0.22</v>
      </c>
      <c r="D72" s="9" t="s">
        <v>114</v>
      </c>
      <c r="E72" s="7">
        <v>7.91</v>
      </c>
      <c r="F72" s="5">
        <v>5</v>
      </c>
      <c r="G72" s="6">
        <v>0.85709999999999997</v>
      </c>
      <c r="H72" s="5">
        <f t="shared" si="24"/>
        <v>2</v>
      </c>
      <c r="I72" s="10">
        <v>4</v>
      </c>
      <c r="J72" s="5">
        <v>4</v>
      </c>
      <c r="K72" s="6">
        <f t="shared" si="25"/>
        <v>0.8</v>
      </c>
      <c r="L72" s="9" t="s">
        <v>18</v>
      </c>
      <c r="M72" s="7">
        <v>8.1300000000000008</v>
      </c>
      <c r="N72" s="5">
        <v>2</v>
      </c>
      <c r="O72" s="6">
        <v>0.71699999999999997</v>
      </c>
      <c r="P72" s="5">
        <f t="shared" si="26"/>
        <v>2</v>
      </c>
      <c r="Q72" s="10">
        <v>14</v>
      </c>
      <c r="R72" s="5">
        <v>0</v>
      </c>
      <c r="S72" s="6">
        <f t="shared" si="27"/>
        <v>0</v>
      </c>
      <c r="T72" s="9" t="s">
        <v>113</v>
      </c>
      <c r="U72" s="5">
        <v>10</v>
      </c>
      <c r="V72" s="5">
        <v>13</v>
      </c>
      <c r="W72" s="8">
        <f t="shared" si="28"/>
        <v>0.43478260869565216</v>
      </c>
      <c r="X72" s="6">
        <f t="shared" si="29"/>
        <v>0.1401</v>
      </c>
      <c r="Y72" s="5">
        <f t="shared" si="30"/>
        <v>0</v>
      </c>
      <c r="Z72" s="5">
        <v>0</v>
      </c>
      <c r="AA72" s="7">
        <f t="shared" si="31"/>
        <v>-0.22000000000000064</v>
      </c>
      <c r="AB72" s="5">
        <f t="shared" si="32"/>
        <v>3</v>
      </c>
      <c r="AC72" s="6">
        <f t="shared" si="33"/>
        <v>0.8</v>
      </c>
      <c r="AD72" s="5">
        <f t="shared" si="34"/>
        <v>0</v>
      </c>
      <c r="AE72" s="4">
        <f t="shared" si="35"/>
        <v>2.7060270602706105E-2</v>
      </c>
    </row>
    <row r="73" spans="1:31">
      <c r="A73" s="11">
        <v>46126</v>
      </c>
      <c r="B73" s="9" t="s">
        <v>112</v>
      </c>
      <c r="C73" s="7">
        <v>-0.37</v>
      </c>
      <c r="D73" s="9" t="s">
        <v>111</v>
      </c>
      <c r="E73" s="7">
        <v>6.5</v>
      </c>
      <c r="F73" s="5">
        <v>1</v>
      </c>
      <c r="G73" s="6">
        <v>0.47539999999999999</v>
      </c>
      <c r="H73" s="5">
        <f t="shared" si="24"/>
        <v>1</v>
      </c>
      <c r="I73" s="10">
        <v>5</v>
      </c>
      <c r="J73" s="5">
        <v>1</v>
      </c>
      <c r="K73" s="6">
        <f t="shared" si="25"/>
        <v>0.16666666666666666</v>
      </c>
      <c r="L73" s="9" t="s">
        <v>110</v>
      </c>
      <c r="M73" s="7">
        <v>6.87</v>
      </c>
      <c r="N73" s="5">
        <v>1</v>
      </c>
      <c r="O73" s="6">
        <v>0.55220000000000002</v>
      </c>
      <c r="P73" s="5">
        <f t="shared" si="26"/>
        <v>1</v>
      </c>
      <c r="Q73" s="10">
        <v>1</v>
      </c>
      <c r="R73" s="5">
        <v>3</v>
      </c>
      <c r="S73" s="6">
        <f t="shared" si="27"/>
        <v>1.5</v>
      </c>
      <c r="T73" s="9" t="s">
        <v>109</v>
      </c>
      <c r="U73" s="5">
        <v>11</v>
      </c>
      <c r="V73" s="5">
        <v>15</v>
      </c>
      <c r="W73" s="8">
        <f t="shared" si="28"/>
        <v>0.42307692307692307</v>
      </c>
      <c r="X73" s="6">
        <f t="shared" si="29"/>
        <v>-7.6800000000000035E-2</v>
      </c>
      <c r="Y73" s="5">
        <f t="shared" si="30"/>
        <v>0</v>
      </c>
      <c r="Z73" s="5">
        <v>0</v>
      </c>
      <c r="AA73" s="7">
        <f t="shared" si="31"/>
        <v>-0.37000000000000011</v>
      </c>
      <c r="AB73" s="5">
        <f t="shared" si="32"/>
        <v>0</v>
      </c>
      <c r="AC73" s="6">
        <f t="shared" si="33"/>
        <v>-1.3333333333333333</v>
      </c>
      <c r="AD73" s="5">
        <f t="shared" si="34"/>
        <v>0</v>
      </c>
      <c r="AE73" s="4">
        <f t="shared" si="35"/>
        <v>5.3857350800582258E-2</v>
      </c>
    </row>
    <row r="74" spans="1:31">
      <c r="A74" s="11">
        <v>46126</v>
      </c>
      <c r="B74" s="9" t="s">
        <v>108</v>
      </c>
      <c r="C74" s="7">
        <v>-0.68</v>
      </c>
      <c r="D74" s="9" t="s">
        <v>107</v>
      </c>
      <c r="E74" s="7">
        <v>5.63</v>
      </c>
      <c r="F74" s="5">
        <v>1</v>
      </c>
      <c r="G74" s="6">
        <v>0.26529999999999998</v>
      </c>
      <c r="H74" s="5">
        <f t="shared" si="24"/>
        <v>0</v>
      </c>
      <c r="I74" s="10">
        <v>1</v>
      </c>
      <c r="J74" s="5">
        <v>3</v>
      </c>
      <c r="K74" s="6">
        <f t="shared" si="25"/>
        <v>1.5</v>
      </c>
      <c r="L74" s="9" t="s">
        <v>61</v>
      </c>
      <c r="M74" s="7">
        <v>6.31</v>
      </c>
      <c r="N74" s="5">
        <v>0</v>
      </c>
      <c r="O74" s="6">
        <v>0.30909999999999999</v>
      </c>
      <c r="P74" s="5">
        <f t="shared" si="26"/>
        <v>0</v>
      </c>
      <c r="Q74" s="10">
        <v>5</v>
      </c>
      <c r="R74" s="5">
        <v>3</v>
      </c>
      <c r="S74" s="6">
        <f t="shared" si="27"/>
        <v>0.5</v>
      </c>
      <c r="T74" s="9" t="s">
        <v>106</v>
      </c>
      <c r="U74" s="5">
        <v>4</v>
      </c>
      <c r="V74" s="5">
        <v>12</v>
      </c>
      <c r="W74" s="8">
        <f t="shared" si="28"/>
        <v>0.25</v>
      </c>
      <c r="X74" s="6">
        <f t="shared" si="29"/>
        <v>-4.3800000000000006E-2</v>
      </c>
      <c r="Y74" s="5">
        <f t="shared" si="30"/>
        <v>0</v>
      </c>
      <c r="Z74" s="5">
        <v>0</v>
      </c>
      <c r="AA74" s="7">
        <f t="shared" si="31"/>
        <v>-0.67999999999999972</v>
      </c>
      <c r="AB74" s="5">
        <f t="shared" si="32"/>
        <v>1</v>
      </c>
      <c r="AC74" s="6">
        <f t="shared" si="33"/>
        <v>1</v>
      </c>
      <c r="AD74" s="5">
        <f t="shared" si="34"/>
        <v>0</v>
      </c>
      <c r="AE74" s="4">
        <f t="shared" si="35"/>
        <v>0.10776545166402532</v>
      </c>
    </row>
    <row r="75" spans="1:31">
      <c r="A75" s="11">
        <v>46126</v>
      </c>
      <c r="B75" s="9" t="s">
        <v>105</v>
      </c>
      <c r="C75" s="7">
        <v>-0.88</v>
      </c>
      <c r="D75" s="9" t="s">
        <v>23</v>
      </c>
      <c r="E75" s="7">
        <v>7.07</v>
      </c>
      <c r="F75" s="5">
        <v>8</v>
      </c>
      <c r="G75" s="6">
        <v>0.82220000000000004</v>
      </c>
      <c r="H75" s="5">
        <f t="shared" si="24"/>
        <v>2</v>
      </c>
      <c r="I75" s="10">
        <v>4</v>
      </c>
      <c r="J75" s="5">
        <v>4</v>
      </c>
      <c r="K75" s="6">
        <f t="shared" si="25"/>
        <v>0.8</v>
      </c>
      <c r="L75" s="9" t="s">
        <v>1</v>
      </c>
      <c r="M75" s="7">
        <v>7.95</v>
      </c>
      <c r="N75" s="5">
        <v>3</v>
      </c>
      <c r="O75" s="6">
        <v>0.60470000000000002</v>
      </c>
      <c r="P75" s="5">
        <f t="shared" si="26"/>
        <v>2</v>
      </c>
      <c r="Q75" s="10">
        <v>3</v>
      </c>
      <c r="R75" s="5">
        <v>3</v>
      </c>
      <c r="S75" s="6">
        <f t="shared" si="27"/>
        <v>0.75</v>
      </c>
      <c r="T75" s="9" t="s">
        <v>104</v>
      </c>
      <c r="U75" s="5">
        <v>10</v>
      </c>
      <c r="V75" s="5">
        <v>9</v>
      </c>
      <c r="W75" s="8">
        <f t="shared" si="28"/>
        <v>0.52631578947368418</v>
      </c>
      <c r="X75" s="6">
        <f t="shared" si="29"/>
        <v>0.21750000000000003</v>
      </c>
      <c r="Y75" s="5">
        <f t="shared" si="30"/>
        <v>0</v>
      </c>
      <c r="Z75" s="5">
        <v>0</v>
      </c>
      <c r="AA75" s="7">
        <f t="shared" si="31"/>
        <v>-0.87999999999999989</v>
      </c>
      <c r="AB75" s="5">
        <f t="shared" si="32"/>
        <v>5</v>
      </c>
      <c r="AC75" s="6">
        <f t="shared" si="33"/>
        <v>5.0000000000000044E-2</v>
      </c>
      <c r="AD75" s="5">
        <f t="shared" si="34"/>
        <v>0</v>
      </c>
      <c r="AE75" s="4">
        <f t="shared" si="35"/>
        <v>0.11069182389937106</v>
      </c>
    </row>
    <row r="76" spans="1:31">
      <c r="A76" s="11">
        <v>46127</v>
      </c>
      <c r="B76" s="9" t="s">
        <v>95</v>
      </c>
      <c r="C76" s="7">
        <v>-0.31</v>
      </c>
      <c r="D76" s="9" t="s">
        <v>103</v>
      </c>
      <c r="E76" s="7">
        <v>7.21</v>
      </c>
      <c r="F76" s="5">
        <v>0</v>
      </c>
      <c r="G76" s="6">
        <v>0.4098</v>
      </c>
      <c r="H76" s="5">
        <f t="shared" si="24"/>
        <v>1</v>
      </c>
      <c r="I76" s="10">
        <v>2</v>
      </c>
      <c r="J76" s="5">
        <v>7</v>
      </c>
      <c r="K76" s="6">
        <f t="shared" si="25"/>
        <v>2.3333333333333335</v>
      </c>
      <c r="L76" s="9" t="s">
        <v>9</v>
      </c>
      <c r="M76" s="7">
        <v>7.52</v>
      </c>
      <c r="N76" s="5">
        <v>1</v>
      </c>
      <c r="O76" s="6">
        <v>0.6724</v>
      </c>
      <c r="P76" s="5">
        <f t="shared" si="26"/>
        <v>2</v>
      </c>
      <c r="Q76" s="10">
        <v>5</v>
      </c>
      <c r="R76" s="5">
        <v>1</v>
      </c>
      <c r="S76" s="6">
        <f t="shared" si="27"/>
        <v>0.16666666666666666</v>
      </c>
      <c r="T76" s="9" t="s">
        <v>102</v>
      </c>
      <c r="U76" s="5">
        <v>4</v>
      </c>
      <c r="V76" s="5">
        <v>12</v>
      </c>
      <c r="W76" s="8">
        <f t="shared" si="28"/>
        <v>0.25</v>
      </c>
      <c r="X76" s="6">
        <f t="shared" si="29"/>
        <v>-0.2626</v>
      </c>
      <c r="Y76" s="5">
        <f t="shared" si="30"/>
        <v>-1</v>
      </c>
      <c r="Z76" s="5">
        <v>0</v>
      </c>
      <c r="AA76" s="7">
        <f t="shared" si="31"/>
        <v>-0.30999999999999961</v>
      </c>
      <c r="AB76" s="5">
        <f t="shared" si="32"/>
        <v>-1</v>
      </c>
      <c r="AC76" s="6">
        <f t="shared" si="33"/>
        <v>2.166666666666667</v>
      </c>
      <c r="AD76" s="5">
        <f t="shared" si="34"/>
        <v>-1</v>
      </c>
      <c r="AE76" s="4">
        <f t="shared" si="35"/>
        <v>4.1223404255319097E-2</v>
      </c>
    </row>
    <row r="77" spans="1:31">
      <c r="A77" s="11">
        <v>46127</v>
      </c>
      <c r="B77" s="9" t="s">
        <v>98</v>
      </c>
      <c r="C77" s="7">
        <v>-0.26</v>
      </c>
      <c r="D77" s="9" t="s">
        <v>33</v>
      </c>
      <c r="E77" s="7">
        <v>5.48</v>
      </c>
      <c r="F77" s="5">
        <v>1</v>
      </c>
      <c r="G77" s="6">
        <v>0.4355</v>
      </c>
      <c r="H77" s="5">
        <f t="shared" si="24"/>
        <v>1</v>
      </c>
      <c r="I77" s="10">
        <v>5</v>
      </c>
      <c r="J77" s="5">
        <v>1</v>
      </c>
      <c r="K77" s="6">
        <f t="shared" si="25"/>
        <v>0.16666666666666666</v>
      </c>
      <c r="L77" s="9" t="s">
        <v>101</v>
      </c>
      <c r="M77" s="7">
        <v>5.74</v>
      </c>
      <c r="N77" s="5">
        <v>0</v>
      </c>
      <c r="O77" s="6">
        <v>0.61670000000000003</v>
      </c>
      <c r="P77" s="5">
        <f t="shared" si="26"/>
        <v>2</v>
      </c>
      <c r="Q77" s="10">
        <v>5</v>
      </c>
      <c r="R77" s="5">
        <v>1</v>
      </c>
      <c r="S77" s="6">
        <f t="shared" si="27"/>
        <v>0.16666666666666666</v>
      </c>
      <c r="T77" s="9" t="s">
        <v>96</v>
      </c>
      <c r="U77" s="5">
        <v>12</v>
      </c>
      <c r="V77" s="5">
        <v>8</v>
      </c>
      <c r="W77" s="8">
        <f t="shared" si="28"/>
        <v>0.6</v>
      </c>
      <c r="X77" s="6">
        <f t="shared" si="29"/>
        <v>-0.18120000000000003</v>
      </c>
      <c r="Y77" s="5">
        <f t="shared" si="30"/>
        <v>-1</v>
      </c>
      <c r="Z77" s="5">
        <v>1</v>
      </c>
      <c r="AA77" s="7">
        <f t="shared" si="31"/>
        <v>-0.25999999999999979</v>
      </c>
      <c r="AB77" s="5">
        <f t="shared" si="32"/>
        <v>1</v>
      </c>
      <c r="AC77" s="6">
        <f t="shared" si="33"/>
        <v>0</v>
      </c>
      <c r="AD77" s="5">
        <f t="shared" si="34"/>
        <v>-1</v>
      </c>
      <c r="AE77" s="4">
        <f t="shared" si="35"/>
        <v>4.5296167247386721E-2</v>
      </c>
    </row>
    <row r="78" spans="1:31">
      <c r="A78" s="11">
        <v>46127</v>
      </c>
      <c r="B78" s="9" t="s">
        <v>100</v>
      </c>
      <c r="C78" s="7">
        <v>-0.03</v>
      </c>
      <c r="D78" s="9" t="s">
        <v>70</v>
      </c>
      <c r="E78" s="7">
        <v>7.81</v>
      </c>
      <c r="F78" s="5">
        <v>2</v>
      </c>
      <c r="G78" s="6">
        <v>0.64290000000000003</v>
      </c>
      <c r="H78" s="5">
        <f t="shared" si="24"/>
        <v>2</v>
      </c>
      <c r="I78" s="10">
        <v>1</v>
      </c>
      <c r="J78" s="5">
        <v>1</v>
      </c>
      <c r="K78" s="6">
        <f t="shared" si="25"/>
        <v>0.5</v>
      </c>
      <c r="L78" s="9" t="s">
        <v>42</v>
      </c>
      <c r="M78" s="7">
        <v>7.84</v>
      </c>
      <c r="N78" s="5">
        <v>2</v>
      </c>
      <c r="O78" s="6">
        <v>0.60980000000000001</v>
      </c>
      <c r="P78" s="5">
        <f t="shared" si="26"/>
        <v>2</v>
      </c>
      <c r="Q78" s="10">
        <v>2</v>
      </c>
      <c r="R78" s="5">
        <v>3</v>
      </c>
      <c r="S78" s="6">
        <f t="shared" si="27"/>
        <v>1</v>
      </c>
      <c r="T78" s="9" t="s">
        <v>99</v>
      </c>
      <c r="U78" s="5">
        <v>2</v>
      </c>
      <c r="V78" s="5">
        <v>12</v>
      </c>
      <c r="W78" s="8">
        <f t="shared" si="28"/>
        <v>0.14285714285714285</v>
      </c>
      <c r="X78" s="6">
        <f t="shared" si="29"/>
        <v>3.3100000000000018E-2</v>
      </c>
      <c r="Y78" s="5">
        <f t="shared" si="30"/>
        <v>0</v>
      </c>
      <c r="Z78" s="5">
        <v>0</v>
      </c>
      <c r="AA78" s="7">
        <f t="shared" si="31"/>
        <v>-3.0000000000000249E-2</v>
      </c>
      <c r="AB78" s="5">
        <f t="shared" si="32"/>
        <v>0</v>
      </c>
      <c r="AC78" s="6">
        <f t="shared" si="33"/>
        <v>-0.5</v>
      </c>
      <c r="AD78" s="5">
        <f t="shared" si="34"/>
        <v>0</v>
      </c>
      <c r="AE78" s="4">
        <f t="shared" si="35"/>
        <v>3.82653061224493E-3</v>
      </c>
    </row>
    <row r="79" spans="1:31">
      <c r="A79" s="11">
        <v>46127</v>
      </c>
      <c r="B79" s="9" t="s">
        <v>98</v>
      </c>
      <c r="C79" s="7">
        <v>-0.63</v>
      </c>
      <c r="D79" s="9" t="s">
        <v>97</v>
      </c>
      <c r="E79" s="7">
        <v>7.32</v>
      </c>
      <c r="F79" s="5">
        <v>1</v>
      </c>
      <c r="G79" s="6">
        <v>0.63160000000000005</v>
      </c>
      <c r="H79" s="5">
        <f t="shared" si="24"/>
        <v>2</v>
      </c>
      <c r="I79" s="10">
        <v>5</v>
      </c>
      <c r="J79" s="5">
        <v>1</v>
      </c>
      <c r="K79" s="6">
        <f t="shared" si="25"/>
        <v>0.16666666666666666</v>
      </c>
      <c r="L79" s="9" t="s">
        <v>1</v>
      </c>
      <c r="M79" s="7">
        <v>7.95</v>
      </c>
      <c r="N79" s="5">
        <v>4</v>
      </c>
      <c r="O79" s="6">
        <v>0.4894</v>
      </c>
      <c r="P79" s="5">
        <f t="shared" si="26"/>
        <v>1</v>
      </c>
      <c r="Q79" s="10">
        <v>1</v>
      </c>
      <c r="R79" s="5">
        <v>4</v>
      </c>
      <c r="S79" s="6">
        <f t="shared" si="27"/>
        <v>2</v>
      </c>
      <c r="T79" s="9" t="s">
        <v>96</v>
      </c>
      <c r="U79" s="5">
        <v>8</v>
      </c>
      <c r="V79" s="5">
        <v>12</v>
      </c>
      <c r="W79" s="8">
        <f t="shared" si="28"/>
        <v>0.4</v>
      </c>
      <c r="X79" s="6">
        <f t="shared" si="29"/>
        <v>0.14220000000000005</v>
      </c>
      <c r="Y79" s="5">
        <f t="shared" si="30"/>
        <v>1</v>
      </c>
      <c r="Z79" s="5">
        <v>0</v>
      </c>
      <c r="AA79" s="7">
        <f t="shared" si="31"/>
        <v>-0.62999999999999989</v>
      </c>
      <c r="AB79" s="5">
        <f t="shared" si="32"/>
        <v>-3</v>
      </c>
      <c r="AC79" s="6">
        <f t="shared" si="33"/>
        <v>-1.8333333333333333</v>
      </c>
      <c r="AD79" s="5">
        <f t="shared" si="34"/>
        <v>1</v>
      </c>
      <c r="AE79" s="4">
        <f t="shared" si="35"/>
        <v>7.9245283018867907E-2</v>
      </c>
    </row>
    <row r="80" spans="1:31">
      <c r="A80" s="11">
        <v>46127</v>
      </c>
      <c r="B80" s="9" t="s">
        <v>95</v>
      </c>
      <c r="C80" s="7">
        <v>-0.32</v>
      </c>
      <c r="D80" s="9" t="s">
        <v>94</v>
      </c>
      <c r="E80" s="7">
        <v>9.77</v>
      </c>
      <c r="F80" s="5">
        <v>1</v>
      </c>
      <c r="G80" s="6">
        <v>0.54049999999999998</v>
      </c>
      <c r="H80" s="5">
        <f t="shared" si="24"/>
        <v>1</v>
      </c>
      <c r="I80" s="10">
        <v>6</v>
      </c>
      <c r="J80" s="5">
        <v>1</v>
      </c>
      <c r="K80" s="6">
        <f t="shared" si="25"/>
        <v>0.14285714285714285</v>
      </c>
      <c r="L80" s="9" t="s">
        <v>37</v>
      </c>
      <c r="M80" s="7">
        <v>10.09</v>
      </c>
      <c r="N80" s="5">
        <v>11</v>
      </c>
      <c r="O80" s="6">
        <v>0.59379999999999999</v>
      </c>
      <c r="P80" s="5">
        <f t="shared" si="26"/>
        <v>1</v>
      </c>
      <c r="Q80" s="10">
        <v>2</v>
      </c>
      <c r="R80" s="5">
        <v>3</v>
      </c>
      <c r="S80" s="6">
        <f t="shared" si="27"/>
        <v>1</v>
      </c>
      <c r="T80" s="9" t="s">
        <v>93</v>
      </c>
      <c r="U80" s="5">
        <v>8</v>
      </c>
      <c r="V80" s="5">
        <v>11</v>
      </c>
      <c r="W80" s="8">
        <f t="shared" si="28"/>
        <v>0.42105263157894735</v>
      </c>
      <c r="X80" s="6">
        <f t="shared" si="29"/>
        <v>-5.3300000000000014E-2</v>
      </c>
      <c r="Y80" s="5">
        <f t="shared" si="30"/>
        <v>0</v>
      </c>
      <c r="Z80" s="5">
        <v>0</v>
      </c>
      <c r="AA80" s="7">
        <f t="shared" si="31"/>
        <v>-0.32000000000000028</v>
      </c>
      <c r="AB80" s="5">
        <f t="shared" si="32"/>
        <v>-10</v>
      </c>
      <c r="AC80" s="6">
        <f t="shared" si="33"/>
        <v>-0.85714285714285721</v>
      </c>
      <c r="AD80" s="5">
        <f t="shared" si="34"/>
        <v>0</v>
      </c>
      <c r="AE80" s="4">
        <f t="shared" si="35"/>
        <v>3.1714568880079314E-2</v>
      </c>
    </row>
    <row r="81" spans="1:31">
      <c r="A81" s="11">
        <v>46128</v>
      </c>
      <c r="B81" s="9" t="s">
        <v>92</v>
      </c>
      <c r="C81" s="7">
        <v>-0.54</v>
      </c>
      <c r="D81" s="13" t="s">
        <v>91</v>
      </c>
      <c r="E81" s="7">
        <v>5.85</v>
      </c>
      <c r="F81" s="5">
        <v>0</v>
      </c>
      <c r="G81" s="6">
        <v>0.35</v>
      </c>
      <c r="H81" s="5">
        <f t="shared" si="24"/>
        <v>0</v>
      </c>
      <c r="I81" s="10">
        <v>3</v>
      </c>
      <c r="J81" s="5">
        <v>2</v>
      </c>
      <c r="K81" s="6">
        <f t="shared" si="25"/>
        <v>0.5</v>
      </c>
      <c r="L81" s="9" t="s">
        <v>90</v>
      </c>
      <c r="M81" s="7">
        <v>6.39</v>
      </c>
      <c r="N81" s="5">
        <v>0</v>
      </c>
      <c r="O81" s="6">
        <v>0.5</v>
      </c>
      <c r="P81" s="5">
        <f t="shared" si="26"/>
        <v>1</v>
      </c>
      <c r="Q81" s="10">
        <v>0.5</v>
      </c>
      <c r="R81" s="5">
        <v>5</v>
      </c>
      <c r="S81" s="6">
        <f t="shared" si="27"/>
        <v>3.3333333333333335</v>
      </c>
      <c r="T81" s="12" t="s">
        <v>89</v>
      </c>
      <c r="U81" s="5">
        <v>8</v>
      </c>
      <c r="V81" s="5">
        <v>5</v>
      </c>
      <c r="W81" s="8">
        <f t="shared" si="28"/>
        <v>0.61538461538461542</v>
      </c>
      <c r="X81" s="6">
        <f t="shared" si="29"/>
        <v>-0.15000000000000002</v>
      </c>
      <c r="Y81" s="5">
        <f t="shared" si="30"/>
        <v>-1</v>
      </c>
      <c r="Z81" s="5">
        <v>1</v>
      </c>
      <c r="AA81" s="7">
        <f t="shared" si="31"/>
        <v>-0.54</v>
      </c>
      <c r="AB81" s="5">
        <f t="shared" si="32"/>
        <v>0</v>
      </c>
      <c r="AC81" s="6">
        <f t="shared" si="33"/>
        <v>-2.8333333333333335</v>
      </c>
      <c r="AD81" s="5">
        <f t="shared" si="34"/>
        <v>-1</v>
      </c>
      <c r="AE81" s="4">
        <f t="shared" si="35"/>
        <v>8.4507042253521139E-2</v>
      </c>
    </row>
    <row r="82" spans="1:31">
      <c r="A82" s="11">
        <v>46130</v>
      </c>
      <c r="B82" s="9" t="s">
        <v>87</v>
      </c>
      <c r="C82" s="7">
        <v>-0.79</v>
      </c>
      <c r="D82" s="9" t="s">
        <v>81</v>
      </c>
      <c r="E82" s="7">
        <v>7.16</v>
      </c>
      <c r="F82" s="5">
        <v>0</v>
      </c>
      <c r="G82" s="6">
        <v>0.122</v>
      </c>
      <c r="H82" s="5">
        <f t="shared" si="24"/>
        <v>0</v>
      </c>
      <c r="I82" s="10">
        <v>0.5</v>
      </c>
      <c r="J82" s="5">
        <v>1</v>
      </c>
      <c r="K82" s="6">
        <f t="shared" si="25"/>
        <v>0.66666666666666663</v>
      </c>
      <c r="L82" s="9" t="s">
        <v>1</v>
      </c>
      <c r="M82" s="7">
        <v>7.95</v>
      </c>
      <c r="N82" s="5">
        <v>5</v>
      </c>
      <c r="O82" s="6">
        <v>0.48280000000000001</v>
      </c>
      <c r="P82" s="5">
        <f t="shared" si="26"/>
        <v>1</v>
      </c>
      <c r="Q82" s="10">
        <v>0.5</v>
      </c>
      <c r="R82" s="5">
        <v>6</v>
      </c>
      <c r="S82" s="6">
        <f t="shared" si="27"/>
        <v>4</v>
      </c>
      <c r="T82" s="9" t="s">
        <v>88</v>
      </c>
      <c r="U82" s="5">
        <v>11</v>
      </c>
      <c r="V82" s="5">
        <v>13</v>
      </c>
      <c r="W82" s="8">
        <f t="shared" si="28"/>
        <v>0.45833333333333331</v>
      </c>
      <c r="X82" s="6">
        <f t="shared" si="29"/>
        <v>-0.36080000000000001</v>
      </c>
      <c r="Y82" s="5">
        <f t="shared" si="30"/>
        <v>-1</v>
      </c>
      <c r="Z82" s="5">
        <v>0</v>
      </c>
      <c r="AA82" s="7">
        <f t="shared" si="31"/>
        <v>-0.79</v>
      </c>
      <c r="AB82" s="5">
        <f t="shared" si="32"/>
        <v>-5</v>
      </c>
      <c r="AC82" s="6">
        <f t="shared" si="33"/>
        <v>-3.3333333333333335</v>
      </c>
      <c r="AD82" s="5">
        <f t="shared" si="34"/>
        <v>-1</v>
      </c>
      <c r="AE82" s="4">
        <f t="shared" si="35"/>
        <v>9.9371069182389943E-2</v>
      </c>
    </row>
    <row r="83" spans="1:31">
      <c r="A83" s="11">
        <v>46130</v>
      </c>
      <c r="B83" s="9" t="s">
        <v>87</v>
      </c>
      <c r="C83" s="7">
        <v>-0.27</v>
      </c>
      <c r="D83" s="9" t="s">
        <v>38</v>
      </c>
      <c r="E83" s="7">
        <v>10.18</v>
      </c>
      <c r="F83" s="5">
        <v>3</v>
      </c>
      <c r="G83" s="6">
        <v>0.67269999999999996</v>
      </c>
      <c r="H83" s="5">
        <f t="shared" si="24"/>
        <v>2</v>
      </c>
      <c r="I83" s="10">
        <v>0.5</v>
      </c>
      <c r="J83" s="5">
        <v>3</v>
      </c>
      <c r="K83" s="6">
        <f t="shared" si="25"/>
        <v>2</v>
      </c>
      <c r="L83" s="9" t="s">
        <v>78</v>
      </c>
      <c r="M83" s="7">
        <v>10.45</v>
      </c>
      <c r="N83" s="5">
        <v>5</v>
      </c>
      <c r="O83" s="6">
        <v>0.75</v>
      </c>
      <c r="P83" s="5">
        <f t="shared" si="26"/>
        <v>2</v>
      </c>
      <c r="Q83" s="10">
        <v>0.5</v>
      </c>
      <c r="R83" s="5">
        <v>5</v>
      </c>
      <c r="S83" s="6">
        <f t="shared" si="27"/>
        <v>3.3333333333333335</v>
      </c>
      <c r="T83" s="9" t="s">
        <v>86</v>
      </c>
      <c r="U83" s="5">
        <v>15</v>
      </c>
      <c r="V83" s="5">
        <v>15</v>
      </c>
      <c r="W83" s="8">
        <f t="shared" si="28"/>
        <v>0.5</v>
      </c>
      <c r="X83" s="6">
        <f t="shared" si="29"/>
        <v>-7.7300000000000035E-2</v>
      </c>
      <c r="Y83" s="5">
        <f t="shared" si="30"/>
        <v>0</v>
      </c>
      <c r="Z83" s="5">
        <v>0</v>
      </c>
      <c r="AA83" s="7">
        <f t="shared" si="31"/>
        <v>-0.26999999999999957</v>
      </c>
      <c r="AB83" s="5">
        <f t="shared" si="32"/>
        <v>-2</v>
      </c>
      <c r="AC83" s="6">
        <f t="shared" si="33"/>
        <v>-1.3333333333333335</v>
      </c>
      <c r="AD83" s="5">
        <f t="shared" si="34"/>
        <v>0</v>
      </c>
      <c r="AE83" s="4">
        <f t="shared" si="35"/>
        <v>2.5837320574162641E-2</v>
      </c>
    </row>
    <row r="84" spans="1:31">
      <c r="A84" s="11">
        <v>46131</v>
      </c>
      <c r="B84" s="9" t="s">
        <v>85</v>
      </c>
      <c r="C84" s="7">
        <v>-0.46</v>
      </c>
      <c r="D84" s="9" t="s">
        <v>84</v>
      </c>
      <c r="E84" s="7">
        <v>6.46</v>
      </c>
      <c r="F84" s="5">
        <v>0</v>
      </c>
      <c r="G84" s="6">
        <v>0.66669999999999996</v>
      </c>
      <c r="H84" s="5">
        <f t="shared" si="24"/>
        <v>2</v>
      </c>
      <c r="I84" s="10">
        <v>0.5</v>
      </c>
      <c r="J84" s="5">
        <v>3</v>
      </c>
      <c r="K84" s="6">
        <f t="shared" si="25"/>
        <v>2</v>
      </c>
      <c r="L84" s="9" t="s">
        <v>10</v>
      </c>
      <c r="M84" s="7">
        <v>6.92</v>
      </c>
      <c r="N84" s="5">
        <v>0</v>
      </c>
      <c r="O84" s="6">
        <v>0.6522</v>
      </c>
      <c r="P84" s="5">
        <f t="shared" si="26"/>
        <v>2</v>
      </c>
      <c r="Q84" s="10">
        <v>0.5</v>
      </c>
      <c r="R84" s="5">
        <v>3</v>
      </c>
      <c r="S84" s="6">
        <f t="shared" si="27"/>
        <v>2</v>
      </c>
      <c r="T84" s="9" t="s">
        <v>83</v>
      </c>
      <c r="U84" s="5">
        <v>7</v>
      </c>
      <c r="V84" s="5">
        <v>12</v>
      </c>
      <c r="W84" s="8">
        <f t="shared" si="28"/>
        <v>0.36842105263157893</v>
      </c>
      <c r="X84" s="6">
        <f t="shared" si="29"/>
        <v>1.4499999999999957E-2</v>
      </c>
      <c r="Y84" s="5">
        <f t="shared" si="30"/>
        <v>0</v>
      </c>
      <c r="Z84" s="5">
        <v>0</v>
      </c>
      <c r="AA84" s="7">
        <f t="shared" si="31"/>
        <v>-0.45999999999999996</v>
      </c>
      <c r="AB84" s="5">
        <f t="shared" si="32"/>
        <v>0</v>
      </c>
      <c r="AC84" s="6">
        <f t="shared" si="33"/>
        <v>0</v>
      </c>
      <c r="AD84" s="5">
        <f t="shared" si="34"/>
        <v>0</v>
      </c>
      <c r="AE84" s="4">
        <f t="shared" si="35"/>
        <v>6.6473988439306353E-2</v>
      </c>
    </row>
    <row r="85" spans="1:31">
      <c r="A85" s="11">
        <v>46131</v>
      </c>
      <c r="B85" s="9" t="s">
        <v>29</v>
      </c>
      <c r="C85" s="7">
        <v>-0.52</v>
      </c>
      <c r="D85" s="9" t="s">
        <v>14</v>
      </c>
      <c r="E85" s="7">
        <v>6.78</v>
      </c>
      <c r="F85" s="5">
        <v>3</v>
      </c>
      <c r="G85" s="6">
        <v>0.68969999999999998</v>
      </c>
      <c r="H85" s="5">
        <f t="shared" si="24"/>
        <v>2</v>
      </c>
      <c r="I85" s="10">
        <v>0.5</v>
      </c>
      <c r="J85" s="5">
        <v>5</v>
      </c>
      <c r="K85" s="6">
        <f t="shared" si="25"/>
        <v>3.3333333333333335</v>
      </c>
      <c r="L85" s="9" t="s">
        <v>65</v>
      </c>
      <c r="M85" s="7">
        <v>7.3</v>
      </c>
      <c r="N85" s="5">
        <v>4</v>
      </c>
      <c r="O85" s="6">
        <v>0.66069999999999995</v>
      </c>
      <c r="P85" s="5">
        <f t="shared" si="26"/>
        <v>2</v>
      </c>
      <c r="Q85" s="10">
        <v>0.5</v>
      </c>
      <c r="R85" s="5">
        <v>4</v>
      </c>
      <c r="S85" s="6">
        <f t="shared" si="27"/>
        <v>2.6666666666666665</v>
      </c>
      <c r="T85" s="9" t="s">
        <v>82</v>
      </c>
      <c r="U85" s="5">
        <v>18</v>
      </c>
      <c r="V85" s="5">
        <v>14</v>
      </c>
      <c r="W85" s="8">
        <f t="shared" si="28"/>
        <v>0.5625</v>
      </c>
      <c r="X85" s="6">
        <f t="shared" si="29"/>
        <v>2.9000000000000026E-2</v>
      </c>
      <c r="Y85" s="5">
        <f t="shared" si="30"/>
        <v>0</v>
      </c>
      <c r="Z85" s="5">
        <v>1</v>
      </c>
      <c r="AA85" s="7">
        <f t="shared" si="31"/>
        <v>-0.51999999999999957</v>
      </c>
      <c r="AB85" s="5">
        <f t="shared" si="32"/>
        <v>-1</v>
      </c>
      <c r="AC85" s="6">
        <f t="shared" si="33"/>
        <v>0.66666666666666696</v>
      </c>
      <c r="AD85" s="5">
        <f t="shared" si="34"/>
        <v>0</v>
      </c>
      <c r="AE85" s="4">
        <f t="shared" si="35"/>
        <v>7.123287671232871E-2</v>
      </c>
    </row>
    <row r="86" spans="1:31">
      <c r="A86" s="11">
        <v>46132</v>
      </c>
      <c r="B86" s="9" t="s">
        <v>79</v>
      </c>
      <c r="C86" s="7">
        <v>-0.78</v>
      </c>
      <c r="D86" s="9" t="s">
        <v>81</v>
      </c>
      <c r="E86" s="7">
        <v>7.16</v>
      </c>
      <c r="F86" s="5">
        <v>0</v>
      </c>
      <c r="G86" s="6">
        <v>0.26190000000000002</v>
      </c>
      <c r="H86" s="5">
        <f t="shared" si="24"/>
        <v>0</v>
      </c>
      <c r="I86" s="10">
        <v>2</v>
      </c>
      <c r="J86" s="5">
        <v>2</v>
      </c>
      <c r="K86" s="6">
        <f t="shared" si="25"/>
        <v>0.66666666666666663</v>
      </c>
      <c r="L86" s="9" t="s">
        <v>1</v>
      </c>
      <c r="M86" s="7">
        <v>7.94</v>
      </c>
      <c r="N86" s="5">
        <v>6</v>
      </c>
      <c r="O86" s="6">
        <v>0.52459999999999996</v>
      </c>
      <c r="P86" s="5">
        <f t="shared" si="26"/>
        <v>1</v>
      </c>
      <c r="Q86" s="10">
        <v>2</v>
      </c>
      <c r="R86" s="5">
        <v>8</v>
      </c>
      <c r="S86" s="6">
        <f t="shared" si="27"/>
        <v>2.6666666666666665</v>
      </c>
      <c r="T86" s="9" t="s">
        <v>80</v>
      </c>
      <c r="U86" s="5">
        <v>11</v>
      </c>
      <c r="V86" s="5">
        <v>13</v>
      </c>
      <c r="W86" s="8">
        <f t="shared" si="28"/>
        <v>0.45833333333333331</v>
      </c>
      <c r="X86" s="6">
        <f t="shared" si="29"/>
        <v>-0.26269999999999993</v>
      </c>
      <c r="Y86" s="5">
        <f t="shared" si="30"/>
        <v>-1</v>
      </c>
      <c r="Z86" s="5">
        <v>0</v>
      </c>
      <c r="AA86" s="7">
        <f t="shared" si="31"/>
        <v>-0.78000000000000025</v>
      </c>
      <c r="AB86" s="5">
        <f t="shared" si="32"/>
        <v>-6</v>
      </c>
      <c r="AC86" s="6">
        <f t="shared" si="33"/>
        <v>-2</v>
      </c>
      <c r="AD86" s="5">
        <f t="shared" si="34"/>
        <v>-1</v>
      </c>
      <c r="AE86" s="4">
        <f t="shared" si="35"/>
        <v>9.8236775818639821E-2</v>
      </c>
    </row>
    <row r="87" spans="1:31">
      <c r="A87" s="11">
        <v>46132</v>
      </c>
      <c r="B87" s="9" t="s">
        <v>79</v>
      </c>
      <c r="C87" s="7">
        <v>-0.28000000000000003</v>
      </c>
      <c r="D87" s="9" t="s">
        <v>38</v>
      </c>
      <c r="E87" s="7">
        <v>10.130000000000001</v>
      </c>
      <c r="F87" s="5">
        <v>1</v>
      </c>
      <c r="G87" s="6">
        <v>0.61539999999999995</v>
      </c>
      <c r="H87" s="5">
        <f t="shared" si="24"/>
        <v>2</v>
      </c>
      <c r="I87" s="10">
        <v>2</v>
      </c>
      <c r="J87" s="5">
        <v>4</v>
      </c>
      <c r="K87" s="6">
        <f t="shared" si="25"/>
        <v>1.3333333333333333</v>
      </c>
      <c r="L87" s="9" t="s">
        <v>78</v>
      </c>
      <c r="M87" s="7">
        <v>10.41</v>
      </c>
      <c r="N87" s="5">
        <v>6</v>
      </c>
      <c r="O87" s="6">
        <v>0.65</v>
      </c>
      <c r="P87" s="5">
        <f t="shared" si="26"/>
        <v>2</v>
      </c>
      <c r="Q87" s="10">
        <v>2</v>
      </c>
      <c r="R87" s="5">
        <v>6</v>
      </c>
      <c r="S87" s="6">
        <f t="shared" si="27"/>
        <v>2</v>
      </c>
      <c r="T87" s="9" t="s">
        <v>77</v>
      </c>
      <c r="U87" s="5">
        <v>15</v>
      </c>
      <c r="V87" s="5">
        <v>15</v>
      </c>
      <c r="W87" s="8">
        <f t="shared" si="28"/>
        <v>0.5</v>
      </c>
      <c r="X87" s="6">
        <f t="shared" si="29"/>
        <v>-3.4600000000000075E-2</v>
      </c>
      <c r="Y87" s="5">
        <f t="shared" si="30"/>
        <v>0</v>
      </c>
      <c r="Z87" s="5">
        <v>0</v>
      </c>
      <c r="AA87" s="7">
        <f t="shared" si="31"/>
        <v>-0.27999999999999936</v>
      </c>
      <c r="AB87" s="5">
        <f t="shared" si="32"/>
        <v>-5</v>
      </c>
      <c r="AC87" s="6">
        <f t="shared" si="33"/>
        <v>-0.66666666666666674</v>
      </c>
      <c r="AD87" s="5">
        <f t="shared" si="34"/>
        <v>0</v>
      </c>
      <c r="AE87" s="4">
        <f t="shared" si="35"/>
        <v>2.6897214217098883E-2</v>
      </c>
    </row>
    <row r="88" spans="1:31">
      <c r="A88" s="11">
        <v>46133</v>
      </c>
      <c r="B88" s="9" t="s">
        <v>74</v>
      </c>
      <c r="C88" s="7">
        <v>-0.3</v>
      </c>
      <c r="D88" s="9" t="s">
        <v>54</v>
      </c>
      <c r="E88" s="7">
        <v>4.78</v>
      </c>
      <c r="F88" s="5">
        <v>0</v>
      </c>
      <c r="G88" s="6">
        <v>0.4</v>
      </c>
      <c r="H88" s="5">
        <f t="shared" si="24"/>
        <v>1</v>
      </c>
      <c r="I88" s="10">
        <v>5</v>
      </c>
      <c r="J88" s="5">
        <v>5</v>
      </c>
      <c r="K88" s="6">
        <f t="shared" si="25"/>
        <v>0.83333333333333337</v>
      </c>
      <c r="L88" s="9" t="s">
        <v>76</v>
      </c>
      <c r="M88" s="7">
        <v>5.08</v>
      </c>
      <c r="N88" s="5">
        <v>0</v>
      </c>
      <c r="O88" s="6">
        <v>5.2600000000000001E-2</v>
      </c>
      <c r="P88" s="5">
        <f t="shared" si="26"/>
        <v>0</v>
      </c>
      <c r="Q88" s="10">
        <v>7</v>
      </c>
      <c r="R88" s="5">
        <v>1</v>
      </c>
      <c r="S88" s="6">
        <f t="shared" si="27"/>
        <v>0.125</v>
      </c>
      <c r="T88" s="9" t="s">
        <v>75</v>
      </c>
      <c r="U88" s="5">
        <v>18</v>
      </c>
      <c r="V88" s="5">
        <v>10</v>
      </c>
      <c r="W88" s="8">
        <f t="shared" si="28"/>
        <v>0.6428571428571429</v>
      </c>
      <c r="X88" s="6">
        <f t="shared" si="29"/>
        <v>0.34740000000000004</v>
      </c>
      <c r="Y88" s="5">
        <f t="shared" si="30"/>
        <v>1</v>
      </c>
      <c r="Z88" s="5">
        <v>1</v>
      </c>
      <c r="AA88" s="7">
        <f t="shared" si="31"/>
        <v>-0.29999999999999982</v>
      </c>
      <c r="AB88" s="5">
        <f t="shared" si="32"/>
        <v>0</v>
      </c>
      <c r="AC88" s="6">
        <f t="shared" si="33"/>
        <v>0.70833333333333337</v>
      </c>
      <c r="AD88" s="5">
        <f t="shared" si="34"/>
        <v>1</v>
      </c>
      <c r="AE88" s="4">
        <f t="shared" si="35"/>
        <v>5.9055118110236185E-2</v>
      </c>
    </row>
    <row r="89" spans="1:31">
      <c r="A89" s="11">
        <v>46133</v>
      </c>
      <c r="B89" s="9" t="s">
        <v>74</v>
      </c>
      <c r="C89" s="7">
        <v>-0.27</v>
      </c>
      <c r="D89" s="9" t="s">
        <v>73</v>
      </c>
      <c r="E89" s="7">
        <v>3.51</v>
      </c>
      <c r="F89" s="5">
        <v>0</v>
      </c>
      <c r="G89" s="6">
        <v>0.51019999999999999</v>
      </c>
      <c r="H89" s="5">
        <f t="shared" si="24"/>
        <v>1</v>
      </c>
      <c r="I89" s="10">
        <v>7</v>
      </c>
      <c r="J89" s="5">
        <v>4</v>
      </c>
      <c r="K89" s="6">
        <f t="shared" si="25"/>
        <v>0.5</v>
      </c>
      <c r="L89" s="9" t="s">
        <v>72</v>
      </c>
      <c r="M89" s="7">
        <v>3.78</v>
      </c>
      <c r="N89" s="5">
        <v>0</v>
      </c>
      <c r="O89" s="6">
        <v>0.1628</v>
      </c>
      <c r="P89" s="5">
        <f t="shared" si="26"/>
        <v>0</v>
      </c>
      <c r="Q89" s="10">
        <v>6</v>
      </c>
      <c r="R89" s="5">
        <v>1</v>
      </c>
      <c r="S89" s="6">
        <f t="shared" si="27"/>
        <v>0.14285714285714285</v>
      </c>
      <c r="T89" s="9" t="s">
        <v>71</v>
      </c>
      <c r="U89" s="5">
        <v>13</v>
      </c>
      <c r="V89" s="5">
        <v>7</v>
      </c>
      <c r="W89" s="8">
        <f t="shared" si="28"/>
        <v>0.65</v>
      </c>
      <c r="X89" s="6">
        <f t="shared" si="29"/>
        <v>0.34739999999999999</v>
      </c>
      <c r="Y89" s="5">
        <f t="shared" si="30"/>
        <v>1</v>
      </c>
      <c r="Z89" s="5">
        <v>1</v>
      </c>
      <c r="AA89" s="7">
        <f t="shared" si="31"/>
        <v>-0.27</v>
      </c>
      <c r="AB89" s="5">
        <f t="shared" si="32"/>
        <v>0</v>
      </c>
      <c r="AC89" s="6">
        <f t="shared" si="33"/>
        <v>0.35714285714285715</v>
      </c>
      <c r="AD89" s="5">
        <f t="shared" si="34"/>
        <v>1</v>
      </c>
      <c r="AE89" s="4">
        <f t="shared" si="35"/>
        <v>7.1428571428571438E-2</v>
      </c>
    </row>
    <row r="90" spans="1:31">
      <c r="A90" s="11">
        <v>46133</v>
      </c>
      <c r="B90" s="9" t="s">
        <v>68</v>
      </c>
      <c r="C90" s="7">
        <v>-0.81</v>
      </c>
      <c r="D90" s="9" t="s">
        <v>70</v>
      </c>
      <c r="E90" s="7">
        <v>7.33</v>
      </c>
      <c r="F90" s="5">
        <v>0</v>
      </c>
      <c r="G90" s="6">
        <v>0.54720000000000002</v>
      </c>
      <c r="H90" s="5">
        <f t="shared" si="24"/>
        <v>1</v>
      </c>
      <c r="I90" s="10">
        <v>5</v>
      </c>
      <c r="J90" s="5">
        <v>5</v>
      </c>
      <c r="K90" s="6">
        <f t="shared" si="25"/>
        <v>0.83333333333333337</v>
      </c>
      <c r="L90" s="9" t="s">
        <v>18</v>
      </c>
      <c r="M90" s="7">
        <v>8.14</v>
      </c>
      <c r="N90" s="5">
        <v>0</v>
      </c>
      <c r="O90" s="6">
        <v>0.43330000000000002</v>
      </c>
      <c r="P90" s="5">
        <f t="shared" si="26"/>
        <v>1</v>
      </c>
      <c r="Q90" s="10">
        <v>3</v>
      </c>
      <c r="R90" s="5">
        <v>3</v>
      </c>
      <c r="S90" s="6">
        <f t="shared" si="27"/>
        <v>0.75</v>
      </c>
      <c r="T90" s="9" t="s">
        <v>69</v>
      </c>
      <c r="U90" s="5">
        <v>5</v>
      </c>
      <c r="V90" s="5">
        <v>12</v>
      </c>
      <c r="W90" s="8">
        <f t="shared" si="28"/>
        <v>0.29411764705882354</v>
      </c>
      <c r="X90" s="6">
        <f t="shared" si="29"/>
        <v>0.1139</v>
      </c>
      <c r="Y90" s="5">
        <f t="shared" si="30"/>
        <v>0</v>
      </c>
      <c r="Z90" s="5">
        <v>0</v>
      </c>
      <c r="AA90" s="7">
        <f t="shared" si="31"/>
        <v>-0.8100000000000005</v>
      </c>
      <c r="AB90" s="5">
        <f t="shared" si="32"/>
        <v>0</v>
      </c>
      <c r="AC90" s="6">
        <f t="shared" si="33"/>
        <v>8.333333333333337E-2</v>
      </c>
      <c r="AD90" s="5">
        <f t="shared" si="34"/>
        <v>0</v>
      </c>
      <c r="AE90" s="4">
        <f t="shared" si="35"/>
        <v>9.9508599508599568E-2</v>
      </c>
    </row>
    <row r="91" spans="1:31">
      <c r="A91" s="11">
        <v>46133</v>
      </c>
      <c r="B91" s="9" t="s">
        <v>68</v>
      </c>
      <c r="C91" s="7">
        <v>-0.32</v>
      </c>
      <c r="D91" s="9" t="s">
        <v>33</v>
      </c>
      <c r="E91" s="7">
        <v>5.53</v>
      </c>
      <c r="F91" s="5">
        <v>2</v>
      </c>
      <c r="G91" s="6">
        <v>0.5373</v>
      </c>
      <c r="H91" s="5">
        <f t="shared" si="24"/>
        <v>1</v>
      </c>
      <c r="I91" s="10">
        <v>6</v>
      </c>
      <c r="J91" s="5">
        <v>2</v>
      </c>
      <c r="K91" s="6">
        <f t="shared" si="25"/>
        <v>0.2857142857142857</v>
      </c>
      <c r="L91" s="9" t="s">
        <v>67</v>
      </c>
      <c r="M91" s="7">
        <v>5.85</v>
      </c>
      <c r="N91" s="5">
        <v>1</v>
      </c>
      <c r="O91" s="6">
        <v>0.46339999999999998</v>
      </c>
      <c r="P91" s="5">
        <f t="shared" si="26"/>
        <v>1</v>
      </c>
      <c r="Q91" s="10">
        <v>5</v>
      </c>
      <c r="R91" s="5">
        <v>2</v>
      </c>
      <c r="S91" s="6">
        <f t="shared" si="27"/>
        <v>0.33333333333333331</v>
      </c>
      <c r="T91" s="9" t="s">
        <v>66</v>
      </c>
      <c r="U91" s="5">
        <v>12</v>
      </c>
      <c r="V91" s="5">
        <v>15</v>
      </c>
      <c r="W91" s="8">
        <f t="shared" si="28"/>
        <v>0.44444444444444442</v>
      </c>
      <c r="X91" s="6">
        <f t="shared" si="29"/>
        <v>7.3900000000000021E-2</v>
      </c>
      <c r="Y91" s="5">
        <f t="shared" si="30"/>
        <v>0</v>
      </c>
      <c r="Z91" s="5">
        <v>0</v>
      </c>
      <c r="AA91" s="7">
        <f t="shared" si="31"/>
        <v>-0.3199999999999994</v>
      </c>
      <c r="AB91" s="5">
        <f t="shared" si="32"/>
        <v>1</v>
      </c>
      <c r="AC91" s="6">
        <f t="shared" si="33"/>
        <v>-4.7619047619047616E-2</v>
      </c>
      <c r="AD91" s="5">
        <f t="shared" si="34"/>
        <v>0</v>
      </c>
      <c r="AE91" s="4">
        <f t="shared" si="35"/>
        <v>5.4700854700854604E-2</v>
      </c>
    </row>
    <row r="92" spans="1:31">
      <c r="A92" s="11">
        <v>46133</v>
      </c>
      <c r="B92" s="9" t="s">
        <v>63</v>
      </c>
      <c r="C92" s="7">
        <v>-0.64</v>
      </c>
      <c r="D92" s="9" t="s">
        <v>14</v>
      </c>
      <c r="E92" s="7">
        <v>6.83</v>
      </c>
      <c r="F92" s="5">
        <v>4</v>
      </c>
      <c r="G92" s="6">
        <v>0.61639999999999995</v>
      </c>
      <c r="H92" s="5">
        <f t="shared" si="24"/>
        <v>2</v>
      </c>
      <c r="I92" s="10">
        <v>2</v>
      </c>
      <c r="J92" s="5">
        <v>6</v>
      </c>
      <c r="K92" s="6">
        <f t="shared" si="25"/>
        <v>2</v>
      </c>
      <c r="L92" s="9" t="s">
        <v>65</v>
      </c>
      <c r="M92" s="7">
        <v>7.47</v>
      </c>
      <c r="N92" s="5">
        <v>0</v>
      </c>
      <c r="O92" s="6">
        <v>0.55710000000000004</v>
      </c>
      <c r="P92" s="5">
        <f t="shared" si="26"/>
        <v>1</v>
      </c>
      <c r="Q92" s="10">
        <v>2</v>
      </c>
      <c r="R92" s="5">
        <v>5</v>
      </c>
      <c r="S92" s="6">
        <f t="shared" si="27"/>
        <v>1.6666666666666667</v>
      </c>
      <c r="T92" s="9" t="s">
        <v>64</v>
      </c>
      <c r="U92" s="5">
        <v>18</v>
      </c>
      <c r="V92" s="5">
        <v>14</v>
      </c>
      <c r="W92" s="8">
        <f t="shared" si="28"/>
        <v>0.5625</v>
      </c>
      <c r="X92" s="6">
        <f t="shared" si="29"/>
        <v>5.9299999999999908E-2</v>
      </c>
      <c r="Y92" s="5">
        <f t="shared" si="30"/>
        <v>1</v>
      </c>
      <c r="Z92" s="5">
        <v>1</v>
      </c>
      <c r="AA92" s="7">
        <f t="shared" si="31"/>
        <v>-0.63999999999999968</v>
      </c>
      <c r="AB92" s="5">
        <f t="shared" si="32"/>
        <v>4</v>
      </c>
      <c r="AC92" s="6">
        <f t="shared" si="33"/>
        <v>0.33333333333333326</v>
      </c>
      <c r="AD92" s="5">
        <f t="shared" si="34"/>
        <v>1</v>
      </c>
      <c r="AE92" s="4">
        <f t="shared" si="35"/>
        <v>8.5676037483266354E-2</v>
      </c>
    </row>
    <row r="93" spans="1:31">
      <c r="A93" s="11">
        <v>46133</v>
      </c>
      <c r="B93" s="9" t="s">
        <v>63</v>
      </c>
      <c r="C93" s="7">
        <v>-0.19</v>
      </c>
      <c r="D93" s="9" t="s">
        <v>14</v>
      </c>
      <c r="E93" s="7">
        <v>6.83</v>
      </c>
      <c r="F93" s="5">
        <v>4</v>
      </c>
      <c r="G93" s="6">
        <v>0.61639999999999995</v>
      </c>
      <c r="H93" s="5">
        <f t="shared" si="24"/>
        <v>2</v>
      </c>
      <c r="I93" s="10">
        <v>2</v>
      </c>
      <c r="J93" s="5">
        <v>6</v>
      </c>
      <c r="K93" s="6">
        <f t="shared" si="25"/>
        <v>2</v>
      </c>
      <c r="L93" s="9" t="s">
        <v>10</v>
      </c>
      <c r="M93" s="7">
        <v>7.02</v>
      </c>
      <c r="N93" s="5">
        <v>3</v>
      </c>
      <c r="O93" s="6">
        <v>0.55359999999999998</v>
      </c>
      <c r="P93" s="5">
        <f t="shared" si="26"/>
        <v>1</v>
      </c>
      <c r="Q93" s="10">
        <v>2</v>
      </c>
      <c r="R93" s="5">
        <v>6</v>
      </c>
      <c r="S93" s="6">
        <f t="shared" si="27"/>
        <v>2</v>
      </c>
      <c r="T93" s="9" t="s">
        <v>12</v>
      </c>
      <c r="U93" s="5">
        <v>12</v>
      </c>
      <c r="V93" s="5">
        <v>6</v>
      </c>
      <c r="W93" s="8">
        <f t="shared" si="28"/>
        <v>0.66666666666666663</v>
      </c>
      <c r="X93" s="6">
        <f t="shared" si="29"/>
        <v>6.2799999999999967E-2</v>
      </c>
      <c r="Y93" s="5">
        <f t="shared" si="30"/>
        <v>1</v>
      </c>
      <c r="Z93" s="5">
        <v>1</v>
      </c>
      <c r="AA93" s="7">
        <f t="shared" si="31"/>
        <v>-0.1899999999999995</v>
      </c>
      <c r="AB93" s="5">
        <f t="shared" si="32"/>
        <v>1</v>
      </c>
      <c r="AC93" s="6">
        <f t="shared" si="33"/>
        <v>0</v>
      </c>
      <c r="AD93" s="5">
        <f t="shared" si="34"/>
        <v>1</v>
      </c>
      <c r="AE93" s="4">
        <f t="shared" si="35"/>
        <v>2.7065527065526996E-2</v>
      </c>
    </row>
    <row r="94" spans="1:31">
      <c r="A94" s="11">
        <v>46134</v>
      </c>
      <c r="B94" s="9" t="s">
        <v>62</v>
      </c>
      <c r="C94" s="7">
        <v>-0.86</v>
      </c>
      <c r="D94" s="9" t="s">
        <v>61</v>
      </c>
      <c r="E94" s="7">
        <v>6.37</v>
      </c>
      <c r="F94" s="5">
        <v>1</v>
      </c>
      <c r="G94" s="6">
        <v>0.40820000000000001</v>
      </c>
      <c r="H94" s="5">
        <f t="shared" si="24"/>
        <v>1</v>
      </c>
      <c r="I94" s="10">
        <v>8</v>
      </c>
      <c r="J94" s="5">
        <v>2</v>
      </c>
      <c r="K94" s="6">
        <f t="shared" si="25"/>
        <v>0.22222222222222221</v>
      </c>
      <c r="L94" s="9" t="s">
        <v>13</v>
      </c>
      <c r="M94" s="7">
        <v>7.23</v>
      </c>
      <c r="N94" s="5">
        <v>0</v>
      </c>
      <c r="O94" s="6">
        <v>0.4032</v>
      </c>
      <c r="P94" s="5">
        <f t="shared" si="26"/>
        <v>1</v>
      </c>
      <c r="Q94" s="10">
        <v>7</v>
      </c>
      <c r="R94" s="5">
        <v>2</v>
      </c>
      <c r="S94" s="6">
        <f t="shared" si="27"/>
        <v>0.25</v>
      </c>
      <c r="T94" s="9" t="s">
        <v>60</v>
      </c>
      <c r="U94" s="5">
        <v>6</v>
      </c>
      <c r="V94" s="5">
        <v>13</v>
      </c>
      <c r="W94" s="8">
        <f t="shared" si="28"/>
        <v>0.31578947368421051</v>
      </c>
      <c r="X94" s="6">
        <f t="shared" si="29"/>
        <v>5.0000000000000044E-3</v>
      </c>
      <c r="Y94" s="5">
        <f t="shared" si="30"/>
        <v>0</v>
      </c>
      <c r="Z94" s="5">
        <v>0</v>
      </c>
      <c r="AA94" s="7">
        <f t="shared" si="31"/>
        <v>-0.86000000000000032</v>
      </c>
      <c r="AB94" s="5">
        <f t="shared" si="32"/>
        <v>1</v>
      </c>
      <c r="AC94" s="6">
        <f t="shared" si="33"/>
        <v>-2.777777777777779E-2</v>
      </c>
      <c r="AD94" s="5">
        <f t="shared" si="34"/>
        <v>0</v>
      </c>
      <c r="AE94" s="4">
        <f t="shared" si="35"/>
        <v>0.11894882434301525</v>
      </c>
    </row>
    <row r="95" spans="1:31">
      <c r="A95" s="11">
        <v>46134</v>
      </c>
      <c r="B95" s="9" t="s">
        <v>59</v>
      </c>
      <c r="C95" s="7">
        <v>-0.35</v>
      </c>
      <c r="D95" s="9" t="s">
        <v>58</v>
      </c>
      <c r="E95" s="7">
        <v>4.79</v>
      </c>
      <c r="F95" s="5">
        <v>0</v>
      </c>
      <c r="G95" s="6">
        <v>0.21740000000000001</v>
      </c>
      <c r="H95" s="5">
        <f t="shared" si="24"/>
        <v>0</v>
      </c>
      <c r="I95" s="10">
        <v>3</v>
      </c>
      <c r="J95" s="5">
        <v>4</v>
      </c>
      <c r="K95" s="6">
        <f t="shared" si="25"/>
        <v>1</v>
      </c>
      <c r="L95" s="9" t="s">
        <v>57</v>
      </c>
      <c r="M95" s="7">
        <v>5.14</v>
      </c>
      <c r="N95" s="5">
        <v>0</v>
      </c>
      <c r="O95" s="6">
        <v>0.4032</v>
      </c>
      <c r="P95" s="5">
        <f t="shared" si="26"/>
        <v>1</v>
      </c>
      <c r="Q95" s="10">
        <v>1</v>
      </c>
      <c r="R95" s="5">
        <v>4</v>
      </c>
      <c r="S95" s="6">
        <f t="shared" si="27"/>
        <v>2</v>
      </c>
      <c r="T95" s="9" t="s">
        <v>56</v>
      </c>
      <c r="U95" s="5">
        <v>6</v>
      </c>
      <c r="V95" s="5">
        <v>13</v>
      </c>
      <c r="W95" s="8">
        <f t="shared" si="28"/>
        <v>0.31578947368421051</v>
      </c>
      <c r="X95" s="6">
        <f t="shared" si="29"/>
        <v>-0.18579999999999999</v>
      </c>
      <c r="Y95" s="5">
        <f t="shared" si="30"/>
        <v>-1</v>
      </c>
      <c r="Z95" s="5">
        <v>0</v>
      </c>
      <c r="AA95" s="7">
        <f t="shared" si="31"/>
        <v>-0.34999999999999964</v>
      </c>
      <c r="AB95" s="5">
        <f t="shared" si="32"/>
        <v>0</v>
      </c>
      <c r="AC95" s="6">
        <f t="shared" si="33"/>
        <v>-1</v>
      </c>
      <c r="AD95" s="5">
        <f t="shared" si="34"/>
        <v>-1</v>
      </c>
      <c r="AE95" s="4">
        <f t="shared" si="35"/>
        <v>6.8093385214007721E-2</v>
      </c>
    </row>
    <row r="96" spans="1:31">
      <c r="A96" s="11">
        <v>46136</v>
      </c>
      <c r="B96" s="9" t="s">
        <v>55</v>
      </c>
      <c r="C96" s="7">
        <v>-0.03</v>
      </c>
      <c r="D96" s="9" t="s">
        <v>54</v>
      </c>
      <c r="E96" s="7">
        <v>4.78</v>
      </c>
      <c r="F96" s="5">
        <v>1</v>
      </c>
      <c r="G96" s="6">
        <v>0.44440000000000002</v>
      </c>
      <c r="H96" s="5">
        <f t="shared" si="24"/>
        <v>1</v>
      </c>
      <c r="I96" s="10">
        <v>3</v>
      </c>
      <c r="J96" s="5">
        <v>4</v>
      </c>
      <c r="K96" s="6">
        <f t="shared" si="25"/>
        <v>1</v>
      </c>
      <c r="L96" s="9" t="s">
        <v>53</v>
      </c>
      <c r="M96" s="7">
        <v>4.8099999999999996</v>
      </c>
      <c r="N96" s="5">
        <v>1</v>
      </c>
      <c r="O96" s="6">
        <v>0.2273</v>
      </c>
      <c r="P96" s="5">
        <f t="shared" si="26"/>
        <v>0</v>
      </c>
      <c r="Q96" s="10">
        <v>3</v>
      </c>
      <c r="R96" s="5">
        <v>2</v>
      </c>
      <c r="S96" s="6">
        <f t="shared" si="27"/>
        <v>0.5</v>
      </c>
      <c r="T96" s="9" t="s">
        <v>52</v>
      </c>
      <c r="U96" s="5">
        <v>7</v>
      </c>
      <c r="V96" s="5">
        <v>13</v>
      </c>
      <c r="W96" s="8">
        <f t="shared" si="28"/>
        <v>0.35</v>
      </c>
      <c r="X96" s="6">
        <f t="shared" si="29"/>
        <v>0.21710000000000002</v>
      </c>
      <c r="Y96" s="5">
        <f t="shared" si="30"/>
        <v>1</v>
      </c>
      <c r="Z96" s="5">
        <v>0</v>
      </c>
      <c r="AA96" s="7">
        <f t="shared" si="31"/>
        <v>-2.9999999999999361E-2</v>
      </c>
      <c r="AB96" s="5">
        <f t="shared" si="32"/>
        <v>0</v>
      </c>
      <c r="AC96" s="6">
        <f t="shared" si="33"/>
        <v>0.5</v>
      </c>
      <c r="AD96" s="5">
        <f t="shared" si="34"/>
        <v>1</v>
      </c>
      <c r="AE96" s="4">
        <f t="shared" si="35"/>
        <v>6.2370062370061046E-3</v>
      </c>
    </row>
    <row r="97" spans="1:31">
      <c r="A97" s="11">
        <v>46136</v>
      </c>
      <c r="B97" s="9" t="s">
        <v>51</v>
      </c>
      <c r="C97" s="7">
        <v>-0.33</v>
      </c>
      <c r="D97" s="9" t="s">
        <v>13</v>
      </c>
      <c r="E97" s="7">
        <v>7.23</v>
      </c>
      <c r="F97" s="5">
        <v>1</v>
      </c>
      <c r="G97" s="6">
        <v>0.48280000000000001</v>
      </c>
      <c r="H97" s="5">
        <f t="shared" si="24"/>
        <v>1</v>
      </c>
      <c r="I97" s="10">
        <v>2</v>
      </c>
      <c r="J97" s="5">
        <v>3</v>
      </c>
      <c r="K97" s="6">
        <f t="shared" si="25"/>
        <v>1</v>
      </c>
      <c r="L97" s="9" t="s">
        <v>46</v>
      </c>
      <c r="M97" s="7">
        <v>7.56</v>
      </c>
      <c r="N97" s="5">
        <v>1</v>
      </c>
      <c r="O97" s="6">
        <v>0.55100000000000005</v>
      </c>
      <c r="P97" s="5">
        <f t="shared" si="26"/>
        <v>1</v>
      </c>
      <c r="Q97" s="10">
        <v>8</v>
      </c>
      <c r="R97" s="5">
        <v>6</v>
      </c>
      <c r="S97" s="6">
        <f t="shared" si="27"/>
        <v>0.66666666666666663</v>
      </c>
      <c r="T97" s="9" t="s">
        <v>50</v>
      </c>
      <c r="U97" s="5">
        <v>12</v>
      </c>
      <c r="V97" s="5">
        <v>7</v>
      </c>
      <c r="W97" s="8">
        <f t="shared" si="28"/>
        <v>0.63157894736842102</v>
      </c>
      <c r="X97" s="6">
        <f t="shared" si="29"/>
        <v>-6.8200000000000038E-2</v>
      </c>
      <c r="Y97" s="5">
        <f t="shared" si="30"/>
        <v>0</v>
      </c>
      <c r="Z97" s="5">
        <v>1</v>
      </c>
      <c r="AA97" s="7">
        <f t="shared" si="31"/>
        <v>-0.32999999999999918</v>
      </c>
      <c r="AB97" s="5">
        <f t="shared" si="32"/>
        <v>0</v>
      </c>
      <c r="AC97" s="6">
        <f t="shared" si="33"/>
        <v>0.33333333333333337</v>
      </c>
      <c r="AD97" s="5">
        <f t="shared" si="34"/>
        <v>0</v>
      </c>
      <c r="AE97" s="4">
        <f t="shared" si="35"/>
        <v>4.3650793650793544E-2</v>
      </c>
    </row>
    <row r="98" spans="1:31">
      <c r="A98" s="11">
        <v>46139</v>
      </c>
      <c r="B98" s="9" t="s">
        <v>49</v>
      </c>
      <c r="C98" s="7">
        <v>-0.75</v>
      </c>
      <c r="D98" s="9" t="s">
        <v>1</v>
      </c>
      <c r="E98" s="7">
        <v>7.89</v>
      </c>
      <c r="F98" s="5">
        <v>9</v>
      </c>
      <c r="G98" s="6">
        <v>0.61670000000000003</v>
      </c>
      <c r="H98" s="5">
        <f t="shared" si="24"/>
        <v>2</v>
      </c>
      <c r="I98" s="10">
        <v>7</v>
      </c>
      <c r="J98" s="5">
        <v>6</v>
      </c>
      <c r="K98" s="6">
        <f t="shared" si="25"/>
        <v>0.75</v>
      </c>
      <c r="L98" s="9" t="s">
        <v>6</v>
      </c>
      <c r="M98" s="7">
        <v>8.64</v>
      </c>
      <c r="N98" s="5">
        <v>1</v>
      </c>
      <c r="O98" s="6">
        <v>0.54390000000000005</v>
      </c>
      <c r="P98" s="5">
        <f t="shared" si="26"/>
        <v>1</v>
      </c>
      <c r="Q98" s="10">
        <v>6</v>
      </c>
      <c r="R98" s="5">
        <v>3</v>
      </c>
      <c r="S98" s="6">
        <f t="shared" si="27"/>
        <v>0.42857142857142855</v>
      </c>
      <c r="T98" s="9" t="s">
        <v>48</v>
      </c>
      <c r="U98" s="5">
        <v>6</v>
      </c>
      <c r="V98" s="5">
        <v>13</v>
      </c>
      <c r="W98" s="8">
        <f t="shared" si="28"/>
        <v>0.31578947368421051</v>
      </c>
      <c r="X98" s="6">
        <f t="shared" si="29"/>
        <v>7.2799999999999976E-2</v>
      </c>
      <c r="Y98" s="5">
        <f t="shared" si="30"/>
        <v>1</v>
      </c>
      <c r="Z98" s="5">
        <v>0</v>
      </c>
      <c r="AA98" s="7">
        <f t="shared" si="31"/>
        <v>-0.75000000000000089</v>
      </c>
      <c r="AB98" s="5">
        <f t="shared" si="32"/>
        <v>8</v>
      </c>
      <c r="AC98" s="6">
        <f t="shared" si="33"/>
        <v>0.32142857142857145</v>
      </c>
      <c r="AD98" s="5">
        <f t="shared" si="34"/>
        <v>1</v>
      </c>
      <c r="AE98" s="4">
        <f t="shared" si="35"/>
        <v>8.680555555555565E-2</v>
      </c>
    </row>
    <row r="99" spans="1:31">
      <c r="A99" s="11">
        <v>46140</v>
      </c>
      <c r="B99" s="9" t="s">
        <v>47</v>
      </c>
      <c r="C99" s="7">
        <v>-0.04</v>
      </c>
      <c r="D99" s="9" t="s">
        <v>46</v>
      </c>
      <c r="E99" s="7">
        <v>7.65</v>
      </c>
      <c r="F99" s="5">
        <v>0</v>
      </c>
      <c r="G99" s="6">
        <v>0.54349999999999998</v>
      </c>
      <c r="H99" s="5">
        <f t="shared" ref="H99:H130" si="36">IF(G99&lt;0.4,0,IF(G99&lt;=0.6,1,2))</f>
        <v>1</v>
      </c>
      <c r="I99" s="10">
        <v>4</v>
      </c>
      <c r="J99" s="5">
        <v>3</v>
      </c>
      <c r="K99" s="6">
        <f t="shared" ref="K99:K130" si="37">J99/(1+I99)</f>
        <v>0.6</v>
      </c>
      <c r="L99" s="9" t="s">
        <v>42</v>
      </c>
      <c r="M99" s="7">
        <v>7.69</v>
      </c>
      <c r="N99" s="5">
        <v>1</v>
      </c>
      <c r="O99" s="6">
        <v>0.62</v>
      </c>
      <c r="P99" s="5">
        <f t="shared" ref="P99:P130" si="38">IF(O99&lt;0.4,0,IF(O99&lt;=0.6,1,2))</f>
        <v>2</v>
      </c>
      <c r="Q99" s="10">
        <v>1</v>
      </c>
      <c r="R99" s="5">
        <v>3</v>
      </c>
      <c r="S99" s="6">
        <f t="shared" ref="S99:S130" si="39">R99/(1+Q99)</f>
        <v>1.5</v>
      </c>
      <c r="T99" s="9" t="s">
        <v>45</v>
      </c>
      <c r="U99" s="5">
        <v>1</v>
      </c>
      <c r="V99" s="5">
        <v>12</v>
      </c>
      <c r="W99" s="8">
        <f t="shared" ref="W99:W130" si="40">U99/(U99+V99)</f>
        <v>7.6923076923076927E-2</v>
      </c>
      <c r="X99" s="6">
        <f t="shared" ref="X99:X115" si="41">G99-O99</f>
        <v>-7.6500000000000012E-2</v>
      </c>
      <c r="Y99" s="5">
        <f t="shared" ref="Y99:Y115" si="42">H99-P99</f>
        <v>-1</v>
      </c>
      <c r="Z99" s="5">
        <v>0</v>
      </c>
      <c r="AA99" s="7">
        <f t="shared" ref="AA99:AA115" si="43">E99-M99</f>
        <v>-4.0000000000000036E-2</v>
      </c>
      <c r="AB99" s="5">
        <f t="shared" ref="AB99:AB115" si="44">F99-N99</f>
        <v>-1</v>
      </c>
      <c r="AC99" s="6">
        <f t="shared" ref="AC99:AC115" si="45">K99-S99</f>
        <v>-0.9</v>
      </c>
      <c r="AD99" s="5">
        <f t="shared" ref="AD99:AD115" si="46">SIGN(Y99)</f>
        <v>-1</v>
      </c>
      <c r="AE99" s="4">
        <f t="shared" ref="AE99:AE115" si="47">ABS(AA99)/M99</f>
        <v>5.2015604681404466E-3</v>
      </c>
    </row>
    <row r="100" spans="1:31">
      <c r="A100" s="11">
        <v>46141</v>
      </c>
      <c r="B100" s="9" t="s">
        <v>29</v>
      </c>
      <c r="C100" s="7">
        <v>-0.23</v>
      </c>
      <c r="D100" s="9" t="s">
        <v>44</v>
      </c>
      <c r="E100" s="7">
        <v>8.41</v>
      </c>
      <c r="F100" s="5">
        <v>0</v>
      </c>
      <c r="G100" s="6">
        <v>0.57689999999999997</v>
      </c>
      <c r="H100" s="5">
        <f t="shared" si="36"/>
        <v>1</v>
      </c>
      <c r="I100" s="10">
        <v>0.5</v>
      </c>
      <c r="J100" s="5">
        <v>1</v>
      </c>
      <c r="K100" s="6">
        <f t="shared" si="37"/>
        <v>0.66666666666666663</v>
      </c>
      <c r="L100" s="9" t="s">
        <v>6</v>
      </c>
      <c r="M100" s="7">
        <v>8.64</v>
      </c>
      <c r="N100" s="5">
        <v>2</v>
      </c>
      <c r="O100" s="6">
        <v>0.67859999999999998</v>
      </c>
      <c r="P100" s="5">
        <f t="shared" si="38"/>
        <v>2</v>
      </c>
      <c r="Q100" s="10">
        <v>0.5</v>
      </c>
      <c r="R100" s="5">
        <v>5</v>
      </c>
      <c r="S100" s="6">
        <f t="shared" si="39"/>
        <v>3.3333333333333335</v>
      </c>
      <c r="T100" s="9" t="s">
        <v>43</v>
      </c>
      <c r="U100" s="5">
        <v>5</v>
      </c>
      <c r="V100" s="5">
        <v>12</v>
      </c>
      <c r="W100" s="8">
        <f t="shared" si="40"/>
        <v>0.29411764705882354</v>
      </c>
      <c r="X100" s="6">
        <f t="shared" si="41"/>
        <v>-0.10170000000000001</v>
      </c>
      <c r="Y100" s="5">
        <f t="shared" si="42"/>
        <v>-1</v>
      </c>
      <c r="Z100" s="5">
        <v>0</v>
      </c>
      <c r="AA100" s="7">
        <f t="shared" si="43"/>
        <v>-0.23000000000000043</v>
      </c>
      <c r="AB100" s="5">
        <f t="shared" si="44"/>
        <v>-2</v>
      </c>
      <c r="AC100" s="6">
        <f t="shared" si="45"/>
        <v>-2.666666666666667</v>
      </c>
      <c r="AD100" s="5">
        <f t="shared" si="46"/>
        <v>-1</v>
      </c>
      <c r="AE100" s="4">
        <f t="shared" si="47"/>
        <v>2.6620370370370419E-2</v>
      </c>
    </row>
    <row r="101" spans="1:31">
      <c r="A101" s="11">
        <v>46141</v>
      </c>
      <c r="B101" s="9" t="s">
        <v>29</v>
      </c>
      <c r="C101" s="7">
        <v>-0.49</v>
      </c>
      <c r="D101" s="9" t="s">
        <v>42</v>
      </c>
      <c r="E101" s="7">
        <v>7.69</v>
      </c>
      <c r="F101" s="5">
        <v>2</v>
      </c>
      <c r="G101" s="6">
        <v>0.63270000000000004</v>
      </c>
      <c r="H101" s="5">
        <f t="shared" si="36"/>
        <v>2</v>
      </c>
      <c r="I101" s="10">
        <v>1</v>
      </c>
      <c r="J101" s="5">
        <v>4</v>
      </c>
      <c r="K101" s="6">
        <f t="shared" si="37"/>
        <v>2</v>
      </c>
      <c r="L101" s="9" t="s">
        <v>18</v>
      </c>
      <c r="M101" s="7">
        <v>8.18</v>
      </c>
      <c r="N101" s="5">
        <v>0</v>
      </c>
      <c r="O101" s="6">
        <v>0.47620000000000001</v>
      </c>
      <c r="P101" s="5">
        <f t="shared" si="38"/>
        <v>1</v>
      </c>
      <c r="Q101" s="10">
        <v>2</v>
      </c>
      <c r="R101" s="5">
        <v>4</v>
      </c>
      <c r="S101" s="6">
        <f t="shared" si="39"/>
        <v>1.3333333333333333</v>
      </c>
      <c r="T101" s="9" t="s">
        <v>41</v>
      </c>
      <c r="U101" s="5">
        <v>8</v>
      </c>
      <c r="V101" s="5">
        <v>10</v>
      </c>
      <c r="W101" s="8">
        <f t="shared" si="40"/>
        <v>0.44444444444444442</v>
      </c>
      <c r="X101" s="6">
        <f t="shared" si="41"/>
        <v>0.15650000000000003</v>
      </c>
      <c r="Y101" s="5">
        <f t="shared" si="42"/>
        <v>1</v>
      </c>
      <c r="Z101" s="5">
        <v>0</v>
      </c>
      <c r="AA101" s="7">
        <f t="shared" si="43"/>
        <v>-0.48999999999999932</v>
      </c>
      <c r="AB101" s="5">
        <f t="shared" si="44"/>
        <v>2</v>
      </c>
      <c r="AC101" s="6">
        <f t="shared" si="45"/>
        <v>0.66666666666666674</v>
      </c>
      <c r="AD101" s="5">
        <f t="shared" si="46"/>
        <v>1</v>
      </c>
      <c r="AE101" s="4">
        <f t="shared" si="47"/>
        <v>5.9902200488997477E-2</v>
      </c>
    </row>
    <row r="102" spans="1:31">
      <c r="A102" s="11">
        <v>46141</v>
      </c>
      <c r="B102" s="9" t="s">
        <v>29</v>
      </c>
      <c r="C102" s="7">
        <v>-0.56999999999999995</v>
      </c>
      <c r="D102" s="9" t="s">
        <v>40</v>
      </c>
      <c r="E102" s="7">
        <v>9.56</v>
      </c>
      <c r="F102" s="5">
        <v>1</v>
      </c>
      <c r="G102" s="6">
        <v>0.72</v>
      </c>
      <c r="H102" s="5">
        <f t="shared" si="36"/>
        <v>2</v>
      </c>
      <c r="I102" s="10">
        <v>0.5</v>
      </c>
      <c r="J102" s="5">
        <v>5</v>
      </c>
      <c r="K102" s="6">
        <f t="shared" si="37"/>
        <v>3.3333333333333335</v>
      </c>
      <c r="L102" s="9" t="s">
        <v>38</v>
      </c>
      <c r="M102" s="7">
        <v>10.130000000000001</v>
      </c>
      <c r="N102" s="5">
        <v>2</v>
      </c>
      <c r="O102" s="6">
        <v>0.66100000000000003</v>
      </c>
      <c r="P102" s="5">
        <f t="shared" si="38"/>
        <v>2</v>
      </c>
      <c r="Q102" s="10">
        <v>0.5</v>
      </c>
      <c r="R102" s="5">
        <v>7</v>
      </c>
      <c r="S102" s="6">
        <f t="shared" si="39"/>
        <v>4.666666666666667</v>
      </c>
      <c r="T102" s="9" t="s">
        <v>39</v>
      </c>
      <c r="U102" s="5">
        <v>9</v>
      </c>
      <c r="V102" s="5">
        <v>13</v>
      </c>
      <c r="W102" s="8">
        <f t="shared" si="40"/>
        <v>0.40909090909090912</v>
      </c>
      <c r="X102" s="6">
        <f t="shared" si="41"/>
        <v>5.8999999999999941E-2</v>
      </c>
      <c r="Y102" s="5">
        <f t="shared" si="42"/>
        <v>0</v>
      </c>
      <c r="Z102" s="5">
        <v>0</v>
      </c>
      <c r="AA102" s="7">
        <f t="shared" si="43"/>
        <v>-0.57000000000000028</v>
      </c>
      <c r="AB102" s="5">
        <f t="shared" si="44"/>
        <v>-1</v>
      </c>
      <c r="AC102" s="6">
        <f t="shared" si="45"/>
        <v>-1.3333333333333335</v>
      </c>
      <c r="AD102" s="5">
        <f t="shared" si="46"/>
        <v>0</v>
      </c>
      <c r="AE102" s="4">
        <f t="shared" si="47"/>
        <v>5.6268509378084919E-2</v>
      </c>
    </row>
    <row r="103" spans="1:31">
      <c r="A103" s="11">
        <v>46141</v>
      </c>
      <c r="B103" s="9" t="s">
        <v>29</v>
      </c>
      <c r="C103" s="7">
        <v>-0.03</v>
      </c>
      <c r="D103" s="9" t="s">
        <v>38</v>
      </c>
      <c r="E103" s="7">
        <v>10.130000000000001</v>
      </c>
      <c r="F103" s="5">
        <v>2</v>
      </c>
      <c r="G103" s="6">
        <v>0.65</v>
      </c>
      <c r="H103" s="5">
        <f t="shared" si="36"/>
        <v>2</v>
      </c>
      <c r="I103" s="10">
        <v>0.5</v>
      </c>
      <c r="J103" s="5">
        <v>6</v>
      </c>
      <c r="K103" s="6">
        <f t="shared" si="37"/>
        <v>4</v>
      </c>
      <c r="L103" s="9" t="s">
        <v>37</v>
      </c>
      <c r="M103" s="7">
        <v>10.16</v>
      </c>
      <c r="N103" s="5">
        <v>14</v>
      </c>
      <c r="O103" s="6">
        <v>0.81820000000000004</v>
      </c>
      <c r="P103" s="5">
        <f t="shared" si="38"/>
        <v>2</v>
      </c>
      <c r="Q103" s="10">
        <v>0.5</v>
      </c>
      <c r="R103" s="5">
        <v>6</v>
      </c>
      <c r="S103" s="6">
        <f t="shared" si="39"/>
        <v>4</v>
      </c>
      <c r="T103" s="9" t="s">
        <v>36</v>
      </c>
      <c r="U103" s="5">
        <v>15</v>
      </c>
      <c r="V103" s="5">
        <v>14</v>
      </c>
      <c r="W103" s="8">
        <f t="shared" si="40"/>
        <v>0.51724137931034486</v>
      </c>
      <c r="X103" s="6">
        <f t="shared" si="41"/>
        <v>-0.16820000000000002</v>
      </c>
      <c r="Y103" s="5">
        <f t="shared" si="42"/>
        <v>0</v>
      </c>
      <c r="Z103" s="5">
        <v>1</v>
      </c>
      <c r="AA103" s="7">
        <f t="shared" si="43"/>
        <v>-2.9999999999999361E-2</v>
      </c>
      <c r="AB103" s="5">
        <f t="shared" si="44"/>
        <v>-12</v>
      </c>
      <c r="AC103" s="6">
        <f t="shared" si="45"/>
        <v>0</v>
      </c>
      <c r="AD103" s="5">
        <f t="shared" si="46"/>
        <v>0</v>
      </c>
      <c r="AE103" s="4">
        <f t="shared" si="47"/>
        <v>2.9527559055117481E-3</v>
      </c>
    </row>
    <row r="104" spans="1:31">
      <c r="A104" s="11">
        <v>46141</v>
      </c>
      <c r="B104" s="9" t="s">
        <v>35</v>
      </c>
      <c r="C104" s="7">
        <v>-0.52</v>
      </c>
      <c r="D104" s="9" t="s">
        <v>34</v>
      </c>
      <c r="E104" s="7">
        <v>5.18</v>
      </c>
      <c r="F104" s="5">
        <v>1</v>
      </c>
      <c r="G104" s="6">
        <v>0.40479999999999999</v>
      </c>
      <c r="H104" s="5">
        <f t="shared" si="36"/>
        <v>1</v>
      </c>
      <c r="I104" s="10">
        <v>7</v>
      </c>
      <c r="J104" s="5">
        <v>2</v>
      </c>
      <c r="K104" s="6">
        <f t="shared" si="37"/>
        <v>0.25</v>
      </c>
      <c r="L104" s="9" t="s">
        <v>33</v>
      </c>
      <c r="M104" s="7">
        <v>5.7</v>
      </c>
      <c r="N104" s="5">
        <v>0</v>
      </c>
      <c r="O104" s="6">
        <v>0.55379999999999996</v>
      </c>
      <c r="P104" s="5">
        <f t="shared" si="38"/>
        <v>1</v>
      </c>
      <c r="Q104" s="10">
        <v>8</v>
      </c>
      <c r="R104" s="5">
        <v>2</v>
      </c>
      <c r="S104" s="6">
        <f t="shared" si="39"/>
        <v>0.22222222222222221</v>
      </c>
      <c r="T104" s="9" t="s">
        <v>32</v>
      </c>
      <c r="U104" s="5">
        <v>6</v>
      </c>
      <c r="V104" s="5">
        <v>12</v>
      </c>
      <c r="W104" s="8">
        <f t="shared" si="40"/>
        <v>0.33333333333333331</v>
      </c>
      <c r="X104" s="6">
        <f t="shared" si="41"/>
        <v>-0.14899999999999997</v>
      </c>
      <c r="Y104" s="5">
        <f t="shared" si="42"/>
        <v>0</v>
      </c>
      <c r="Z104" s="5">
        <v>0</v>
      </c>
      <c r="AA104" s="7">
        <f t="shared" si="43"/>
        <v>-0.52000000000000046</v>
      </c>
      <c r="AB104" s="5">
        <f t="shared" si="44"/>
        <v>1</v>
      </c>
      <c r="AC104" s="6">
        <f t="shared" si="45"/>
        <v>2.777777777777779E-2</v>
      </c>
      <c r="AD104" s="5">
        <f t="shared" si="46"/>
        <v>0</v>
      </c>
      <c r="AE104" s="4">
        <f t="shared" si="47"/>
        <v>9.1228070175438672E-2</v>
      </c>
    </row>
    <row r="105" spans="1:31">
      <c r="A105" s="11">
        <v>46141</v>
      </c>
      <c r="B105" s="9" t="s">
        <v>29</v>
      </c>
      <c r="C105" s="7">
        <v>-0.65</v>
      </c>
      <c r="D105" s="9" t="s">
        <v>28</v>
      </c>
      <c r="E105" s="7">
        <v>8.31</v>
      </c>
      <c r="F105" s="5">
        <v>2</v>
      </c>
      <c r="G105" s="6">
        <v>0.53700000000000003</v>
      </c>
      <c r="H105" s="5">
        <f t="shared" si="36"/>
        <v>1</v>
      </c>
      <c r="I105" s="10">
        <v>0.5</v>
      </c>
      <c r="J105" s="5">
        <v>5</v>
      </c>
      <c r="K105" s="6">
        <f t="shared" si="37"/>
        <v>3.3333333333333335</v>
      </c>
      <c r="L105" s="9" t="s">
        <v>5</v>
      </c>
      <c r="M105" s="7">
        <v>8.9600000000000009</v>
      </c>
      <c r="N105" s="5">
        <v>0</v>
      </c>
      <c r="O105" s="6">
        <v>0.57779999999999998</v>
      </c>
      <c r="P105" s="5">
        <f t="shared" si="38"/>
        <v>1</v>
      </c>
      <c r="Q105" s="10">
        <v>0.5</v>
      </c>
      <c r="R105" s="5">
        <v>7</v>
      </c>
      <c r="S105" s="6">
        <f t="shared" si="39"/>
        <v>4.666666666666667</v>
      </c>
      <c r="T105" s="9" t="s">
        <v>31</v>
      </c>
      <c r="U105" s="5">
        <v>12</v>
      </c>
      <c r="V105" s="5">
        <v>6</v>
      </c>
      <c r="W105" s="8">
        <f t="shared" si="40"/>
        <v>0.66666666666666663</v>
      </c>
      <c r="X105" s="6">
        <f t="shared" si="41"/>
        <v>-4.0799999999999947E-2</v>
      </c>
      <c r="Y105" s="5">
        <f t="shared" si="42"/>
        <v>0</v>
      </c>
      <c r="Z105" s="5">
        <v>1</v>
      </c>
      <c r="AA105" s="7">
        <f t="shared" si="43"/>
        <v>-0.65000000000000036</v>
      </c>
      <c r="AB105" s="5">
        <f t="shared" si="44"/>
        <v>2</v>
      </c>
      <c r="AC105" s="6">
        <f t="shared" si="45"/>
        <v>-1.3333333333333335</v>
      </c>
      <c r="AD105" s="5">
        <f t="shared" si="46"/>
        <v>0</v>
      </c>
      <c r="AE105" s="4">
        <f t="shared" si="47"/>
        <v>7.2544642857142891E-2</v>
      </c>
    </row>
    <row r="106" spans="1:31">
      <c r="A106" s="11">
        <v>46141</v>
      </c>
      <c r="B106" s="9" t="s">
        <v>29</v>
      </c>
      <c r="C106" s="7">
        <v>-0.13</v>
      </c>
      <c r="D106" s="9" t="s">
        <v>18</v>
      </c>
      <c r="E106" s="7">
        <v>8.18</v>
      </c>
      <c r="F106" s="5">
        <v>0</v>
      </c>
      <c r="G106" s="6">
        <v>0.52170000000000005</v>
      </c>
      <c r="H106" s="5">
        <f t="shared" si="36"/>
        <v>1</v>
      </c>
      <c r="I106" s="10">
        <v>0.5</v>
      </c>
      <c r="J106" s="5">
        <v>8</v>
      </c>
      <c r="K106" s="6">
        <f t="shared" si="37"/>
        <v>5.333333333333333</v>
      </c>
      <c r="L106" s="9" t="s">
        <v>28</v>
      </c>
      <c r="M106" s="7">
        <v>8.31</v>
      </c>
      <c r="N106" s="5">
        <v>2</v>
      </c>
      <c r="O106" s="6">
        <v>0.53700000000000003</v>
      </c>
      <c r="P106" s="5">
        <f t="shared" si="38"/>
        <v>1</v>
      </c>
      <c r="Q106" s="10">
        <v>0.5</v>
      </c>
      <c r="R106" s="5">
        <v>5</v>
      </c>
      <c r="S106" s="6">
        <f t="shared" si="39"/>
        <v>3.3333333333333335</v>
      </c>
      <c r="T106" s="9" t="s">
        <v>30</v>
      </c>
      <c r="U106" s="5">
        <v>14</v>
      </c>
      <c r="V106" s="5">
        <v>11</v>
      </c>
      <c r="W106" s="8">
        <f t="shared" si="40"/>
        <v>0.56000000000000005</v>
      </c>
      <c r="X106" s="6">
        <f t="shared" si="41"/>
        <v>-1.529999999999998E-2</v>
      </c>
      <c r="Y106" s="5">
        <f t="shared" si="42"/>
        <v>0</v>
      </c>
      <c r="Z106" s="5">
        <v>1</v>
      </c>
      <c r="AA106" s="7">
        <f t="shared" si="43"/>
        <v>-0.13000000000000078</v>
      </c>
      <c r="AB106" s="5">
        <f t="shared" si="44"/>
        <v>-2</v>
      </c>
      <c r="AC106" s="6">
        <f t="shared" si="45"/>
        <v>1.9999999999999996</v>
      </c>
      <c r="AD106" s="5">
        <f t="shared" si="46"/>
        <v>0</v>
      </c>
      <c r="AE106" s="4">
        <f t="shared" si="47"/>
        <v>1.5643802647412847E-2</v>
      </c>
    </row>
    <row r="107" spans="1:31">
      <c r="A107" s="11">
        <v>46141</v>
      </c>
      <c r="B107" s="9" t="s">
        <v>29</v>
      </c>
      <c r="C107" s="7">
        <v>-0.49</v>
      </c>
      <c r="D107" s="9" t="s">
        <v>28</v>
      </c>
      <c r="E107" s="7">
        <v>8.31</v>
      </c>
      <c r="F107" s="5">
        <v>2</v>
      </c>
      <c r="G107" s="6">
        <v>0.70369999999999999</v>
      </c>
      <c r="H107" s="5">
        <f t="shared" si="36"/>
        <v>2</v>
      </c>
      <c r="I107" s="10">
        <v>0.5</v>
      </c>
      <c r="J107" s="5">
        <v>3</v>
      </c>
      <c r="K107" s="6">
        <f t="shared" si="37"/>
        <v>2</v>
      </c>
      <c r="L107" s="9" t="s">
        <v>21</v>
      </c>
      <c r="M107" s="7">
        <v>8.8000000000000007</v>
      </c>
      <c r="N107" s="5">
        <v>8</v>
      </c>
      <c r="O107" s="6">
        <v>0.94740000000000002</v>
      </c>
      <c r="P107" s="5">
        <f t="shared" si="38"/>
        <v>2</v>
      </c>
      <c r="Q107" s="10">
        <v>14</v>
      </c>
      <c r="R107" s="5">
        <v>0</v>
      </c>
      <c r="S107" s="6">
        <f t="shared" si="39"/>
        <v>0</v>
      </c>
      <c r="T107" s="9" t="s">
        <v>27</v>
      </c>
      <c r="U107" s="5">
        <v>13</v>
      </c>
      <c r="V107" s="5">
        <v>8</v>
      </c>
      <c r="W107" s="8">
        <f t="shared" si="40"/>
        <v>0.61904761904761907</v>
      </c>
      <c r="X107" s="6">
        <f t="shared" si="41"/>
        <v>-0.24370000000000003</v>
      </c>
      <c r="Y107" s="5">
        <f t="shared" si="42"/>
        <v>0</v>
      </c>
      <c r="Z107" s="5">
        <v>1</v>
      </c>
      <c r="AA107" s="7">
        <f t="shared" si="43"/>
        <v>-0.49000000000000021</v>
      </c>
      <c r="AB107" s="5">
        <f t="shared" si="44"/>
        <v>-6</v>
      </c>
      <c r="AC107" s="6">
        <f t="shared" si="45"/>
        <v>2</v>
      </c>
      <c r="AD107" s="5">
        <f t="shared" si="46"/>
        <v>0</v>
      </c>
      <c r="AE107" s="4">
        <f t="shared" si="47"/>
        <v>5.56818181818182E-2</v>
      </c>
    </row>
    <row r="108" spans="1:31">
      <c r="A108" s="11">
        <v>46142</v>
      </c>
      <c r="B108" s="9" t="s">
        <v>15</v>
      </c>
      <c r="C108" s="7">
        <v>-0.02</v>
      </c>
      <c r="D108" s="9" t="s">
        <v>2</v>
      </c>
      <c r="E108" s="7">
        <v>7.54</v>
      </c>
      <c r="F108" s="5">
        <v>1</v>
      </c>
      <c r="G108" s="6">
        <v>0.43180000000000002</v>
      </c>
      <c r="H108" s="5">
        <f t="shared" si="36"/>
        <v>1</v>
      </c>
      <c r="I108" s="10">
        <v>1</v>
      </c>
      <c r="J108" s="5">
        <v>5</v>
      </c>
      <c r="K108" s="6">
        <f t="shared" si="37"/>
        <v>2.5</v>
      </c>
      <c r="L108" s="9" t="s">
        <v>26</v>
      </c>
      <c r="M108" s="7">
        <v>7.56</v>
      </c>
      <c r="N108" s="5">
        <v>3</v>
      </c>
      <c r="O108" s="6">
        <v>0.63829999999999998</v>
      </c>
      <c r="P108" s="5">
        <f t="shared" si="38"/>
        <v>2</v>
      </c>
      <c r="Q108" s="10">
        <v>1</v>
      </c>
      <c r="R108" s="5">
        <v>3</v>
      </c>
      <c r="S108" s="6">
        <f t="shared" si="39"/>
        <v>1.5</v>
      </c>
      <c r="T108" s="9" t="s">
        <v>25</v>
      </c>
      <c r="U108" s="5">
        <v>5</v>
      </c>
      <c r="V108" s="5">
        <v>12</v>
      </c>
      <c r="W108" s="8">
        <f t="shared" si="40"/>
        <v>0.29411764705882354</v>
      </c>
      <c r="X108" s="6">
        <f t="shared" si="41"/>
        <v>-0.20649999999999996</v>
      </c>
      <c r="Y108" s="5">
        <f t="shared" si="42"/>
        <v>-1</v>
      </c>
      <c r="Z108" s="5">
        <v>0</v>
      </c>
      <c r="AA108" s="7">
        <f t="shared" si="43"/>
        <v>-1.9999999999999574E-2</v>
      </c>
      <c r="AB108" s="5">
        <f t="shared" si="44"/>
        <v>-2</v>
      </c>
      <c r="AC108" s="6">
        <f t="shared" si="45"/>
        <v>1</v>
      </c>
      <c r="AD108" s="5">
        <f t="shared" si="46"/>
        <v>-1</v>
      </c>
      <c r="AE108" s="4">
        <f t="shared" si="47"/>
        <v>2.6455026455025894E-3</v>
      </c>
    </row>
    <row r="109" spans="1:31">
      <c r="A109" s="11">
        <v>46142</v>
      </c>
      <c r="B109" s="9" t="s">
        <v>24</v>
      </c>
      <c r="C109" s="7">
        <v>-0.19</v>
      </c>
      <c r="D109" s="9" t="s">
        <v>23</v>
      </c>
      <c r="E109" s="7">
        <v>7.56</v>
      </c>
      <c r="F109" s="5">
        <v>1</v>
      </c>
      <c r="G109" s="6">
        <v>0.67310000000000003</v>
      </c>
      <c r="H109" s="5">
        <f t="shared" si="36"/>
        <v>2</v>
      </c>
      <c r="I109" s="10">
        <v>9</v>
      </c>
      <c r="J109" s="5">
        <v>1</v>
      </c>
      <c r="K109" s="6">
        <f t="shared" si="37"/>
        <v>0.1</v>
      </c>
      <c r="L109" s="9" t="s">
        <v>9</v>
      </c>
      <c r="M109" s="7">
        <v>7.75</v>
      </c>
      <c r="N109" s="5">
        <v>3</v>
      </c>
      <c r="O109" s="6">
        <v>0.76600000000000001</v>
      </c>
      <c r="P109" s="5">
        <f t="shared" si="38"/>
        <v>2</v>
      </c>
      <c r="Q109" s="10">
        <v>10</v>
      </c>
      <c r="R109" s="5">
        <v>1</v>
      </c>
      <c r="S109" s="6">
        <f t="shared" si="39"/>
        <v>9.0909090909090912E-2</v>
      </c>
      <c r="T109" s="9" t="s">
        <v>22</v>
      </c>
      <c r="U109" s="5">
        <v>2</v>
      </c>
      <c r="V109" s="5">
        <v>12</v>
      </c>
      <c r="W109" s="8">
        <f t="shared" si="40"/>
        <v>0.14285714285714285</v>
      </c>
      <c r="X109" s="6">
        <f t="shared" si="41"/>
        <v>-9.2899999999999983E-2</v>
      </c>
      <c r="Y109" s="5">
        <f t="shared" si="42"/>
        <v>0</v>
      </c>
      <c r="Z109" s="5">
        <v>0</v>
      </c>
      <c r="AA109" s="7">
        <f t="shared" si="43"/>
        <v>-0.19000000000000039</v>
      </c>
      <c r="AB109" s="5">
        <f t="shared" si="44"/>
        <v>-2</v>
      </c>
      <c r="AC109" s="6">
        <f t="shared" si="45"/>
        <v>9.0909090909090939E-3</v>
      </c>
      <c r="AD109" s="5">
        <f t="shared" si="46"/>
        <v>0</v>
      </c>
      <c r="AE109" s="4">
        <f t="shared" si="47"/>
        <v>2.4516129032258114E-2</v>
      </c>
    </row>
    <row r="110" spans="1:31">
      <c r="A110" s="11">
        <v>46142</v>
      </c>
      <c r="B110" s="9" t="s">
        <v>19</v>
      </c>
      <c r="C110" s="7">
        <v>-0.91</v>
      </c>
      <c r="D110" s="9" t="s">
        <v>1</v>
      </c>
      <c r="E110" s="7">
        <v>7.89</v>
      </c>
      <c r="F110" s="5">
        <v>1</v>
      </c>
      <c r="G110" s="6">
        <v>0.58330000000000004</v>
      </c>
      <c r="H110" s="5">
        <f t="shared" si="36"/>
        <v>1</v>
      </c>
      <c r="I110" s="10">
        <v>1</v>
      </c>
      <c r="J110" s="5">
        <v>8</v>
      </c>
      <c r="K110" s="6">
        <f t="shared" si="37"/>
        <v>4</v>
      </c>
      <c r="L110" s="9" t="s">
        <v>21</v>
      </c>
      <c r="M110" s="7">
        <v>8.8000000000000007</v>
      </c>
      <c r="N110" s="5">
        <v>0</v>
      </c>
      <c r="O110" s="6">
        <v>0.68089999999999995</v>
      </c>
      <c r="P110" s="5">
        <f t="shared" si="38"/>
        <v>2</v>
      </c>
      <c r="Q110" s="10">
        <v>1</v>
      </c>
      <c r="R110" s="5">
        <v>1</v>
      </c>
      <c r="S110" s="6">
        <f t="shared" si="39"/>
        <v>0.5</v>
      </c>
      <c r="T110" s="9" t="s">
        <v>20</v>
      </c>
      <c r="U110" s="5">
        <v>6</v>
      </c>
      <c r="V110" s="5">
        <v>12</v>
      </c>
      <c r="W110" s="8">
        <f t="shared" si="40"/>
        <v>0.33333333333333331</v>
      </c>
      <c r="X110" s="6">
        <f t="shared" si="41"/>
        <v>-9.7599999999999909E-2</v>
      </c>
      <c r="Y110" s="5">
        <f t="shared" si="42"/>
        <v>-1</v>
      </c>
      <c r="Z110" s="5">
        <v>0</v>
      </c>
      <c r="AA110" s="7">
        <f t="shared" si="43"/>
        <v>-0.91000000000000103</v>
      </c>
      <c r="AB110" s="5">
        <f t="shared" si="44"/>
        <v>1</v>
      </c>
      <c r="AC110" s="6">
        <f t="shared" si="45"/>
        <v>3.5</v>
      </c>
      <c r="AD110" s="5">
        <f t="shared" si="46"/>
        <v>-1</v>
      </c>
      <c r="AE110" s="4">
        <f t="shared" si="47"/>
        <v>0.10340909090909102</v>
      </c>
    </row>
    <row r="111" spans="1:31">
      <c r="A111" s="11">
        <v>46142</v>
      </c>
      <c r="B111" s="9" t="s">
        <v>19</v>
      </c>
      <c r="C111" s="7">
        <v>-0.18</v>
      </c>
      <c r="D111" s="9" t="s">
        <v>18</v>
      </c>
      <c r="E111" s="7">
        <v>8.18</v>
      </c>
      <c r="F111" s="5">
        <v>2</v>
      </c>
      <c r="G111" s="6">
        <v>0.5</v>
      </c>
      <c r="H111" s="5">
        <f t="shared" si="36"/>
        <v>1</v>
      </c>
      <c r="I111" s="10">
        <v>1</v>
      </c>
      <c r="J111" s="5">
        <v>8</v>
      </c>
      <c r="K111" s="6">
        <f t="shared" si="37"/>
        <v>4</v>
      </c>
      <c r="L111" s="9" t="s">
        <v>17</v>
      </c>
      <c r="M111" s="7">
        <v>8.36</v>
      </c>
      <c r="N111" s="5">
        <v>2</v>
      </c>
      <c r="O111" s="6">
        <v>0.57379999999999998</v>
      </c>
      <c r="P111" s="5">
        <f t="shared" si="38"/>
        <v>1</v>
      </c>
      <c r="Q111" s="10">
        <v>14</v>
      </c>
      <c r="R111" s="5">
        <v>0</v>
      </c>
      <c r="S111" s="6">
        <f t="shared" si="39"/>
        <v>0</v>
      </c>
      <c r="T111" s="9" t="s">
        <v>16</v>
      </c>
      <c r="U111" s="5">
        <v>12</v>
      </c>
      <c r="V111" s="5">
        <v>7</v>
      </c>
      <c r="W111" s="8">
        <f t="shared" si="40"/>
        <v>0.63157894736842102</v>
      </c>
      <c r="X111" s="6">
        <f t="shared" si="41"/>
        <v>-7.3799999999999977E-2</v>
      </c>
      <c r="Y111" s="5">
        <f t="shared" si="42"/>
        <v>0</v>
      </c>
      <c r="Z111" s="5">
        <v>1</v>
      </c>
      <c r="AA111" s="7">
        <f t="shared" si="43"/>
        <v>-0.17999999999999972</v>
      </c>
      <c r="AB111" s="5">
        <f t="shared" si="44"/>
        <v>0</v>
      </c>
      <c r="AC111" s="6">
        <f t="shared" si="45"/>
        <v>4</v>
      </c>
      <c r="AD111" s="5">
        <f t="shared" si="46"/>
        <v>0</v>
      </c>
      <c r="AE111" s="4">
        <f t="shared" si="47"/>
        <v>2.1531100478468866E-2</v>
      </c>
    </row>
    <row r="112" spans="1:31">
      <c r="A112" s="11">
        <v>46142</v>
      </c>
      <c r="B112" s="9" t="s">
        <v>15</v>
      </c>
      <c r="C112" s="7">
        <v>-0.4</v>
      </c>
      <c r="D112" s="9" t="s">
        <v>14</v>
      </c>
      <c r="E112" s="7">
        <v>6.86</v>
      </c>
      <c r="F112" s="5">
        <v>4</v>
      </c>
      <c r="G112" s="6">
        <v>0.625</v>
      </c>
      <c r="H112" s="5">
        <f t="shared" si="36"/>
        <v>2</v>
      </c>
      <c r="I112" s="10">
        <v>1</v>
      </c>
      <c r="J112" s="5">
        <v>8</v>
      </c>
      <c r="K112" s="6">
        <f t="shared" si="37"/>
        <v>4</v>
      </c>
      <c r="L112" s="9" t="s">
        <v>13</v>
      </c>
      <c r="M112" s="7">
        <v>7.26</v>
      </c>
      <c r="N112" s="5">
        <v>2</v>
      </c>
      <c r="O112" s="6">
        <v>0.56140000000000001</v>
      </c>
      <c r="P112" s="5">
        <f t="shared" si="38"/>
        <v>1</v>
      </c>
      <c r="Q112" s="10">
        <v>6</v>
      </c>
      <c r="R112" s="5">
        <v>2</v>
      </c>
      <c r="S112" s="6">
        <f t="shared" si="39"/>
        <v>0.2857142857142857</v>
      </c>
      <c r="T112" s="9" t="s">
        <v>12</v>
      </c>
      <c r="U112" s="5">
        <v>12</v>
      </c>
      <c r="V112" s="5">
        <v>6</v>
      </c>
      <c r="W112" s="8">
        <f t="shared" si="40"/>
        <v>0.66666666666666663</v>
      </c>
      <c r="X112" s="6">
        <f t="shared" si="41"/>
        <v>6.359999999999999E-2</v>
      </c>
      <c r="Y112" s="5">
        <f t="shared" si="42"/>
        <v>1</v>
      </c>
      <c r="Z112" s="5">
        <v>1</v>
      </c>
      <c r="AA112" s="7">
        <f t="shared" si="43"/>
        <v>-0.39999999999999947</v>
      </c>
      <c r="AB112" s="5">
        <f t="shared" si="44"/>
        <v>2</v>
      </c>
      <c r="AC112" s="6">
        <f t="shared" si="45"/>
        <v>3.7142857142857144</v>
      </c>
      <c r="AD112" s="5">
        <f t="shared" si="46"/>
        <v>1</v>
      </c>
      <c r="AE112" s="4">
        <f t="shared" si="47"/>
        <v>5.5096418732782294E-2</v>
      </c>
    </row>
    <row r="113" spans="1:31">
      <c r="A113" s="11">
        <v>46146</v>
      </c>
      <c r="B113" s="9" t="s">
        <v>11</v>
      </c>
      <c r="C113" s="7">
        <v>-0.7</v>
      </c>
      <c r="D113" s="9" t="s">
        <v>10</v>
      </c>
      <c r="E113" s="7">
        <v>7.14</v>
      </c>
      <c r="F113" s="5">
        <v>0</v>
      </c>
      <c r="G113" s="6">
        <v>0.47370000000000001</v>
      </c>
      <c r="H113" s="5">
        <f t="shared" si="36"/>
        <v>1</v>
      </c>
      <c r="I113" s="10">
        <v>5</v>
      </c>
      <c r="J113" s="5">
        <v>3</v>
      </c>
      <c r="K113" s="6">
        <f t="shared" si="37"/>
        <v>0.5</v>
      </c>
      <c r="L113" s="9" t="s">
        <v>9</v>
      </c>
      <c r="M113" s="7">
        <v>7.84</v>
      </c>
      <c r="N113" s="5">
        <v>4</v>
      </c>
      <c r="O113" s="6">
        <v>0.81820000000000004</v>
      </c>
      <c r="P113" s="5">
        <f t="shared" si="38"/>
        <v>2</v>
      </c>
      <c r="Q113" s="10">
        <v>4</v>
      </c>
      <c r="R113" s="5">
        <v>2</v>
      </c>
      <c r="S113" s="6">
        <f t="shared" si="39"/>
        <v>0.4</v>
      </c>
      <c r="T113" s="9" t="s">
        <v>8</v>
      </c>
      <c r="U113" s="5">
        <v>15</v>
      </c>
      <c r="V113" s="5">
        <v>17</v>
      </c>
      <c r="W113" s="8">
        <f t="shared" si="40"/>
        <v>0.46875</v>
      </c>
      <c r="X113" s="6">
        <f t="shared" si="41"/>
        <v>-0.34450000000000003</v>
      </c>
      <c r="Y113" s="5">
        <f t="shared" si="42"/>
        <v>-1</v>
      </c>
      <c r="Z113" s="5">
        <v>0</v>
      </c>
      <c r="AA113" s="7">
        <f t="shared" si="43"/>
        <v>-0.70000000000000018</v>
      </c>
      <c r="AB113" s="5">
        <f t="shared" si="44"/>
        <v>-4</v>
      </c>
      <c r="AC113" s="6">
        <f t="shared" si="45"/>
        <v>9.9999999999999978E-2</v>
      </c>
      <c r="AD113" s="5">
        <f t="shared" si="46"/>
        <v>-1</v>
      </c>
      <c r="AE113" s="4">
        <f t="shared" si="47"/>
        <v>8.9285714285714315E-2</v>
      </c>
    </row>
    <row r="114" spans="1:31">
      <c r="A114" s="11">
        <v>46147</v>
      </c>
      <c r="B114" s="9" t="s">
        <v>7</v>
      </c>
      <c r="C114" s="7">
        <v>-0.3</v>
      </c>
      <c r="D114" s="9" t="s">
        <v>6</v>
      </c>
      <c r="E114" s="7">
        <v>8.6300000000000008</v>
      </c>
      <c r="F114" s="5">
        <v>3</v>
      </c>
      <c r="G114" s="6">
        <v>0.4844</v>
      </c>
      <c r="H114" s="5">
        <f t="shared" si="36"/>
        <v>1</v>
      </c>
      <c r="I114" s="10">
        <v>6</v>
      </c>
      <c r="J114" s="5">
        <v>6</v>
      </c>
      <c r="K114" s="6">
        <f t="shared" si="37"/>
        <v>0.8571428571428571</v>
      </c>
      <c r="L114" s="9" t="s">
        <v>5</v>
      </c>
      <c r="M114" s="7">
        <v>8.93</v>
      </c>
      <c r="N114" s="5">
        <v>1</v>
      </c>
      <c r="O114" s="6">
        <v>0.69569999999999999</v>
      </c>
      <c r="P114" s="5">
        <f t="shared" si="38"/>
        <v>2</v>
      </c>
      <c r="Q114" s="10">
        <v>1</v>
      </c>
      <c r="R114" s="5">
        <v>7</v>
      </c>
      <c r="S114" s="6">
        <f t="shared" si="39"/>
        <v>3.5</v>
      </c>
      <c r="T114" s="9" t="s">
        <v>4</v>
      </c>
      <c r="U114" s="5">
        <v>12</v>
      </c>
      <c r="V114" s="5">
        <v>7</v>
      </c>
      <c r="W114" s="8">
        <f t="shared" si="40"/>
        <v>0.63157894736842102</v>
      </c>
      <c r="X114" s="6">
        <f t="shared" si="41"/>
        <v>-0.21129999999999999</v>
      </c>
      <c r="Y114" s="5">
        <f t="shared" si="42"/>
        <v>-1</v>
      </c>
      <c r="Z114" s="5">
        <v>1</v>
      </c>
      <c r="AA114" s="7">
        <f t="shared" si="43"/>
        <v>-0.29999999999999893</v>
      </c>
      <c r="AB114" s="5">
        <f t="shared" si="44"/>
        <v>2</v>
      </c>
      <c r="AC114" s="6">
        <f t="shared" si="45"/>
        <v>-2.6428571428571428</v>
      </c>
      <c r="AD114" s="5">
        <f t="shared" si="46"/>
        <v>-1</v>
      </c>
      <c r="AE114" s="4">
        <f t="shared" si="47"/>
        <v>3.3594624860022279E-2</v>
      </c>
    </row>
    <row r="115" spans="1:31">
      <c r="A115" s="11">
        <v>46147</v>
      </c>
      <c r="B115" s="9" t="s">
        <v>3</v>
      </c>
      <c r="C115" s="7">
        <v>-0.32</v>
      </c>
      <c r="D115" s="9" t="s">
        <v>2</v>
      </c>
      <c r="E115" s="7">
        <v>7.52</v>
      </c>
      <c r="F115" s="5">
        <v>0</v>
      </c>
      <c r="G115" s="6">
        <v>0.43180000000000002</v>
      </c>
      <c r="H115" s="5">
        <f t="shared" si="36"/>
        <v>1</v>
      </c>
      <c r="I115" s="10">
        <v>1</v>
      </c>
      <c r="J115" s="5">
        <v>4</v>
      </c>
      <c r="K115" s="6">
        <f t="shared" si="37"/>
        <v>2</v>
      </c>
      <c r="L115" s="9" t="s">
        <v>1</v>
      </c>
      <c r="M115" s="7">
        <v>7.84</v>
      </c>
      <c r="N115" s="5">
        <v>0</v>
      </c>
      <c r="O115" s="6">
        <v>0.44</v>
      </c>
      <c r="P115" s="5">
        <f t="shared" si="38"/>
        <v>1</v>
      </c>
      <c r="Q115" s="10">
        <v>5</v>
      </c>
      <c r="R115" s="5">
        <v>5</v>
      </c>
      <c r="S115" s="6">
        <f t="shared" si="39"/>
        <v>0.83333333333333337</v>
      </c>
      <c r="T115" s="9" t="s">
        <v>0</v>
      </c>
      <c r="U115" s="5">
        <v>2</v>
      </c>
      <c r="V115" s="5">
        <v>12</v>
      </c>
      <c r="W115" s="8">
        <f t="shared" si="40"/>
        <v>0.14285714285714285</v>
      </c>
      <c r="X115" s="6">
        <f t="shared" si="41"/>
        <v>-8.1999999999999851E-3</v>
      </c>
      <c r="Y115" s="5">
        <f t="shared" si="42"/>
        <v>0</v>
      </c>
      <c r="Z115" s="5">
        <v>0</v>
      </c>
      <c r="AA115" s="7">
        <f t="shared" si="43"/>
        <v>-0.32000000000000028</v>
      </c>
      <c r="AB115" s="5">
        <f t="shared" si="44"/>
        <v>0</v>
      </c>
      <c r="AC115" s="6">
        <f t="shared" si="45"/>
        <v>1.1666666666666665</v>
      </c>
      <c r="AD115" s="5">
        <f t="shared" si="46"/>
        <v>0</v>
      </c>
      <c r="AE115" s="4">
        <f t="shared" si="47"/>
        <v>4.0816326530612283E-2</v>
      </c>
    </row>
    <row r="116" spans="1:31">
      <c r="X1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History</vt:lpstr>
      <vt:lpstr>114 (2026)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Yanyan US/KOP</dc:creator>
  <cp:lastModifiedBy>Li, Yanyan US/KOP</cp:lastModifiedBy>
  <dcterms:created xsi:type="dcterms:W3CDTF">2026-09-05T03:38:34Z</dcterms:created>
  <dcterms:modified xsi:type="dcterms:W3CDTF">2026-09-21T23:27:24Z</dcterms:modified>
</cp:coreProperties>
</file>